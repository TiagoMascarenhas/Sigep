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.mascarenhas\Desktop\"/>
    </mc:Choice>
  </mc:AlternateContent>
  <xr:revisionPtr revIDLastSave="0" documentId="8_{58223650-518E-407A-BC3E-F7F22DD60D86}" xr6:coauthVersionLast="47" xr6:coauthVersionMax="47" xr10:uidLastSave="{00000000-0000-0000-0000-000000000000}"/>
  <bookViews>
    <workbookView xWindow="-120" yWindow="-120" windowWidth="17520" windowHeight="12600" tabRatio="445" xr2:uid="{00000000-000D-0000-FFFF-FFFF00000000}"/>
  </bookViews>
  <sheets>
    <sheet name="INVENTÁRIO 2026" sheetId="1" r:id="rId1"/>
    <sheet name="Gráfico2" sheetId="6" r:id="rId2"/>
    <sheet name="Gráfico1" sheetId="5" r:id="rId3"/>
    <sheet name="Gráfico3" sheetId="10" r:id="rId4"/>
    <sheet name="Planilha5" sheetId="16" r:id="rId5"/>
    <sheet name="Planilha2" sheetId="15" r:id="rId6"/>
    <sheet name="Planilha1" sheetId="11" r:id="rId7"/>
    <sheet name="RADIAL" sheetId="12" r:id="rId8"/>
    <sheet name="Planilha3" sheetId="13" r:id="rId9"/>
    <sheet name="Planilha6" sheetId="17" r:id="rId10"/>
  </sheets>
  <definedNames>
    <definedName name="_xlnm._FilterDatabase" localSheetId="0" hidden="1">'INVENTÁRIO 2026'!$P$2:$U$23</definedName>
    <definedName name="_xlnm.Print_Titles" localSheetId="0">'INVENTÁRIO 2026'!$2:$2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1" l="1"/>
  <c r="J23" i="11"/>
  <c r="H24" i="11"/>
  <c r="H23" i="11"/>
  <c r="E24" i="11"/>
  <c r="E23" i="11"/>
  <c r="G31" i="17"/>
  <c r="I43" i="15"/>
  <c r="F42" i="15"/>
  <c r="F18" i="16"/>
  <c r="D19" i="16"/>
  <c r="H32" i="13"/>
  <c r="G32" i="13"/>
  <c r="H30" i="13"/>
  <c r="I30" i="13"/>
  <c r="D27" i="13"/>
  <c r="D30" i="13" s="1"/>
  <c r="D29" i="13"/>
  <c r="D1" i="13"/>
  <c r="B50" i="12"/>
  <c r="J9" i="11"/>
  <c r="K9" i="11"/>
  <c r="C12" i="11"/>
  <c r="C9" i="11"/>
  <c r="J10" i="11"/>
  <c r="K10" i="11" s="1"/>
  <c r="J11" i="11"/>
  <c r="K11" i="11" s="1"/>
  <c r="J12" i="11"/>
  <c r="K12" i="11" s="1"/>
  <c r="J13" i="11"/>
  <c r="K13" i="11" s="1"/>
  <c r="H11" i="11"/>
  <c r="H12" i="11"/>
  <c r="H13" i="11"/>
  <c r="H9" i="11"/>
  <c r="C10" i="11"/>
  <c r="C11" i="11"/>
  <c r="C13" i="11"/>
  <c r="C15" i="11" l="1"/>
  <c r="K14" i="11"/>
  <c r="H10" i="11"/>
  <c r="H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de Santana Gomes</author>
  </authors>
  <commentList>
    <comment ref="A2966" authorId="0" shapeId="0" xr:uid="{7782859C-093B-4ABF-986C-BE27A58E91D8}">
      <text>
        <r>
          <rPr>
            <b/>
            <sz val="9"/>
            <color indexed="81"/>
            <rFont val="Segoe UI"/>
            <family val="2"/>
          </rPr>
          <t>Alan de Santana Gomes:</t>
        </r>
        <r>
          <rPr>
            <sz val="9"/>
            <color indexed="81"/>
            <rFont val="Segoe UI"/>
            <family val="2"/>
          </rPr>
          <t xml:space="preserve">
esse</t>
        </r>
      </text>
    </comment>
    <comment ref="A2981" authorId="0" shapeId="0" xr:uid="{158EDD2C-DA8F-41F9-84C5-2C2E0C086416}">
      <text>
        <r>
          <rPr>
            <b/>
            <sz val="9"/>
            <color indexed="81"/>
            <rFont val="Segoe UI"/>
            <family val="2"/>
          </rPr>
          <t>Alan de Santana Gomes: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001" authorId="0" shapeId="0" xr:uid="{134480F1-FE26-4494-BEE1-355CBD97C800}">
      <text>
        <r>
          <rPr>
            <b/>
            <sz val="9"/>
            <color indexed="81"/>
            <rFont val="Segoe UI"/>
            <family val="2"/>
          </rPr>
          <t>Alan de Santana Gomes: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863" authorId="0" shapeId="0" xr:uid="{2F38CDC0-9D95-4AF9-9194-95C0BEF220CC}">
      <text>
        <r>
          <rPr>
            <sz val="9"/>
            <color indexed="81"/>
            <rFont val="Segoe UI"/>
            <family val="2"/>
          </rPr>
          <t xml:space="preserve">PRÉ ANALISE
</t>
        </r>
      </text>
    </comment>
    <comment ref="N4864" authorId="0" shapeId="0" xr:uid="{8676BE91-39F5-44A7-B9D1-8EFA3B77EDEF}">
      <text>
        <r>
          <rPr>
            <sz val="9"/>
            <color indexed="81"/>
            <rFont val="Segoe UI"/>
            <family val="2"/>
          </rPr>
          <t xml:space="preserve">PRÉ ANALISE
</t>
        </r>
      </text>
    </comment>
    <comment ref="N4865" authorId="0" shapeId="0" xr:uid="{1C569FDA-F26D-4D91-B422-7E4722DD0ADF}">
      <text>
        <r>
          <rPr>
            <sz val="9"/>
            <color indexed="81"/>
            <rFont val="Segoe UI"/>
            <family val="2"/>
          </rPr>
          <t xml:space="preserve">PRÉ ANALISE
</t>
        </r>
      </text>
    </comment>
    <comment ref="A5062" authorId="0" shapeId="0" xr:uid="{752521AD-4B74-4AE8-B68C-8B8F1A99B5DC}">
      <text>
        <r>
          <rPr>
            <b/>
            <sz val="9"/>
            <color indexed="81"/>
            <rFont val="Segoe UI"/>
            <family val="2"/>
          </rPr>
          <t xml:space="preserve">Alan de Santana Gomes: 16:30 NOVO
</t>
        </r>
      </text>
    </comment>
  </commentList>
</comments>
</file>

<file path=xl/sharedStrings.xml><?xml version="1.0" encoding="utf-8"?>
<sst xmlns="http://schemas.openxmlformats.org/spreadsheetml/2006/main" count="16681" uniqueCount="2556">
  <si>
    <t>FONTE</t>
  </si>
  <si>
    <t>SITUAÇÃO</t>
  </si>
  <si>
    <t>SEDUC</t>
  </si>
  <si>
    <t>NÚMERO DE PROTOCOLO</t>
  </si>
  <si>
    <t>ÓRGÃO</t>
  </si>
  <si>
    <t>TIPO DE PROCESSO</t>
  </si>
  <si>
    <t>NOTA/FATURA</t>
  </si>
  <si>
    <t>DESTINATÁRIO</t>
  </si>
  <si>
    <t>DATA DE SAÍDA</t>
  </si>
  <si>
    <t>ANALISTA</t>
  </si>
  <si>
    <t>QUANT. ENTRADA</t>
  </si>
  <si>
    <t>GAPRE</t>
  </si>
  <si>
    <t>SEFAZ</t>
  </si>
  <si>
    <t>SESAU</t>
  </si>
  <si>
    <t>SEMAT</t>
  </si>
  <si>
    <t>SEDEC</t>
  </si>
  <si>
    <t>SEDES</t>
  </si>
  <si>
    <t>PROJUR</t>
  </si>
  <si>
    <t>SEGOV</t>
  </si>
  <si>
    <t>SEMAM</t>
  </si>
  <si>
    <t>SEOSP</t>
  </si>
  <si>
    <t>SEMEC</t>
  </si>
  <si>
    <t>COPEL</t>
  </si>
  <si>
    <t>JAN</t>
  </si>
  <si>
    <t>FEV</t>
  </si>
  <si>
    <t>MAR</t>
  </si>
  <si>
    <t>ABRIL</t>
  </si>
  <si>
    <t>MAIO</t>
  </si>
  <si>
    <t>JULHO</t>
  </si>
  <si>
    <t>JUNHO</t>
  </si>
  <si>
    <t>AGOSTO</t>
  </si>
  <si>
    <t>SETEMBRO</t>
  </si>
  <si>
    <t>OUTUBRO</t>
  </si>
  <si>
    <t>NOVEMBRO</t>
  </si>
  <si>
    <t>DEZEMBRO</t>
  </si>
  <si>
    <t>PAGAMENTO</t>
  </si>
  <si>
    <t>DISPENSA</t>
  </si>
  <si>
    <t>INEXIGIBLIDADE</t>
  </si>
  <si>
    <t>CREDENCIAMENTO</t>
  </si>
  <si>
    <t>PAGAMENTO - CONSIGNAÇÃO</t>
  </si>
  <si>
    <t>DEVOLVIDO COM PENDÊNCIA</t>
  </si>
  <si>
    <t>JOANA ARAUJO</t>
  </si>
  <si>
    <t>MATHEUS BOAVENTURA</t>
  </si>
  <si>
    <t>BRUNO AQUINO</t>
  </si>
  <si>
    <t>JOSÉ LÁZARO</t>
  </si>
  <si>
    <t>MAGDA SOUZA</t>
  </si>
  <si>
    <t>LEILA PRISCILA</t>
  </si>
  <si>
    <t>FASE INTERNA - PREGÃO ELETRÔNICO</t>
  </si>
  <si>
    <t>FASE EXTERNA - PREGÃO ELETRÔNICO</t>
  </si>
  <si>
    <t>FASE INTERNA - CHAMAMENTO PÚBLICO</t>
  </si>
  <si>
    <t>FASE EXTERNA - CHAMAMENTO PÚBLICO</t>
  </si>
  <si>
    <t>CREDOR/OBJETO</t>
  </si>
  <si>
    <t>UESLEI VALADARES</t>
  </si>
  <si>
    <t>CONTABI/SEFAZ</t>
  </si>
  <si>
    <t>CONTABI/SESAU</t>
  </si>
  <si>
    <t>FINALIZADO</t>
  </si>
  <si>
    <t>SEHAR</t>
  </si>
  <si>
    <t>ANA MARIA XAVIER</t>
  </si>
  <si>
    <t>CGM</t>
  </si>
  <si>
    <t>EM ANÁLISE</t>
  </si>
  <si>
    <t>OBS:</t>
  </si>
  <si>
    <t>VALOR</t>
  </si>
  <si>
    <t>MARISTELA AMORIM</t>
  </si>
  <si>
    <t>ADITIVO</t>
  </si>
  <si>
    <t>TAINÁ RODRIGUES</t>
  </si>
  <si>
    <t>FINAZADO - AGUARDANDO TRAMITAÇÃO</t>
  </si>
  <si>
    <t>CONTRATO DE ATA</t>
  </si>
  <si>
    <t>DEVOLVIDO SEM ANÁLISE</t>
  </si>
  <si>
    <t>PRESTAÇÃO DE CONTAS</t>
  </si>
  <si>
    <t>servig</t>
  </si>
  <si>
    <t>ANA LUZIA CHAROTTA</t>
  </si>
  <si>
    <t>CGM - ARQUIVO</t>
  </si>
  <si>
    <t>SEMAT/TI</t>
  </si>
  <si>
    <t>RESCISÃO DE CONTRATO</t>
  </si>
  <si>
    <t>NOTA</t>
  </si>
  <si>
    <t>PAULO GUSTAVO</t>
  </si>
  <si>
    <t>FASE INTERNA - CP</t>
  </si>
  <si>
    <t>ELISANGELA</t>
  </si>
  <si>
    <t>ASCOM</t>
  </si>
  <si>
    <t>W E MEDLAUDOS SERVICOS DE DIAGNOSTICOS E LAUDOS MEDICOS LTDA EPP</t>
  </si>
  <si>
    <t>REGISTRO DE PREÇO COMPARTILHADO</t>
  </si>
  <si>
    <t>REAJUSTE CONTRATUAL</t>
  </si>
  <si>
    <t>SEMEL</t>
  </si>
  <si>
    <t>SEDETA</t>
  </si>
  <si>
    <t>CONTRATO</t>
  </si>
  <si>
    <t>PROTOCOLO</t>
  </si>
  <si>
    <t>DESTINO</t>
  </si>
  <si>
    <t>COMPETÊNCIA</t>
  </si>
  <si>
    <t>FASE INTERNA - CONCORRÊNCIA PÚBLICA</t>
  </si>
  <si>
    <t>FASE EXTERNA - CONCORRÊNCIA PÚBLICA</t>
  </si>
  <si>
    <t>SOLICITAÇÃO DE DIÁRIA</t>
  </si>
  <si>
    <t>SHIRLEY ALVES</t>
  </si>
  <si>
    <t>ÁLAN GOMES</t>
  </si>
  <si>
    <t>OGM</t>
  </si>
  <si>
    <t>SECULT</t>
  </si>
  <si>
    <t>15001002/16000000/16003110/16003120/15010000</t>
  </si>
  <si>
    <t>JB SERVIÇOS MEDICOS LTDA</t>
  </si>
  <si>
    <t>16000000/15001002</t>
  </si>
  <si>
    <t>9252/2025</t>
  </si>
  <si>
    <t>9893/2025</t>
  </si>
  <si>
    <t>9920/2025</t>
  </si>
  <si>
    <t>ACORDO DE COOPERAÇÃO</t>
  </si>
  <si>
    <t xml:space="preserve">MEDIQUALI SERVICOS MEDICOS S/S ME </t>
  </si>
  <si>
    <t>DATA</t>
  </si>
  <si>
    <t>15001002/160000000/16003110/16003120/15010000</t>
  </si>
  <si>
    <t>10665/2025</t>
  </si>
  <si>
    <t>ADM - ASSESSORIA CONSULTORIA E TREINEMNETO - CONTRATACAO DE EMPRESA ESPECIALIZADA NA REALIZACAO DE AUDITORIAS INDEPENDENTES E ELABORACAO DE RELATORIOS, GESTAO ECONOMICA E DE DESEMPENHO OPEACIONAL</t>
  </si>
  <si>
    <t>ADM - LOCAÇÃO DE LICENÇA DE USO DE SOFTWARE URÂNIA 2026, DE PROPRIEDADE EXCLUSIVA DE GEHA COMERCIO DE SISTEMAS DE INFORMATICA LIMITADA</t>
  </si>
  <si>
    <t>10024/2025</t>
  </si>
  <si>
    <t>10878/2025</t>
  </si>
  <si>
    <t>72/2026</t>
  </si>
  <si>
    <t>FALTA TRAMITAR</t>
  </si>
  <si>
    <t>REDE ABERTA DAS ORGANIZAÇÕES DE CIVIL ORGANIZADA DE CAMAÇARI</t>
  </si>
  <si>
    <t>15001002/160000000</t>
  </si>
  <si>
    <t>7205/2025</t>
  </si>
  <si>
    <t>PROFISSIONAIS DO APOIO ESCOLAR - CHAMAMENTO PÚBLICO</t>
  </si>
  <si>
    <t>9021/2025</t>
  </si>
  <si>
    <t>10821/2025</t>
  </si>
  <si>
    <t>ADM - AVS CONSTRUCAO E SERVICOS LTDA - EPP</t>
  </si>
  <si>
    <t>10375/2025</t>
  </si>
  <si>
    <t>LEILA PRICSILA</t>
  </si>
  <si>
    <t>9919/2025</t>
  </si>
  <si>
    <t>NC ATENDIMENTOS</t>
  </si>
  <si>
    <t>ADM - CAMPANHA DE VACINAÇÃO</t>
  </si>
  <si>
    <t>ADM - CONEXÃO DANÇA</t>
  </si>
  <si>
    <t>15001002/16000000/16003110/16003120/1501000</t>
  </si>
  <si>
    <t>PORTO SEGUROS COMPANHIA DE SEGUROS GERAIS</t>
  </si>
  <si>
    <t>9538/2025</t>
  </si>
  <si>
    <t>CFM SERVICOS MEDICOS LTDA</t>
  </si>
  <si>
    <t>134/2025</t>
  </si>
  <si>
    <t>RRJCE MED SERVICOS MEDICOS LTDA</t>
  </si>
  <si>
    <t>136/2026</t>
  </si>
  <si>
    <t xml:space="preserve">AMES - ASSITENCIA </t>
  </si>
  <si>
    <t>133/2026</t>
  </si>
  <si>
    <t>KGB SERVICOS MEDICOS DE SALVADOR LTDA</t>
  </si>
  <si>
    <t xml:space="preserve">GC SERVCIOS MEDICOS LTDA </t>
  </si>
  <si>
    <t>NC ATENDIMENTOS MEDICOS LTDA</t>
  </si>
  <si>
    <t>RUBI MED SERVICOS MEDICOS LTDA</t>
  </si>
  <si>
    <t>ZIADE SERVICOS MEDICOS</t>
  </si>
  <si>
    <t>SANTA VITORIA-CLINICA MEDICA LTDA</t>
  </si>
  <si>
    <t xml:space="preserve">CLINICA DE ACUNPULTURA MEDICA E ANESTESIOLOGIA </t>
  </si>
  <si>
    <t>THERAPEIA SERVICOS PSICOLOGICOS E PSIQUIATRICOS LTDA</t>
  </si>
  <si>
    <t>85/2026</t>
  </si>
  <si>
    <t>135/2026</t>
  </si>
  <si>
    <t>137/2026</t>
  </si>
  <si>
    <t>109/2026</t>
  </si>
  <si>
    <t>107/2026</t>
  </si>
  <si>
    <t>106/2026</t>
  </si>
  <si>
    <t>105/2026</t>
  </si>
  <si>
    <t>104/2026</t>
  </si>
  <si>
    <t>103/2026</t>
  </si>
  <si>
    <t>SOLMED SERVICOS MEDICOS LTDA</t>
  </si>
  <si>
    <t>84/2026</t>
  </si>
  <si>
    <t>NJN SERVICOS MEDICOS LTDA</t>
  </si>
  <si>
    <t>JB SERVICOS MEDICOS LTDA</t>
  </si>
  <si>
    <t>81/2026</t>
  </si>
  <si>
    <t>91/2026</t>
  </si>
  <si>
    <t>CLISIA SERVICOS MEDICOS LTDA</t>
  </si>
  <si>
    <t>GAM - GERENCIAMENTO DE ASSITENCIA A MULHER LTDA</t>
  </si>
  <si>
    <t>89/2025</t>
  </si>
  <si>
    <t>98/2025</t>
  </si>
  <si>
    <t>JXSV SERVICOS MEDICOS LTDA - ME</t>
  </si>
  <si>
    <t xml:space="preserve">JOSE CARLOS ORTUNO SAUDE </t>
  </si>
  <si>
    <t>96/2025</t>
  </si>
  <si>
    <t>101/2025</t>
  </si>
  <si>
    <t xml:space="preserve">LLIP - SERVICOS MEDICOS </t>
  </si>
  <si>
    <t>MAIANGA RSM SERVICOS MEDICOS LTDA</t>
  </si>
  <si>
    <t>100/2025</t>
  </si>
  <si>
    <t>80/2025</t>
  </si>
  <si>
    <t>SEMCA - SERVICOS MEDICOS, ASSESSORIA E CONSULTORIA LTDA ME</t>
  </si>
  <si>
    <t xml:space="preserve">AS - SERVICO DE ANESTESIOLOGIA LTDA ME </t>
  </si>
  <si>
    <t>88/2026</t>
  </si>
  <si>
    <t>86/2026</t>
  </si>
  <si>
    <t xml:space="preserve">VRGC MED SERVICOS LTDA </t>
  </si>
  <si>
    <t>RALP MED SERVICOS MEDICOS LTDA</t>
  </si>
  <si>
    <t>93/2025</t>
  </si>
  <si>
    <t>ALMAR - SERVICOS MEDICOS LTDA</t>
  </si>
  <si>
    <t>95/2025</t>
  </si>
  <si>
    <t>94/2026</t>
  </si>
  <si>
    <t>M C SERVICOS MEDICOS LTDA ME</t>
  </si>
  <si>
    <t>RESTOS A A PAGAR</t>
  </si>
  <si>
    <t xml:space="preserve">COELBA - CIA DE ELETRICIDADE DO ESTADO DA BAHIA </t>
  </si>
  <si>
    <t>183/2026</t>
  </si>
  <si>
    <t>GRADUS ASSESSORIA E CONSULTORIA CONTABIL SOCIEDADE SIMPLES</t>
  </si>
  <si>
    <t>10841/2025</t>
  </si>
  <si>
    <t>REGISTRO DE PREÇO PARA FUTURO E EVENTUAL FORNECIMENTO DE MOBILIARIO (ARMARIO, BERÇOS E BEÇICHES, CAMA, LONGARINAS, MESAS E ETC.) E EQUIPAMENTOS PERMANENTES (MACAS, CARRO CURATIVO, ESCADA DE AÇO) E CORRELATOS , VISANDO ATENDER AS NECESSIDADES DA SECRETARIA MUNICIPAL DE SAUDE)</t>
  </si>
  <si>
    <t>MANUELA JOCELINA BOMFIM</t>
  </si>
  <si>
    <t>176/2025</t>
  </si>
  <si>
    <t>LUCAS CALDAS DE MATOS DE FIGUEIREDO</t>
  </si>
  <si>
    <t xml:space="preserve">MAYRA LEAL BERNADES </t>
  </si>
  <si>
    <t>179/2025</t>
  </si>
  <si>
    <t>182/2025</t>
  </si>
  <si>
    <t xml:space="preserve">LAIANA DE ARAUJO PEREIRA </t>
  </si>
  <si>
    <t xml:space="preserve">RUGGERU ANDREY ROCHA DE SOUZA </t>
  </si>
  <si>
    <t>180/2025</t>
  </si>
  <si>
    <t>177/2025</t>
  </si>
  <si>
    <t>TEREZINHA MARIA KRULL ARNALDO DA SILVA</t>
  </si>
  <si>
    <t xml:space="preserve">ERIKA NAEGEL SIRQUEIRA </t>
  </si>
  <si>
    <t>181/2025</t>
  </si>
  <si>
    <t xml:space="preserve">MALHEIROS ADVOCACIA </t>
  </si>
  <si>
    <t xml:space="preserve">MICHELLE SANTANA PILATES E FISIOTERAPIA </t>
  </si>
  <si>
    <t>LAURA MANTOVANI FISIOTERAPIA E ESTETICA</t>
  </si>
  <si>
    <t>AMMYCLIN FISIOTERAPIA E SAUDE LTDA</t>
  </si>
  <si>
    <t>ODONTOMAX COMÉRCIO ODONTO-MÉDICO E HOSPITALAR LTDA EPP</t>
  </si>
  <si>
    <t>8253/2025</t>
  </si>
  <si>
    <t>AIR LIQUIDE BRASIL LTDA</t>
  </si>
  <si>
    <t>10465/2025</t>
  </si>
  <si>
    <t>INTERPTRTANDO</t>
  </si>
  <si>
    <t>9088/2025</t>
  </si>
  <si>
    <t>9626/2025</t>
  </si>
  <si>
    <t>TELEFONICA BRASIL S.A</t>
  </si>
  <si>
    <t xml:space="preserve">MOTA &amp; MEDUAR ADVOGADOS ASSOCIADOS </t>
  </si>
  <si>
    <t>10530/2025</t>
  </si>
  <si>
    <t>POLICLINICA SÃO BRAS LTDA</t>
  </si>
  <si>
    <t>MEDCRED SERVICOS MEDICOS LTDA</t>
  </si>
  <si>
    <t>7132/2025</t>
  </si>
  <si>
    <t>PREMIAÇÃO FESTIVAL DE MÚSICA- A VOZ ESTUDANTIL</t>
  </si>
  <si>
    <t>GR MEDICINA SERVICOS MEDICOS LTDA ME</t>
  </si>
  <si>
    <t>SID - SALVADOR IMAGEM DIAGNOSTICA LTDA</t>
  </si>
  <si>
    <t>SERVIG SERVICOS LTDA</t>
  </si>
  <si>
    <t>VERBO COMUNICACAO EIRELI</t>
  </si>
  <si>
    <t>9953/2025</t>
  </si>
  <si>
    <t>10207/2025</t>
  </si>
  <si>
    <t>GPI SISTEMAS LTDA - ME</t>
  </si>
  <si>
    <t>252/2025</t>
  </si>
  <si>
    <t xml:space="preserve">VSS RESTAURANTE LTDA </t>
  </si>
  <si>
    <t>254/2025</t>
  </si>
  <si>
    <t>UNIPRES COMERCIO E SERVICOS DE EQUIPAMENTOS</t>
  </si>
  <si>
    <t>MATHEUS COMERCIO ATACADISTA LTDA ME</t>
  </si>
  <si>
    <t>257/2025</t>
  </si>
  <si>
    <t>251/2026</t>
  </si>
  <si>
    <t>MULTI EVENTOS LTDA EPP</t>
  </si>
  <si>
    <t>DROGAFONTE LTDA</t>
  </si>
  <si>
    <t>258/2026</t>
  </si>
  <si>
    <t>259/2026</t>
  </si>
  <si>
    <t>SHOPMED BRASIL COMERCIO E MEDICAMENTOS LTDA</t>
  </si>
  <si>
    <t>FABMED DISTRIBUIDORA HOSPITALAR LTDA - DEMAIS</t>
  </si>
  <si>
    <t>261/2026</t>
  </si>
  <si>
    <t>262/2026</t>
  </si>
  <si>
    <t>263/2026</t>
  </si>
  <si>
    <t>264/2026</t>
  </si>
  <si>
    <t>265/2026</t>
  </si>
  <si>
    <t>266/2026</t>
  </si>
  <si>
    <t>267/2026</t>
  </si>
  <si>
    <t>268/2026</t>
  </si>
  <si>
    <t>269/2026</t>
  </si>
  <si>
    <t>COMERCIAL CIRURGIA RIOCLARENSE</t>
  </si>
  <si>
    <t>COMERCIAL CIRURGIA RIOCLARENSE LTDA</t>
  </si>
  <si>
    <t>CONQUISTA DISTRIBUIDORA DE MEDICAMENTOS E PRODUTOS HOSPITALARES</t>
  </si>
  <si>
    <t>PRO-RAD CONSULTORES EM RADIOPROTEÇÃO LTDA S/S LTDA</t>
  </si>
  <si>
    <t>DENTAL PREMIUM LTDA - EPP</t>
  </si>
  <si>
    <t>270/2026</t>
  </si>
  <si>
    <t>DAVID ISAURO PIRES NETO</t>
  </si>
  <si>
    <t>271/2026</t>
  </si>
  <si>
    <t>272/2026</t>
  </si>
  <si>
    <t>281/2026</t>
  </si>
  <si>
    <t>273/2026</t>
  </si>
  <si>
    <t>274/2026</t>
  </si>
  <si>
    <t>275/2026</t>
  </si>
  <si>
    <t xml:space="preserve">MEDILAR IMPORTACAO E DISTRIBUICAO DE PRODUTOS MEDICO HOSPITALRES </t>
  </si>
  <si>
    <t>MS HOSPITALAR EIRELI</t>
  </si>
  <si>
    <t>276/2026</t>
  </si>
  <si>
    <t>286/2026</t>
  </si>
  <si>
    <t>296/2026</t>
  </si>
  <si>
    <t>277/2026</t>
  </si>
  <si>
    <t>MEDISIL MEDICAMENTOS LTDA</t>
  </si>
  <si>
    <t>278/2026</t>
  </si>
  <si>
    <t>279/2026</t>
  </si>
  <si>
    <t>ONMED DISTRIBUIDORA DE MEDICAMENTOS</t>
  </si>
  <si>
    <t>280/2026</t>
  </si>
  <si>
    <t>282/2026</t>
  </si>
  <si>
    <t>PRATI, DONADUZZI &amp; CIA LTDA</t>
  </si>
  <si>
    <t>COMECIAL CIRURGIA RIOCLARENSE LTDA</t>
  </si>
  <si>
    <t>283/2026</t>
  </si>
  <si>
    <t>284/2026</t>
  </si>
  <si>
    <t>NUNESFARMA DISTRIBUIDORA DE PRODUTOS FARMACEUTICOS LTDA</t>
  </si>
  <si>
    <t>249/2026</t>
  </si>
  <si>
    <t>290/2026</t>
  </si>
  <si>
    <t>288/2026</t>
  </si>
  <si>
    <t>285/2026</t>
  </si>
  <si>
    <t>287/2026</t>
  </si>
  <si>
    <t>289/2026</t>
  </si>
  <si>
    <t xml:space="preserve">TOLESUL DISTRIBUIDORA DE MEDICAMENTOS </t>
  </si>
  <si>
    <t>291/2026</t>
  </si>
  <si>
    <t>315/2026</t>
  </si>
  <si>
    <t>298/2026</t>
  </si>
  <si>
    <t>297/2026</t>
  </si>
  <si>
    <t>295/2026</t>
  </si>
  <si>
    <t>294/2026</t>
  </si>
  <si>
    <t>292/2026</t>
  </si>
  <si>
    <t>202/2026</t>
  </si>
  <si>
    <t>212/2026</t>
  </si>
  <si>
    <t xml:space="preserve">VOLPE MED DISTRIBUIDORA DE MEDICAMENTOS </t>
  </si>
  <si>
    <t>293/2026</t>
  </si>
  <si>
    <t>316/2026</t>
  </si>
  <si>
    <t>317/2026</t>
  </si>
  <si>
    <t>NORD PRODUTOS EM SAUDE LTDA</t>
  </si>
  <si>
    <t>318/2026</t>
  </si>
  <si>
    <t>319/2026</t>
  </si>
  <si>
    <t>320/2026</t>
  </si>
  <si>
    <t>321/2026</t>
  </si>
  <si>
    <t>322/2026</t>
  </si>
  <si>
    <t>323/2026</t>
  </si>
  <si>
    <t>324/2026</t>
  </si>
  <si>
    <t>325/2026</t>
  </si>
  <si>
    <t>327/2026</t>
  </si>
  <si>
    <t>328/2026</t>
  </si>
  <si>
    <t>326/2026</t>
  </si>
  <si>
    <t>99/2026</t>
  </si>
  <si>
    <t>178/2026</t>
  </si>
  <si>
    <t>194/2026</t>
  </si>
  <si>
    <t>185/2026</t>
  </si>
  <si>
    <t>213/2026</t>
  </si>
  <si>
    <t>RETEC-TECNOLOGIA EM RESIDUOS EIRELI</t>
  </si>
  <si>
    <t>256/2026</t>
  </si>
  <si>
    <t>DENTECK LTDA</t>
  </si>
  <si>
    <t>351/2026</t>
  </si>
  <si>
    <t>349/2026</t>
  </si>
  <si>
    <t>V. S. COSTA &amp; CIA LTDA</t>
  </si>
  <si>
    <t>AZEVEDO SAUDE INTEGRATIVA E BEM-ESTAR LTDA</t>
  </si>
  <si>
    <t>341/2026</t>
  </si>
  <si>
    <t>352/2026</t>
  </si>
  <si>
    <t>GTMED DISTRIBUIDORA DE MATERIAS E EQUIPAMENTOS HOSPITALARES E ODONTOLOGICOS LTDA</t>
  </si>
  <si>
    <t>ODONTOMASTER EQUIPAMENTOS LTDA</t>
  </si>
  <si>
    <t>347/2026</t>
  </si>
  <si>
    <t>344/2026</t>
  </si>
  <si>
    <t>ONCOVIT DISTRIBUIDORA DE MEDICEMNTOS</t>
  </si>
  <si>
    <t>332/2026</t>
  </si>
  <si>
    <t>331/2026</t>
  </si>
  <si>
    <t>FARMARIN INDUSTRIA E COMERCIO LTDA</t>
  </si>
  <si>
    <t>342/2026</t>
  </si>
  <si>
    <t>343/2026</t>
  </si>
  <si>
    <t>STERIL SERVICOS DE ESTERILIZACAO</t>
  </si>
  <si>
    <t>345/2026</t>
  </si>
  <si>
    <t>353/2026</t>
  </si>
  <si>
    <t>346/2026</t>
  </si>
  <si>
    <t>348/2026</t>
  </si>
  <si>
    <t>350/2026</t>
  </si>
  <si>
    <t>250/2026</t>
  </si>
  <si>
    <t>KSA CAMPOS CONSULTORIA LTDA</t>
  </si>
  <si>
    <t>216/2026</t>
  </si>
  <si>
    <t>253/2026</t>
  </si>
  <si>
    <t>10097/2025</t>
  </si>
  <si>
    <t>ANTIGO 10155</t>
  </si>
  <si>
    <t>SANTANA &amp; FEITOSA SERVICOS MEDICOS LTDA</t>
  </si>
  <si>
    <t>365/2026</t>
  </si>
  <si>
    <t>364/2026</t>
  </si>
  <si>
    <t>WANDERLEY MAGALHAES RIBEIRO LTDA ME</t>
  </si>
  <si>
    <t>ADM - CONTARTACAO DE EMPRESA ESPECIALIZADA PARA PRESTCAO DE SERVICOS DE RECEPCAO E TRATAMENTO E DESTINACAO FINAL AMBIENTALMENTE ADEQUADA DE RESIDUOS SÓLIDOS URBANOS</t>
  </si>
  <si>
    <t>7376/2026</t>
  </si>
  <si>
    <t>260/2026</t>
  </si>
  <si>
    <t>205/2026</t>
  </si>
  <si>
    <t>ANTIGO 215/26</t>
  </si>
  <si>
    <t>184/2026</t>
  </si>
  <si>
    <t>369/2026</t>
  </si>
  <si>
    <t>INSETILAR CONTROLADORA DE PRAGAS URBANAS LTDA EPP</t>
  </si>
  <si>
    <t>10313/2025</t>
  </si>
  <si>
    <t>10134/2025</t>
  </si>
  <si>
    <t>193/2026</t>
  </si>
  <si>
    <t>190/2026</t>
  </si>
  <si>
    <t>192/2026</t>
  </si>
  <si>
    <t>255/2026</t>
  </si>
  <si>
    <t>ACC SERVICOS MEDICOS LTDA</t>
  </si>
  <si>
    <t>403/2026</t>
  </si>
  <si>
    <t>CITYSEG SOLUCOES EM SEGURANÇA ELETRONICA LTDA - EPP</t>
  </si>
  <si>
    <t>398/2026</t>
  </si>
  <si>
    <t>397/2026</t>
  </si>
  <si>
    <t>R&amp;A COMERCIO DE EQUIPAMENTOS TELEFONICOS LTDA</t>
  </si>
  <si>
    <t>396/2026</t>
  </si>
  <si>
    <t>395/2026</t>
  </si>
  <si>
    <t xml:space="preserve">ITS TELECOMUNICACOES LTDA </t>
  </si>
  <si>
    <t>PR NET INFOR COMERCIO E SERVCOS EM PROJETOS E TECNOLOGIA DA INFORMACAO LTDA- ME</t>
  </si>
  <si>
    <t>393/2026</t>
  </si>
  <si>
    <t>427/2026</t>
  </si>
  <si>
    <t>425/2026</t>
  </si>
  <si>
    <t>ONCO PROD DISTRIBUIDORA DE PRODUTOS HOSPITALARES E ONCOLOGICOS LTDA</t>
  </si>
  <si>
    <t>424/2026</t>
  </si>
  <si>
    <t>423/2026</t>
  </si>
  <si>
    <t>428/2026</t>
  </si>
  <si>
    <t>10657/2026</t>
  </si>
  <si>
    <t>DATATAX CONSULTORIA, SERVICOS TECNOLOGICOS E ANALISE DE ADOS LTDA</t>
  </si>
  <si>
    <t>GGS INDUSTRIA COMERCIO E SERVICOS LTDA - EPP</t>
  </si>
  <si>
    <t>9603/2026</t>
  </si>
  <si>
    <t>15000000/1501000/17040000</t>
  </si>
  <si>
    <t>10476/2026</t>
  </si>
  <si>
    <t>RADIAL TRANSPORTE DE VEICULOS E CARGA LTDA</t>
  </si>
  <si>
    <t>445/2026</t>
  </si>
  <si>
    <t>443/2026</t>
  </si>
  <si>
    <t>464/2026</t>
  </si>
  <si>
    <t>444/2026</t>
  </si>
  <si>
    <t>ZUCK PAPEIS LTDA</t>
  </si>
  <si>
    <t>446/2026</t>
  </si>
  <si>
    <t>440/2026</t>
  </si>
  <si>
    <t>MARILENE DOS SANTOS SILVA</t>
  </si>
  <si>
    <t>CENUTRI COMERCIO E SERVICOS LTDA</t>
  </si>
  <si>
    <t>441/2026</t>
  </si>
  <si>
    <t>10779/2026</t>
  </si>
  <si>
    <t xml:space="preserve">ADM - FABRICA DE SENTIMENTOS </t>
  </si>
  <si>
    <t>LL VILAS EVENTOS LTDA</t>
  </si>
  <si>
    <t>448/2026</t>
  </si>
  <si>
    <t>469/2026</t>
  </si>
  <si>
    <t>FESTA DE CRENTE PROMOCOES ARTITISTICAS LTDA</t>
  </si>
  <si>
    <t>447/2026</t>
  </si>
  <si>
    <t>470/2026</t>
  </si>
  <si>
    <t>OFICINA DE MUSICA LTDA ME</t>
  </si>
  <si>
    <t>S. S PEREIRA PRODUCOES DE EVENTOS EIRELI 01</t>
  </si>
  <si>
    <t>468/2026</t>
  </si>
  <si>
    <t>ADM - CONTRATACAO DA EMPRESA ESPECILADA NA CONCESSAO DE LICENÇA DE USO DE SOFTWARE INTEGRADO DE GESTAO ORÃMENTÁRIA E CONTABIL</t>
  </si>
  <si>
    <t>465/2026</t>
  </si>
  <si>
    <t>ALLIANCE ENERGY GROUP LTDA</t>
  </si>
  <si>
    <t>472/2026</t>
  </si>
  <si>
    <t>399/2026</t>
  </si>
  <si>
    <t>GMSN COMERCIO DE GAS LTDA - ME</t>
  </si>
  <si>
    <t>473/2026</t>
  </si>
  <si>
    <t>BAHIA ELEVADORES INSTALACAO, MANUTENCAO E REPARACAO DE ELEVADORES LTDA</t>
  </si>
  <si>
    <t>484/2026</t>
  </si>
  <si>
    <t xml:space="preserve">JOSE MILTON DE JESUS </t>
  </si>
  <si>
    <t>AQUIDABAN LOCADORA DE EQUIPAMENTOS LTDA</t>
  </si>
  <si>
    <t>429/2026</t>
  </si>
  <si>
    <t>432/2026</t>
  </si>
  <si>
    <t>INSTITUTO BRASILEIRO DE GESTAO DE RESULTADOS IBGR LTDA</t>
  </si>
  <si>
    <t>435/2026</t>
  </si>
  <si>
    <t>437/2026</t>
  </si>
  <si>
    <t>430/2026</t>
  </si>
  <si>
    <t>AVS CONSTRUCAO E SERVICOS LTDA - EPP</t>
  </si>
  <si>
    <t>431/2026</t>
  </si>
  <si>
    <t>434/2026</t>
  </si>
  <si>
    <t>436/2026</t>
  </si>
  <si>
    <t>DIGITAL 9 GRAFICA LTDA</t>
  </si>
  <si>
    <t>224/2026</t>
  </si>
  <si>
    <t>7268/2026</t>
  </si>
  <si>
    <t>ADM - CONTRATACAO DE EMPRESA REQUALIFICAÇÃO DO ESTADIO MUNICIPAL</t>
  </si>
  <si>
    <t>INSTITUTO MUNICIPAL DE ADMINISTRAÇÃO PÚBLICA-IMAP</t>
  </si>
  <si>
    <t>532/2026</t>
  </si>
  <si>
    <t>517/2026</t>
  </si>
  <si>
    <t>PRIME CONSULTORIA E ASSESSORIA EMPRESARIAL</t>
  </si>
  <si>
    <t>518/2026</t>
  </si>
  <si>
    <t>519/2026</t>
  </si>
  <si>
    <t>520/2026</t>
  </si>
  <si>
    <t>2720606/2720605</t>
  </si>
  <si>
    <t>525/2026</t>
  </si>
  <si>
    <t>EXECUTIVA COMERCIO DE MAQUINAS E EQUIPAMENTOS PRA ESCRITORIO LTDA</t>
  </si>
  <si>
    <t>526/2026</t>
  </si>
  <si>
    <t>527/2026</t>
  </si>
  <si>
    <t>528/2026</t>
  </si>
  <si>
    <t>529/2026</t>
  </si>
  <si>
    <t>NUCLEOGOV ASSESSORIA E TECNOLOGIA LTDA</t>
  </si>
  <si>
    <t>501/2026</t>
  </si>
  <si>
    <t>TLD TELEDATA COMERCIO E SERVICOS LTDA</t>
  </si>
  <si>
    <t>502/2026</t>
  </si>
  <si>
    <t>508/2026</t>
  </si>
  <si>
    <t>510/2026</t>
  </si>
  <si>
    <t>511/2026</t>
  </si>
  <si>
    <t>512/2026</t>
  </si>
  <si>
    <t>513/2026</t>
  </si>
  <si>
    <t>514/2026</t>
  </si>
  <si>
    <t>515/2026</t>
  </si>
  <si>
    <t>MARTINS COMERCIO DE URNAS FUNEBRES LTDA</t>
  </si>
  <si>
    <t>538/2026</t>
  </si>
  <si>
    <t>540/2026</t>
  </si>
  <si>
    <t>541/2026</t>
  </si>
  <si>
    <t>542/2026</t>
  </si>
  <si>
    <t>S GRAFICA LTDA</t>
  </si>
  <si>
    <t>10504/2026</t>
  </si>
  <si>
    <t>10236/2026</t>
  </si>
  <si>
    <t xml:space="preserve">GRISI SOCIEDADE INDIVIDUAL DE ADVOCACIA </t>
  </si>
  <si>
    <t>556/2026</t>
  </si>
  <si>
    <t xml:space="preserve">FLEX PRODUCAO SERVICOS DE ALIMENT E COMER </t>
  </si>
  <si>
    <t>10823/2026</t>
  </si>
  <si>
    <t>10824/2026</t>
  </si>
  <si>
    <t>SILVER - VIGILANCIA E SEGURANCA LTDA EPP</t>
  </si>
  <si>
    <t>10817/2026</t>
  </si>
  <si>
    <t>10818/2026</t>
  </si>
  <si>
    <t>TODA ESTRUTURA DE ANDAIMES E EVENTOS LTDA</t>
  </si>
  <si>
    <t>10819/2026</t>
  </si>
  <si>
    <t>10875/2026</t>
  </si>
  <si>
    <t>LOCTOLDOS LOCACAO DE EQUIPAMENTOS LTDA - ME</t>
  </si>
  <si>
    <t>OCEANO PRODUCAO MUSICAL E EVENTOS LTDA</t>
  </si>
  <si>
    <t>10815/2025</t>
  </si>
  <si>
    <t>ALDARY GOES-EVENTOS E COMERCIO LTDA-ME</t>
  </si>
  <si>
    <t>10816/2026</t>
  </si>
  <si>
    <t>7937/2025</t>
  </si>
  <si>
    <t>563/2026</t>
  </si>
  <si>
    <t>2002 distribuidora e comercio ltda</t>
  </si>
  <si>
    <t>10466/2026</t>
  </si>
  <si>
    <t>10531/2026</t>
  </si>
  <si>
    <t>ADM SISTEMAS LTDA</t>
  </si>
  <si>
    <t>10697/2026</t>
  </si>
  <si>
    <t>10698/2026</t>
  </si>
  <si>
    <t>KTREE PENSO TECNOLOGIA DA INFORMACAO LTDA</t>
  </si>
  <si>
    <t>530/2026</t>
  </si>
  <si>
    <t>516/2026</t>
  </si>
  <si>
    <t>9511/2026</t>
  </si>
  <si>
    <t>EDILSON RODRIGUES DOS SANTOS - REEMBOLSO</t>
  </si>
  <si>
    <t>588/2026</t>
  </si>
  <si>
    <t>ANTIGO 521</t>
  </si>
  <si>
    <t>531/2026</t>
  </si>
  <si>
    <t>ASSOCIACAO SERVOS DE KADOSH</t>
  </si>
  <si>
    <t>614/2026</t>
  </si>
  <si>
    <t>617/2026</t>
  </si>
  <si>
    <t>615/2026</t>
  </si>
  <si>
    <t xml:space="preserve">ADM - CONTRATACAO DE EMPRESA ESPECIALIZADA PARA PRESTACAO DE SERVICOS DE EVENTOS ESPORTIVOS </t>
  </si>
  <si>
    <t>10023/2026</t>
  </si>
  <si>
    <t xml:space="preserve">ADM - ADORAR DIAS DAVILA - </t>
  </si>
  <si>
    <t>ADM - ADORAR DIAS DAVILA - OFICINA DE MUSICA LTDA</t>
  </si>
  <si>
    <t>60/2026</t>
  </si>
  <si>
    <t>59/2026</t>
  </si>
  <si>
    <t>58/2026</t>
  </si>
  <si>
    <t>61/2026</t>
  </si>
  <si>
    <t xml:space="preserve">ADM - ADORAR DIAS DAVILA - SUELLEN </t>
  </si>
  <si>
    <t>555/2026</t>
  </si>
  <si>
    <t>596/2026</t>
  </si>
  <si>
    <t xml:space="preserve">ADM DE PESSOAL, ENCARGOS E BENEFICIOS </t>
  </si>
  <si>
    <t>OPEN SOLUCOES TRIBUTARIAS LTDA</t>
  </si>
  <si>
    <t>591/2026</t>
  </si>
  <si>
    <t>VIRTUALIZA TECNOLOGIA DA INFORMAÇÃO LTDA</t>
  </si>
  <si>
    <t>593/2026</t>
  </si>
  <si>
    <t>553/2026</t>
  </si>
  <si>
    <t>565/2026</t>
  </si>
  <si>
    <t>566/2026</t>
  </si>
  <si>
    <t>567/2026</t>
  </si>
  <si>
    <t>568/2026</t>
  </si>
  <si>
    <t>597/2026</t>
  </si>
  <si>
    <t>621/2026</t>
  </si>
  <si>
    <t>623/2026</t>
  </si>
  <si>
    <t>622/2026</t>
  </si>
  <si>
    <t>620/2026</t>
  </si>
  <si>
    <t>619/2026</t>
  </si>
  <si>
    <t>624/2026</t>
  </si>
  <si>
    <t>REEMBOLSO PARABRISA QUEBRADO RAUL ROBERTO, BEATRIZ CRISTINA NOVAES</t>
  </si>
  <si>
    <t>9548/2026</t>
  </si>
  <si>
    <t>5819/2026</t>
  </si>
  <si>
    <t>ANTONIO INACIO D CRUZ</t>
  </si>
  <si>
    <t>EVELIN</t>
  </si>
  <si>
    <t>MENEZES FIALHO SERVICOS MEDICOS E SAUDE LTDA</t>
  </si>
  <si>
    <t>366/2026</t>
  </si>
  <si>
    <t>KONICA MINOLTA HEALTHCARE DO BRASIL INDUSTRIA DE EQUIMAMENTOS MEDICOS LTDA</t>
  </si>
  <si>
    <t>370/2026</t>
  </si>
  <si>
    <t>10696/2025</t>
  </si>
  <si>
    <t>1500000015010000/17040000/17110000</t>
  </si>
  <si>
    <t>644/2026</t>
  </si>
  <si>
    <t>642/2026</t>
  </si>
  <si>
    <t>673/2026</t>
  </si>
  <si>
    <t>ANTIGO 400/2026</t>
  </si>
  <si>
    <t>678/2026</t>
  </si>
  <si>
    <t>682/2026</t>
  </si>
  <si>
    <t>AS ENGENHARIA LTDA</t>
  </si>
  <si>
    <t>54/2026</t>
  </si>
  <si>
    <t>ADM - ADORAR DIAS DAVILA - DAVI SACER</t>
  </si>
  <si>
    <t>ADM - AQUISIÇÃO  DE MATERIAL ESCOLAR PARA COMPOSIÇÃO DOS KITS ESCOLAES</t>
  </si>
  <si>
    <t>379/2026</t>
  </si>
  <si>
    <t>FATURA</t>
  </si>
  <si>
    <t>697/2026</t>
  </si>
  <si>
    <t>717/2026</t>
  </si>
  <si>
    <t>715/2026</t>
  </si>
  <si>
    <t>714/2026</t>
  </si>
  <si>
    <t>713/2026</t>
  </si>
  <si>
    <t>712/2026</t>
  </si>
  <si>
    <t>711/2026</t>
  </si>
  <si>
    <t>721/2026</t>
  </si>
  <si>
    <t>720/2026</t>
  </si>
  <si>
    <t>16600000/15000000</t>
  </si>
  <si>
    <t>.09/2026</t>
  </si>
  <si>
    <t>LUCIVALDA MATEO DOS SANTOS</t>
  </si>
  <si>
    <t>22/2026</t>
  </si>
  <si>
    <t>16610000/</t>
  </si>
  <si>
    <t>203/2026</t>
  </si>
  <si>
    <t>CB ENGENHARIA</t>
  </si>
  <si>
    <t>10850/2026</t>
  </si>
  <si>
    <t>EMBASA - EMPRESA BAIANA DE AGUAS E SANEAMENTO S/A</t>
  </si>
  <si>
    <t>765/2026</t>
  </si>
  <si>
    <t>766/2026</t>
  </si>
  <si>
    <t>722/2026</t>
  </si>
  <si>
    <t>739/2026</t>
  </si>
  <si>
    <t>RECYCLE WASTE ENERGY TRATAMENTO DE RESIDUOS LTDA</t>
  </si>
  <si>
    <t>838/2026</t>
  </si>
  <si>
    <t>843/2026</t>
  </si>
  <si>
    <t>CENTRO DE INTEGRACAO EMPRESA CIE E</t>
  </si>
  <si>
    <t>858/2026</t>
  </si>
  <si>
    <t>857/2026</t>
  </si>
  <si>
    <t>865/2026</t>
  </si>
  <si>
    <t>DIVERSAS</t>
  </si>
  <si>
    <t>863/2026</t>
  </si>
  <si>
    <t>866/2026</t>
  </si>
  <si>
    <t>876/2026</t>
  </si>
  <si>
    <t xml:space="preserve"> ANTIGO 589/2026</t>
  </si>
  <si>
    <t>895/2026</t>
  </si>
  <si>
    <t>antigo 718/26</t>
  </si>
  <si>
    <t>CBD MED BRAZIL COMERCIO ATACADISTA DE MEDICAMENTOS LTDA</t>
  </si>
  <si>
    <t>896/2026</t>
  </si>
  <si>
    <t>IMPRENSA NACIONAL</t>
  </si>
  <si>
    <t>878/2026</t>
  </si>
  <si>
    <t>904/2026</t>
  </si>
  <si>
    <t>902/2026</t>
  </si>
  <si>
    <t>PREFEITURA MUN. DE DIAS DAVILA</t>
  </si>
  <si>
    <t>899/2026</t>
  </si>
  <si>
    <t>905/2026</t>
  </si>
  <si>
    <t>912/2026</t>
  </si>
  <si>
    <t>ADM - CONTRATACAO DE EMPRESA ESPECIALIZADA PARA PRESTACAO DE SERVICO DE SEGURO VEICULAR</t>
  </si>
  <si>
    <t>10609/2025</t>
  </si>
  <si>
    <t>933/2026</t>
  </si>
  <si>
    <t>SOLUTIONS EMPREEDIMENTOS LTDA</t>
  </si>
  <si>
    <t>935/2026</t>
  </si>
  <si>
    <t>STAFF CONSULTORIA E ASSESSORIA CONTABIL E TRIBUTARIA LTDA</t>
  </si>
  <si>
    <t>936/2026</t>
  </si>
  <si>
    <t>937/2026</t>
  </si>
  <si>
    <t>RIBBON &amp; PRINTER LTDA</t>
  </si>
  <si>
    <t>941/2026</t>
  </si>
  <si>
    <t>940/2026</t>
  </si>
  <si>
    <t>GEHA DESENVOLVIMENTO DE SISTEMAS DE INFORMATICA LTDA</t>
  </si>
  <si>
    <t>942/2026</t>
  </si>
  <si>
    <t>406/2026</t>
  </si>
  <si>
    <t>948/2026</t>
  </si>
  <si>
    <t xml:space="preserve">ADM - CONTRATACAO DE BANDA/ARTISTA PARA A APRESENTACAO MUSICAL NOS FESTEJOS DA EMANCIPACAO POLITICA DA CIDADE DE DIAS DÁVILA </t>
  </si>
  <si>
    <t>27/2026</t>
  </si>
  <si>
    <t>947/2026</t>
  </si>
  <si>
    <t>H12 CONTABILIDADE CONSULTORIA E TREINAMENTO EMPRESARIAL</t>
  </si>
  <si>
    <t>955/2026</t>
  </si>
  <si>
    <t>945/2026</t>
  </si>
  <si>
    <t>968/2026</t>
  </si>
  <si>
    <t>32/2026</t>
  </si>
  <si>
    <t>ADM - CONTRATACAO DE EMPRESA ESPECIALIZADA EM CONSULTORIA JURIDICA</t>
  </si>
  <si>
    <t>969/2026</t>
  </si>
  <si>
    <t>985/2026</t>
  </si>
  <si>
    <t>946/2026</t>
  </si>
  <si>
    <t>987/2026</t>
  </si>
  <si>
    <t>FLA COMERCIAL DE MATERIALÇ DE CONSTRUCAO EIRELI</t>
  </si>
  <si>
    <t>991/2026</t>
  </si>
  <si>
    <t>ANTIGO 957/26</t>
  </si>
  <si>
    <t>RGB LIMITADA ME</t>
  </si>
  <si>
    <t>992/2026</t>
  </si>
  <si>
    <t>994/2026</t>
  </si>
  <si>
    <t>TRASMONTANO ATACADO E DISTRIBUIDORA LTDA EPP</t>
  </si>
  <si>
    <t>990/2026</t>
  </si>
  <si>
    <t>995/2026</t>
  </si>
  <si>
    <t>1000/2026</t>
  </si>
  <si>
    <t>997/2026</t>
  </si>
  <si>
    <t>998/2026</t>
  </si>
  <si>
    <t>999/2026</t>
  </si>
  <si>
    <t>996/2026</t>
  </si>
  <si>
    <t>199/2026</t>
  </si>
  <si>
    <t>1018/2026</t>
  </si>
  <si>
    <t>1019/2026</t>
  </si>
  <si>
    <t>1017/2026</t>
  </si>
  <si>
    <t>1016/2026</t>
  </si>
  <si>
    <t>1015/2026</t>
  </si>
  <si>
    <t>1014/2026</t>
  </si>
  <si>
    <t>1054/2026</t>
  </si>
  <si>
    <t>1053/2026</t>
  </si>
  <si>
    <t>1063/2026</t>
  </si>
  <si>
    <t>1052/2026</t>
  </si>
  <si>
    <t>1062/2026</t>
  </si>
  <si>
    <t>1051/2026</t>
  </si>
  <si>
    <t>1061/2026</t>
  </si>
  <si>
    <t>1050/2026</t>
  </si>
  <si>
    <t>1060/2026</t>
  </si>
  <si>
    <t>1070/2026</t>
  </si>
  <si>
    <t>1049/2026</t>
  </si>
  <si>
    <t>1048/2026</t>
  </si>
  <si>
    <t>1045/2026</t>
  </si>
  <si>
    <t>1046/2026</t>
  </si>
  <si>
    <t>1047/2026</t>
  </si>
  <si>
    <t>1044/2026</t>
  </si>
  <si>
    <t>1025/2026</t>
  </si>
  <si>
    <t>R R SANTOS COMERCIO E EVENTOS LTDA-ME</t>
  </si>
  <si>
    <t>1023/2026</t>
  </si>
  <si>
    <t>1027/2026</t>
  </si>
  <si>
    <t>1028/2026</t>
  </si>
  <si>
    <t>1020/2026</t>
  </si>
  <si>
    <t>PREFEITURA MUN. DE DIAS DAVILA SER JOVEM</t>
  </si>
  <si>
    <t>1038/2026</t>
  </si>
  <si>
    <t>1032/2026</t>
  </si>
  <si>
    <t>1055/2026</t>
  </si>
  <si>
    <t>1031/2026</t>
  </si>
  <si>
    <t>1057/2026</t>
  </si>
  <si>
    <t>GC SERVICOS MEDICOS LTDA</t>
  </si>
  <si>
    <t>SA - SERVICO DE ANESTESIOLOGIA LTDA</t>
  </si>
  <si>
    <t>1059/2026</t>
  </si>
  <si>
    <t>1030/2026</t>
  </si>
  <si>
    <t>1029/2026</t>
  </si>
  <si>
    <t>1064/2026</t>
  </si>
  <si>
    <t>1065/2026</t>
  </si>
  <si>
    <t>460/2026</t>
  </si>
  <si>
    <t>459/2026</t>
  </si>
  <si>
    <t>ANTIGO 404/2026</t>
  </si>
  <si>
    <t>ANTIGO 402/2026</t>
  </si>
  <si>
    <t>1066/2026</t>
  </si>
  <si>
    <t>AMES - ASSISTENCIA MEDICA ESPECIALIZADA SOTEROPOLITANA</t>
  </si>
  <si>
    <t xml:space="preserve">VRGC MED SERVICOS MEDICOS LTDA </t>
  </si>
  <si>
    <t>1067/2026</t>
  </si>
  <si>
    <t>1068/2026</t>
  </si>
  <si>
    <t>CLINICA DE ACUNPULTURA MEDICA E ANESTESIOLOGIA AMA LTDA</t>
  </si>
  <si>
    <t>1037/2026</t>
  </si>
  <si>
    <t>1039/2026</t>
  </si>
  <si>
    <t>1033/2026</t>
  </si>
  <si>
    <t>1034/2026</t>
  </si>
  <si>
    <t>1035/2026</t>
  </si>
  <si>
    <t>1036/2026</t>
  </si>
  <si>
    <t>1040/2026</t>
  </si>
  <si>
    <t>1041/2026</t>
  </si>
  <si>
    <t>1042/2026</t>
  </si>
  <si>
    <t>LLIP MED - SERVICOS MEDICOS LTDA</t>
  </si>
  <si>
    <t>1078/2026</t>
  </si>
  <si>
    <t>1071/2026</t>
  </si>
  <si>
    <t>1079/2026</t>
  </si>
  <si>
    <t>1076/2026</t>
  </si>
  <si>
    <t>1073/2026</t>
  </si>
  <si>
    <t>1072/2026</t>
  </si>
  <si>
    <t>1074/2026</t>
  </si>
  <si>
    <t>1075/2026</t>
  </si>
  <si>
    <t>15000000/15001001/16590000</t>
  </si>
  <si>
    <t>910/2026</t>
  </si>
  <si>
    <t xml:space="preserve">ADM - BETHA SISTEMAS </t>
  </si>
  <si>
    <t>1098/2026</t>
  </si>
  <si>
    <t>1099/2026</t>
  </si>
  <si>
    <t>1105/2026</t>
  </si>
  <si>
    <t>1103/2026</t>
  </si>
  <si>
    <t>1106/2026</t>
  </si>
  <si>
    <t xml:space="preserve"> </t>
  </si>
  <si>
    <t>k</t>
  </si>
  <si>
    <t>906/2026</t>
  </si>
  <si>
    <t>PRESTAÇÃO DE CONTAS - UPA</t>
  </si>
  <si>
    <t>1120/2026</t>
  </si>
  <si>
    <t>RODRIGUES COMERCIO MOVEIS LTDA-ME</t>
  </si>
  <si>
    <t>CONTARATACCAO DE EMPRESA ESPECIALIZADA EM FORMACAO TECNICA PROFISSIONAL METODICA DE MENORES APRENDIZES - SENAI</t>
  </si>
  <si>
    <t>539/2026</t>
  </si>
  <si>
    <t>1125/2026</t>
  </si>
  <si>
    <t>1127/2026</t>
  </si>
  <si>
    <t>1128/2026</t>
  </si>
  <si>
    <t>1129/2026</t>
  </si>
  <si>
    <t>SUSTENIDO PRODUCOES LTDA</t>
  </si>
  <si>
    <t>983/2026</t>
  </si>
  <si>
    <t>A FABRICA DE SENTIMENTOS LTDA</t>
  </si>
  <si>
    <t>1140/2026</t>
  </si>
  <si>
    <t>1100/2026</t>
  </si>
  <si>
    <t>ANTIGO 944/2026</t>
  </si>
  <si>
    <t>1143/2026</t>
  </si>
  <si>
    <t>CONSORCIO METROPASSE</t>
  </si>
  <si>
    <t>1157/2026</t>
  </si>
  <si>
    <t>1161/2026</t>
  </si>
  <si>
    <t>BETHA SISTEMAS LTDA</t>
  </si>
  <si>
    <t>1162/2026</t>
  </si>
  <si>
    <t>1163/2026</t>
  </si>
  <si>
    <t>1160/2026</t>
  </si>
  <si>
    <t>1159/2026</t>
  </si>
  <si>
    <t>1158/2026</t>
  </si>
  <si>
    <t>1165/2026</t>
  </si>
  <si>
    <t>1166/2026</t>
  </si>
  <si>
    <t>1142/2026</t>
  </si>
  <si>
    <t>1176/2026</t>
  </si>
  <si>
    <t>1177/2026</t>
  </si>
  <si>
    <t>BRUNA SILVA SANTOS MOURA LTDA</t>
  </si>
  <si>
    <t>1183/2026</t>
  </si>
  <si>
    <t>1175/2026</t>
  </si>
  <si>
    <t>1180/2026</t>
  </si>
  <si>
    <t>15000000/1704000/17080000</t>
  </si>
  <si>
    <t>1174/2026</t>
  </si>
  <si>
    <t>1173/2026</t>
  </si>
  <si>
    <t>GIBBOR PUBLICIDADE E PUBLICACOES DE EDITAIS EIRELI</t>
  </si>
  <si>
    <t>1172/2026</t>
  </si>
  <si>
    <t>768/2026</t>
  </si>
  <si>
    <t>1141/2026</t>
  </si>
  <si>
    <t>1135/2026</t>
  </si>
  <si>
    <t>BENEFICIO TRASNPORTE UNIVERSITARIO</t>
  </si>
  <si>
    <t>974/2026</t>
  </si>
  <si>
    <t xml:space="preserve">ADM - FRONECIMENTO DE EQUIPAMENTOS DE INFORMATICA, PERICFERICOS E COMPONENTES DE HARDWARE EQUIPAMENTOS FOTOGRAFICOS DIGITAIS E SEUS ACESSORIOS </t>
  </si>
  <si>
    <t>1185/2026</t>
  </si>
  <si>
    <t>1186/2026</t>
  </si>
  <si>
    <t>1187/2026</t>
  </si>
  <si>
    <t>1188/2026</t>
  </si>
  <si>
    <t>1203/2026</t>
  </si>
  <si>
    <t>1204/2026</t>
  </si>
  <si>
    <t>1202/2026</t>
  </si>
  <si>
    <t>1205/2026</t>
  </si>
  <si>
    <t>JOAO GUSTAVO</t>
  </si>
  <si>
    <t>1221/2026</t>
  </si>
  <si>
    <t>1218/2026</t>
  </si>
  <si>
    <t>1224/2026</t>
  </si>
  <si>
    <t>SOUL DISTRIBUIDORA DE PRODUTOS E EQUIPAMENTOS INDUSTRIAIS LTDA-ME</t>
  </si>
  <si>
    <t>1223/2026</t>
  </si>
  <si>
    <t>SENA E PRATSES LTDA-ME</t>
  </si>
  <si>
    <t xml:space="preserve">ADM - CASMISAS PARA EVENTOS </t>
  </si>
  <si>
    <t xml:space="preserve">JAQUELINE FAHNING SOCIEDADE INDIVIDUAL E ADVOCACIA </t>
  </si>
  <si>
    <t>1227/2026</t>
  </si>
  <si>
    <t>1226/2026</t>
  </si>
  <si>
    <t>E-COMBR SOLUCOES EM TECNOLOGIA LTDA</t>
  </si>
  <si>
    <t>1232/2026</t>
  </si>
  <si>
    <t>PREFEITURA MUNICIPAL DE CAMACARI</t>
  </si>
  <si>
    <t>1229/2026</t>
  </si>
  <si>
    <t>1234/2026</t>
  </si>
  <si>
    <t>1101/2026</t>
  </si>
  <si>
    <t>1244/2026</t>
  </si>
  <si>
    <t>1245/2026</t>
  </si>
  <si>
    <t>1242/2026</t>
  </si>
  <si>
    <t>1243/2026</t>
  </si>
  <si>
    <t>1241/2026</t>
  </si>
  <si>
    <t>1247/2026</t>
  </si>
  <si>
    <t>1240/2026</t>
  </si>
  <si>
    <t>1239/2026</t>
  </si>
  <si>
    <t>1235/2026</t>
  </si>
  <si>
    <t>1236/2026</t>
  </si>
  <si>
    <t>1237/2026</t>
  </si>
  <si>
    <t>1238/2026</t>
  </si>
  <si>
    <t>1246/2026</t>
  </si>
  <si>
    <t>1249/2026</t>
  </si>
  <si>
    <t>1248/2026</t>
  </si>
  <si>
    <t>1263/2026</t>
  </si>
  <si>
    <t>1233/2026</t>
  </si>
  <si>
    <t>1295/2026</t>
  </si>
  <si>
    <t>1293/2026</t>
  </si>
  <si>
    <t>1294/2026</t>
  </si>
  <si>
    <t>1104/2026</t>
  </si>
  <si>
    <t>1284/2026</t>
  </si>
  <si>
    <t>1290/2026</t>
  </si>
  <si>
    <t>1291/2026</t>
  </si>
  <si>
    <t>STAR BOSS COMERCIAL</t>
  </si>
  <si>
    <t>204/2026</t>
  </si>
  <si>
    <t>483/2026</t>
  </si>
  <si>
    <t>15001002/16003110/16003120/15010000</t>
  </si>
  <si>
    <t>15001002/16000000/16003120/1501000</t>
  </si>
  <si>
    <t>671/2026</t>
  </si>
  <si>
    <t>600/2026</t>
  </si>
  <si>
    <t>ANTIGO 1108/26</t>
  </si>
  <si>
    <t>1300/2026</t>
  </si>
  <si>
    <t>1302/2026</t>
  </si>
  <si>
    <t xml:space="preserve">INSTITUTO +EDUCA LTDA </t>
  </si>
  <si>
    <t>1303/2026</t>
  </si>
  <si>
    <t>1320/2026</t>
  </si>
  <si>
    <t>1322/2026</t>
  </si>
  <si>
    <t>1321/2026</t>
  </si>
  <si>
    <t>ADM - GRADUS ASSESSORIA E CONSULTORIA CONTABIL</t>
  </si>
  <si>
    <t xml:space="preserve">MOTA &amp; MEDAUAR ADVOGADOS E ASSOCIADOS </t>
  </si>
  <si>
    <t>ANTIGO 10858/25 1109/26</t>
  </si>
  <si>
    <t>1332/2026</t>
  </si>
  <si>
    <t>1331/2026</t>
  </si>
  <si>
    <t>1333/2026</t>
  </si>
  <si>
    <t>1334/2026</t>
  </si>
  <si>
    <t>1335/2026</t>
  </si>
  <si>
    <t>1336/2026</t>
  </si>
  <si>
    <t>1337/2026</t>
  </si>
  <si>
    <t>1325/2026</t>
  </si>
  <si>
    <t>1326/2026</t>
  </si>
  <si>
    <t>1327/2026</t>
  </si>
  <si>
    <t>457/2026</t>
  </si>
  <si>
    <t xml:space="preserve">WELLINGTON OSORIO MODESTO E SILVA SOCIEDADE INDIVIDUAL DE ADVOCACIA </t>
  </si>
  <si>
    <t>655/2026</t>
  </si>
  <si>
    <t>15000000/15010000</t>
  </si>
  <si>
    <t>522/2026</t>
  </si>
  <si>
    <t>MARCOS VENANCIO DOS SANTOS EIRELI</t>
  </si>
  <si>
    <t>559/2026</t>
  </si>
  <si>
    <t>1361/2026</t>
  </si>
  <si>
    <t>1360/2026</t>
  </si>
  <si>
    <t>1358/2026</t>
  </si>
  <si>
    <t>1359/2026</t>
  </si>
  <si>
    <t>1362/2026</t>
  </si>
  <si>
    <t>1324/2026</t>
  </si>
  <si>
    <t>1347/2026</t>
  </si>
  <si>
    <t>1373/2026</t>
  </si>
  <si>
    <t>1374/2026</t>
  </si>
  <si>
    <t>1376/2026</t>
  </si>
  <si>
    <t>1377/2026</t>
  </si>
  <si>
    <t>1378/2026</t>
  </si>
  <si>
    <t>1375/2026</t>
  </si>
  <si>
    <t>MAELI CONSULTORIA LTDA</t>
  </si>
  <si>
    <t>1382/2026</t>
  </si>
  <si>
    <t>1383/2026</t>
  </si>
  <si>
    <t>1381/2026</t>
  </si>
  <si>
    <t>NERGES CONSTRUÇÕES EIRELI</t>
  </si>
  <si>
    <t>1385/2026</t>
  </si>
  <si>
    <t>1387/2026</t>
  </si>
  <si>
    <t>1392/2026</t>
  </si>
  <si>
    <t>1393/2026</t>
  </si>
  <si>
    <t>1395/2026</t>
  </si>
  <si>
    <t>SUELI APARECIDA RUA GRACIANO</t>
  </si>
  <si>
    <t>1398/2026</t>
  </si>
  <si>
    <t>1396/2026</t>
  </si>
  <si>
    <t>CAMALIBE DE FREITAS CAJAZEIRA</t>
  </si>
  <si>
    <t>1397/2026</t>
  </si>
  <si>
    <t>1403/2026</t>
  </si>
  <si>
    <t>1402/2026</t>
  </si>
  <si>
    <t>1400/2026</t>
  </si>
  <si>
    <t>45/2026</t>
  </si>
  <si>
    <t>ADM - KONICA MINOLTA HEALTHCARE</t>
  </si>
  <si>
    <t>008/2026</t>
  </si>
  <si>
    <t>RMR AGROINDUSTRIA COMERCIO ATACADISTA</t>
  </si>
  <si>
    <t>1425/2026</t>
  </si>
  <si>
    <t>MS HOSPITALAR LTDA</t>
  </si>
  <si>
    <t>1426/2026</t>
  </si>
  <si>
    <t>1420/2026</t>
  </si>
  <si>
    <t>1423/2026</t>
  </si>
  <si>
    <t>BOLETO</t>
  </si>
  <si>
    <t>PRODUS PRODUTOS E SOLUÇÕES PARA INFORMATICA LTDA</t>
  </si>
  <si>
    <t>1422/2026</t>
  </si>
  <si>
    <t>1424/2026</t>
  </si>
  <si>
    <t>1430/2026</t>
  </si>
  <si>
    <t>1429/2026</t>
  </si>
  <si>
    <t>ANDERSON ARAUJO COUTO</t>
  </si>
  <si>
    <t>1428/2026</t>
  </si>
  <si>
    <t>DEPOSITO</t>
  </si>
  <si>
    <t>1095/2026</t>
  </si>
  <si>
    <t>ADM - KIT SEMANA SANTA</t>
  </si>
  <si>
    <t>ADM - MANUTENÇÃO EQUIAPEMNETOS RAIO X</t>
  </si>
  <si>
    <t>1434/2026</t>
  </si>
  <si>
    <t>1437/2026</t>
  </si>
  <si>
    <t>1438/2026</t>
  </si>
  <si>
    <t>1439/2026</t>
  </si>
  <si>
    <t>PNK COMERCIO DE BOLSAS LTDA</t>
  </si>
  <si>
    <t>TRANSMONTANO ATACADAO E DISTRIBUIDORA LTDA</t>
  </si>
  <si>
    <t>1441/2026</t>
  </si>
  <si>
    <t>1455/2026</t>
  </si>
  <si>
    <t>1456/2026</t>
  </si>
  <si>
    <t>1453/2026</t>
  </si>
  <si>
    <t>1458/2026</t>
  </si>
  <si>
    <t>1459/2026</t>
  </si>
  <si>
    <t>PRONTUS COMERCIAL LTDA</t>
  </si>
  <si>
    <t>1462/2026</t>
  </si>
  <si>
    <t>1465/2026</t>
  </si>
  <si>
    <t>1471/2026</t>
  </si>
  <si>
    <t>1470/2026</t>
  </si>
  <si>
    <t>1472/2026</t>
  </si>
  <si>
    <t>1473/2026</t>
  </si>
  <si>
    <t>1478/2026</t>
  </si>
  <si>
    <t>2 VOLUMES</t>
  </si>
  <si>
    <t>724/2026</t>
  </si>
  <si>
    <t>ADM - CONTRATACAO DE EMPRESA ESPECIALIZADA EM OBRAS E SERVICOS DE ENGENHARIA PARA CONSTRUCAO DE CRECHE PRE-ESCOLA TIPO 1 BAIRRO PARQUE PETROPOLIS, NO MUNICIPIO DE DIAS D'AVILA</t>
  </si>
  <si>
    <t>1479/2026</t>
  </si>
  <si>
    <t>1394/2026</t>
  </si>
  <si>
    <t>1482/2026</t>
  </si>
  <si>
    <t>1481/2026</t>
  </si>
  <si>
    <t>1492/2026</t>
  </si>
  <si>
    <t>1022/2026</t>
  </si>
  <si>
    <t>COMPETENCIA DEZEMBRO DE 2025-REDE ABERTA DAS ORGANIZAÇÕES DE CIVIL ORGANIZADA DE CAMAÇARI</t>
  </si>
  <si>
    <t>VVVVVVVVVVVVVVVVVVVVVV</t>
  </si>
  <si>
    <t>1511/2026</t>
  </si>
  <si>
    <t>1498/2026</t>
  </si>
  <si>
    <t>1497/2026</t>
  </si>
  <si>
    <t>1499/2026</t>
  </si>
  <si>
    <t>1500/2026</t>
  </si>
  <si>
    <t>1519/2026</t>
  </si>
  <si>
    <t>A &amp; S COMERCIO DE PRODUTOS E MATERIAIS HOSPITALARES</t>
  </si>
  <si>
    <t>1517/2026</t>
  </si>
  <si>
    <t>1516/2026</t>
  </si>
  <si>
    <t>PREFEITURA MUNICIPAL DE DIAS DAVILA</t>
  </si>
  <si>
    <t>JD SAUDE HOSPITALAR LTDA</t>
  </si>
  <si>
    <t>1514/2026</t>
  </si>
  <si>
    <t>1515/2026</t>
  </si>
  <si>
    <t>1520/2026</t>
  </si>
  <si>
    <t>1512/2026</t>
  </si>
  <si>
    <t>1495/2026</t>
  </si>
  <si>
    <t>1521/2026</t>
  </si>
  <si>
    <t>1525/2026</t>
  </si>
  <si>
    <t>1464/2026</t>
  </si>
  <si>
    <t>1304/2026</t>
  </si>
  <si>
    <t>SAUDE MEDIC COMERCIO DE PRODUTOS MEDICOS E HOSPITALARES LTDA</t>
  </si>
  <si>
    <t>1528/2026</t>
  </si>
  <si>
    <t>1527/2026</t>
  </si>
  <si>
    <t>1526/2026</t>
  </si>
  <si>
    <t>1524/2026</t>
  </si>
  <si>
    <t>1531/2026</t>
  </si>
  <si>
    <t>1532/2026</t>
  </si>
  <si>
    <t>1534/2026</t>
  </si>
  <si>
    <t>RAIMUNDO BARBOSA SAMPAIO FILHO</t>
  </si>
  <si>
    <t>1530/2026</t>
  </si>
  <si>
    <t>1533/2026</t>
  </si>
  <si>
    <t>1537/2026</t>
  </si>
  <si>
    <t>1477/2026</t>
  </si>
  <si>
    <t>1475/2026</t>
  </si>
  <si>
    <t>1556/2026</t>
  </si>
  <si>
    <t>1558/2026</t>
  </si>
  <si>
    <t>1559/2026</t>
  </si>
  <si>
    <t>1561/2026</t>
  </si>
  <si>
    <t>DOC COMERCIO DE PRODUTOS HOSPITALAR LTDA-APP</t>
  </si>
  <si>
    <t>1562/2026</t>
  </si>
  <si>
    <t>7746/7758</t>
  </si>
  <si>
    <t>1560/2026</t>
  </si>
  <si>
    <t>1564/2026</t>
  </si>
  <si>
    <t>1566/2026</t>
  </si>
  <si>
    <t>1571/2026</t>
  </si>
  <si>
    <t>1573/2026</t>
  </si>
  <si>
    <t>1574/2026</t>
  </si>
  <si>
    <t>15400000/15001001</t>
  </si>
  <si>
    <t>1575/2026</t>
  </si>
  <si>
    <t>BARTOLOMEU SOUZA SILVA EPP</t>
  </si>
  <si>
    <t>1542/2026</t>
  </si>
  <si>
    <t>1577/2026</t>
  </si>
  <si>
    <t>ADM - AQUISICAO DE MOBILIARIO PERMANENTE (GUARDA ROUPA E ARMARIOS DE COPA/COZINHA), VISANDO ATENDER AS NECESSIDADES DAS SECRETARIAS E ORGAOS VINCULADOS A PREFEITURA DE DIAS DAVILAS</t>
  </si>
  <si>
    <t>1110/2026</t>
  </si>
  <si>
    <t>ADM - DATA PRINT</t>
  </si>
  <si>
    <t>1581/2026</t>
  </si>
  <si>
    <t>1583/2026</t>
  </si>
  <si>
    <t>1582/2026</t>
  </si>
  <si>
    <t>1597/2026</t>
  </si>
  <si>
    <t>1608/2026</t>
  </si>
  <si>
    <t>1607/2026</t>
  </si>
  <si>
    <t>1606/2026</t>
  </si>
  <si>
    <t>1605/2026</t>
  </si>
  <si>
    <t>1604/2026</t>
  </si>
  <si>
    <t>1601/2026</t>
  </si>
  <si>
    <t>1610/2026</t>
  </si>
  <si>
    <t>1618/2026</t>
  </si>
  <si>
    <t>1617/2026</t>
  </si>
  <si>
    <t>1616/2026</t>
  </si>
  <si>
    <t>1615/2026</t>
  </si>
  <si>
    <t>1614/2026</t>
  </si>
  <si>
    <t>GAM-GERENCIAMENTO DE ASSISTENCIA A MULHER LTDA</t>
  </si>
  <si>
    <t>1613/2026</t>
  </si>
  <si>
    <t>1612/2026</t>
  </si>
  <si>
    <t>1611/2026</t>
  </si>
  <si>
    <t>BRUNA SILVA DOS SANTOS MOURA LTDA</t>
  </si>
  <si>
    <t>1621/2026</t>
  </si>
  <si>
    <t>1620/2026</t>
  </si>
  <si>
    <t>1619/2026</t>
  </si>
  <si>
    <t>1622/2026</t>
  </si>
  <si>
    <t>1640/2026</t>
  </si>
  <si>
    <t>1638/2026</t>
  </si>
  <si>
    <t>1625/2026</t>
  </si>
  <si>
    <t>1639/2026</t>
  </si>
  <si>
    <t>1646/2026</t>
  </si>
  <si>
    <t>ANTIGO 1460/26</t>
  </si>
  <si>
    <t>1645/2026</t>
  </si>
  <si>
    <t>ANTIGO 1457/2026</t>
  </si>
  <si>
    <t>WAUMED DISTRIBUIDORA REPRESENTACAO E TRANSPORTES LTDA</t>
  </si>
  <si>
    <t>1653/2026</t>
  </si>
  <si>
    <t>1652/2026</t>
  </si>
  <si>
    <t>1651/2026</t>
  </si>
  <si>
    <t xml:space="preserve">DENTECK LTDA </t>
  </si>
  <si>
    <t>1650/2026</t>
  </si>
  <si>
    <t>1659/2026</t>
  </si>
  <si>
    <t>1648/2026</t>
  </si>
  <si>
    <t>1641/2026</t>
  </si>
  <si>
    <t>1647/2026</t>
  </si>
  <si>
    <t>1657/2026</t>
  </si>
  <si>
    <t>1656/2026</t>
  </si>
  <si>
    <t>1655/2026</t>
  </si>
  <si>
    <t>1654/2026</t>
  </si>
  <si>
    <t>1476/2026</t>
  </si>
  <si>
    <t>1680/2026</t>
  </si>
  <si>
    <t>ADM -ARTISTA/BANDA DNA DO PAGODE</t>
  </si>
  <si>
    <t>1536/2026</t>
  </si>
  <si>
    <t>1570/2026</t>
  </si>
  <si>
    <t>1578/2026</t>
  </si>
  <si>
    <t>1719/2026</t>
  </si>
  <si>
    <t>1716/2026</t>
  </si>
  <si>
    <t>1714/2026</t>
  </si>
  <si>
    <t>1713/2026</t>
  </si>
  <si>
    <t>1731/2026</t>
  </si>
  <si>
    <t>2796342/2796343</t>
  </si>
  <si>
    <t>1721/2026</t>
  </si>
  <si>
    <t>1732/2026</t>
  </si>
  <si>
    <t>1733/2026</t>
  </si>
  <si>
    <t>1729/2026</t>
  </si>
  <si>
    <t>1725/2026</t>
  </si>
  <si>
    <t>1735/2026</t>
  </si>
  <si>
    <t>1736/2026</t>
  </si>
  <si>
    <t>CONSORCIO DE INOVACAO NA GESTAO PUBLICA - CIGA</t>
  </si>
  <si>
    <t>1737/2026</t>
  </si>
  <si>
    <t>CONSORCIO PUBLICO INTERFEDERATIVO DE SAUDE DA REGIAO RECONCAVO NORTE - MRN</t>
  </si>
  <si>
    <t>1723/2026</t>
  </si>
  <si>
    <t>1722/2026</t>
  </si>
  <si>
    <t>1726/2026</t>
  </si>
  <si>
    <t>1718/2026</t>
  </si>
  <si>
    <t>1740/2026</t>
  </si>
  <si>
    <t>1739/2026</t>
  </si>
  <si>
    <t>1702/2026</t>
  </si>
  <si>
    <t>1738/2026</t>
  </si>
  <si>
    <t>1749/2026</t>
  </si>
  <si>
    <t>1748/2026</t>
  </si>
  <si>
    <t>1747/2026</t>
  </si>
  <si>
    <t>1745/2026</t>
  </si>
  <si>
    <t>1741/2026</t>
  </si>
  <si>
    <t>1753/2026</t>
  </si>
  <si>
    <t>1752/2026</t>
  </si>
  <si>
    <t>1750/2026</t>
  </si>
  <si>
    <t>1755/2026</t>
  </si>
  <si>
    <t>1758/2026</t>
  </si>
  <si>
    <t>1759/2026</t>
  </si>
  <si>
    <t>1757/2026</t>
  </si>
  <si>
    <t>1756/2026</t>
  </si>
  <si>
    <t>EXEMPLO COMERCIO E SERVICOS DE INFORMATICA LTDA</t>
  </si>
  <si>
    <t>1762/2026</t>
  </si>
  <si>
    <t>1760/2026</t>
  </si>
  <si>
    <t>1761/2026</t>
  </si>
  <si>
    <t>1754/2026</t>
  </si>
  <si>
    <t>1764/2026</t>
  </si>
  <si>
    <t>1763/2026</t>
  </si>
  <si>
    <t>1399/2026</t>
  </si>
  <si>
    <t>ADM - FUNDAÇÃO CESAR MONTES</t>
  </si>
  <si>
    <t>1782/2026</t>
  </si>
  <si>
    <t>1783/2026</t>
  </si>
  <si>
    <t>1784/2026</t>
  </si>
  <si>
    <t>1789/2026</t>
  </si>
  <si>
    <t>1791/2026</t>
  </si>
  <si>
    <t>ASSESSORIA E CONSULTORIA E TREINAMENTO LTDA</t>
  </si>
  <si>
    <t>1794/2026</t>
  </si>
  <si>
    <t>1793/2026</t>
  </si>
  <si>
    <t>1795/2026</t>
  </si>
  <si>
    <t>1796/2026</t>
  </si>
  <si>
    <t>1797/2026</t>
  </si>
  <si>
    <t>1800/2026</t>
  </si>
  <si>
    <t>1803/2026</t>
  </si>
  <si>
    <t>1802/2026</t>
  </si>
  <si>
    <t>1801/2026</t>
  </si>
  <si>
    <t>1799/2026</t>
  </si>
  <si>
    <t>1798/2026</t>
  </si>
  <si>
    <t>1804/2026</t>
  </si>
  <si>
    <t>1808/2026</t>
  </si>
  <si>
    <t>1815/2026</t>
  </si>
  <si>
    <t>1814/2026</t>
  </si>
  <si>
    <t>1813/2026</t>
  </si>
  <si>
    <t>1812/2026</t>
  </si>
  <si>
    <t>17040000/1500000</t>
  </si>
  <si>
    <t>1818/2026</t>
  </si>
  <si>
    <t>LIGA ENGENHARIA LTDA</t>
  </si>
  <si>
    <t>1649/2026</t>
  </si>
  <si>
    <t>1844/2026</t>
  </si>
  <si>
    <t>5399/5396</t>
  </si>
  <si>
    <t>1848/2026</t>
  </si>
  <si>
    <t>1846/2026</t>
  </si>
  <si>
    <t>1824/2026</t>
  </si>
  <si>
    <t>1823/2026</t>
  </si>
  <si>
    <t>1825/2026</t>
  </si>
  <si>
    <t>1843/2026</t>
  </si>
  <si>
    <t>1852/2026</t>
  </si>
  <si>
    <t>1849/2026</t>
  </si>
  <si>
    <t>1851/2026</t>
  </si>
  <si>
    <t>BANCO  DO BRASIL</t>
  </si>
  <si>
    <t>1319/2026</t>
  </si>
  <si>
    <t>1190/2026</t>
  </si>
  <si>
    <t>1494/2026</t>
  </si>
  <si>
    <t>1371/2026</t>
  </si>
  <si>
    <t>1323/2026</t>
  </si>
  <si>
    <t>TLD HUB DE CIBERSEGURANÇA</t>
  </si>
  <si>
    <t>1682/2026</t>
  </si>
  <si>
    <t>1853/2026</t>
  </si>
  <si>
    <t>1785/2026</t>
  </si>
  <si>
    <t>1860/2026</t>
  </si>
  <si>
    <t>1861/2026</t>
  </si>
  <si>
    <t>1865/2026</t>
  </si>
  <si>
    <t>1862/2026</t>
  </si>
  <si>
    <t>1864/2026</t>
  </si>
  <si>
    <t>1863/2026</t>
  </si>
  <si>
    <t>ADM - ALDIR BLANC - MOVIMENTO EM REDE - DANÇA DE RUA NOS BAIRROS</t>
  </si>
  <si>
    <t>1493/2026</t>
  </si>
  <si>
    <t>ADM - ALDIR BLANC - VIBRA CULTURA</t>
  </si>
  <si>
    <t>1580/2026</t>
  </si>
  <si>
    <t>1463/2026</t>
  </si>
  <si>
    <t>ADM - ALDIR BLANC - OFICINA DE FORMAÇÃO EM CRIAÇÃO DE CENARIOS PARA ARTES CÊNICAS E MUSICAIS (PNAB)</t>
  </si>
  <si>
    <t>ADM - ALDIR BLANC - PAIXÃO DE CRISTO</t>
  </si>
  <si>
    <t>1442/2026</t>
  </si>
  <si>
    <t>1488/2026</t>
  </si>
  <si>
    <t xml:space="preserve">ADM - ALDIR BLANC - SOM E MOVIMENTO </t>
  </si>
  <si>
    <t>ANTIGO 1817/2026</t>
  </si>
  <si>
    <t>ANTIGO 1816/2026</t>
  </si>
  <si>
    <t>1881/2026</t>
  </si>
  <si>
    <t>1882/2026</t>
  </si>
  <si>
    <t>1889/2026</t>
  </si>
  <si>
    <t>1877/2026</t>
  </si>
  <si>
    <t>1878/2026</t>
  </si>
  <si>
    <t>1880/2026</t>
  </si>
  <si>
    <t>1892/2026</t>
  </si>
  <si>
    <t>1894/2026</t>
  </si>
  <si>
    <t>1896/2026</t>
  </si>
  <si>
    <t>1898/2026</t>
  </si>
  <si>
    <t>1899/2026</t>
  </si>
  <si>
    <t>1901/2026</t>
  </si>
  <si>
    <t>1902/2026</t>
  </si>
  <si>
    <t>1906/2026</t>
  </si>
  <si>
    <t>1905/2026</t>
  </si>
  <si>
    <t>1184/2026</t>
  </si>
  <si>
    <t>ADM - COMO SER UM EDUCADOR ANTIRRACISTA</t>
  </si>
  <si>
    <t xml:space="preserve">BANCO BRADESCO AS </t>
  </si>
  <si>
    <t>1225/2026</t>
  </si>
  <si>
    <t>958/2026</t>
  </si>
  <si>
    <t>ITAU UNIBANCO S A</t>
  </si>
  <si>
    <t>RESTOS A PAGAR</t>
  </si>
  <si>
    <t>1765/2026</t>
  </si>
  <si>
    <t>1910/2026</t>
  </si>
  <si>
    <t>1912/2026</t>
  </si>
  <si>
    <t>1909/2026</t>
  </si>
  <si>
    <t>1907/2026</t>
  </si>
  <si>
    <t>1914/2026</t>
  </si>
  <si>
    <t>WTW CONSTRUTORA  E SERVICOS LTDA EPP</t>
  </si>
  <si>
    <t>1926/2026</t>
  </si>
  <si>
    <t>1927/2026</t>
  </si>
  <si>
    <t>1928/2026</t>
  </si>
  <si>
    <t>1929/2026</t>
  </si>
  <si>
    <t>1930/2026</t>
  </si>
  <si>
    <t>1938/2026</t>
  </si>
  <si>
    <t>GREEN CARD S/A REFEICOES COMERCIO E SERVICOS</t>
  </si>
  <si>
    <t>1940/2026</t>
  </si>
  <si>
    <t>1941/2026</t>
  </si>
  <si>
    <t>1942/2026</t>
  </si>
  <si>
    <t>1952/2026</t>
  </si>
  <si>
    <t>1951/2026</t>
  </si>
  <si>
    <t>CIDADÃO DO FUTURO</t>
  </si>
  <si>
    <t>1945/2026</t>
  </si>
  <si>
    <t>15400000/15001002</t>
  </si>
  <si>
    <t>1946/2026</t>
  </si>
  <si>
    <t>1879/2026</t>
  </si>
  <si>
    <t>1937/2026</t>
  </si>
  <si>
    <t>1956/2026</t>
  </si>
  <si>
    <t>1957/2026</t>
  </si>
  <si>
    <t>1961/2026</t>
  </si>
  <si>
    <t>1960/2026</t>
  </si>
  <si>
    <t>1959/2026</t>
  </si>
  <si>
    <t>1968/2026</t>
  </si>
  <si>
    <t>ALDARY GOES EVENTOS E COMERCIO LTDA</t>
  </si>
  <si>
    <t>1958/2026</t>
  </si>
  <si>
    <t>1977/2026</t>
  </si>
  <si>
    <t>1976/2026</t>
  </si>
  <si>
    <t>1975/2026</t>
  </si>
  <si>
    <t>1974/2026</t>
  </si>
  <si>
    <t>1972/2026</t>
  </si>
  <si>
    <t>1971/2026</t>
  </si>
  <si>
    <t>INSIGHT INDUSTRIA DA ILUMINACAO LTDA</t>
  </si>
  <si>
    <t>1982/2026</t>
  </si>
  <si>
    <t>1990/2026</t>
  </si>
  <si>
    <t>1986/2026</t>
  </si>
  <si>
    <t>1984/2026</t>
  </si>
  <si>
    <t>1998/2026</t>
  </si>
  <si>
    <t>1997/2026</t>
  </si>
  <si>
    <t>1996/2026</t>
  </si>
  <si>
    <t>1995/2026</t>
  </si>
  <si>
    <t>1994/2026</t>
  </si>
  <si>
    <t>1985/2026</t>
  </si>
  <si>
    <t>1983/2026</t>
  </si>
  <si>
    <t>1988/2026</t>
  </si>
  <si>
    <t>1999/2026</t>
  </si>
  <si>
    <t>1991/2026</t>
  </si>
  <si>
    <t>2002/2026</t>
  </si>
  <si>
    <t>2001/2026</t>
  </si>
  <si>
    <t>1077/2026</t>
  </si>
  <si>
    <t xml:space="preserve">ADM - </t>
  </si>
  <si>
    <t>2003/2026</t>
  </si>
  <si>
    <t>2004/2026</t>
  </si>
  <si>
    <t>2029/2026</t>
  </si>
  <si>
    <t>2027/2026</t>
  </si>
  <si>
    <t>2026/2026</t>
  </si>
  <si>
    <t>2025/2026</t>
  </si>
  <si>
    <t>ATOTO COMUCICACOES LTDA</t>
  </si>
  <si>
    <t>2020/2026</t>
  </si>
  <si>
    <t>9758/2026</t>
  </si>
  <si>
    <t xml:space="preserve">ADM - GRUPO INFORMAL DE </t>
  </si>
  <si>
    <t>ADM - KOMICA RAIO X</t>
  </si>
  <si>
    <t>2039/2026</t>
  </si>
  <si>
    <t>2037/2026</t>
  </si>
  <si>
    <t>2040/2026</t>
  </si>
  <si>
    <t>2036/2026</t>
  </si>
  <si>
    <t>2035/2026</t>
  </si>
  <si>
    <t>2034/2026</t>
  </si>
  <si>
    <t>2032/2026</t>
  </si>
  <si>
    <t>2041/2026</t>
  </si>
  <si>
    <t>2042/2026</t>
  </si>
  <si>
    <t>CONSTRUTORA JF PRADO LTDA</t>
  </si>
  <si>
    <t>2043/2026</t>
  </si>
  <si>
    <t>2048/2026</t>
  </si>
  <si>
    <t>ADM - PENSO - REGISTRO DE PREÇO PARA FUTURO E EVENTUAL FORNECIMENTODE MEDICAMENTOS, VISANDO ATENDER AS NECESSIDADES DA CENTRAL DE ABASTECIMENTO FARMACEUTICO , ATENCAO BASICA, MEDIA E ALTA COMPLEXIDADE E MEDICAMENTOS DE CONTROLE ESPECIAL COOPERAMDO PARA A DISTRIBUICAO DOS MESMOS A POPULACAO DO MUNICIPIO DE DIAS DAVILA</t>
  </si>
  <si>
    <t>8305/2026</t>
  </si>
  <si>
    <t>JOSE RAIMUNDO SANTANA DE CARVALHO ME</t>
  </si>
  <si>
    <t>2064/2026</t>
  </si>
  <si>
    <t>2053/2026</t>
  </si>
  <si>
    <t>2052/2026</t>
  </si>
  <si>
    <t>ADM - CONTRATACAO DE EMPRESA ESPECIALIZADA PARA PRESTACAO DE SERVICOS DE EVENTOS ESPORTIVOS OBJETIVANDO A REALIZACAO DE JOGOS DE COMPETICAO ESPORTIVAS A SEREM REALIZADOS PELA SEMEL</t>
  </si>
  <si>
    <t>2074/2026</t>
  </si>
  <si>
    <t>2073/2026</t>
  </si>
  <si>
    <t>2072/2026</t>
  </si>
  <si>
    <t>2071/2026</t>
  </si>
  <si>
    <t>2075/2026</t>
  </si>
  <si>
    <t>2051/2026</t>
  </si>
  <si>
    <t>2050/2026</t>
  </si>
  <si>
    <t>YODA PRODUCOES ARTISTICAS E EVENTOS LTDA</t>
  </si>
  <si>
    <t>1751/2026</t>
  </si>
  <si>
    <t>ADM - AQUISICAO DE CARIMBOS, REFIS DE ALMOFADAS E TINTAS PARA CARIMBOS, VISANDO ATENDER AS NECESSIDADES DAS SECRETARIAS E ORGAOS VINCULADOS A PREFEITURA</t>
  </si>
  <si>
    <t>2977/2026</t>
  </si>
  <si>
    <t>ADM - REDE ABERTA DAS ORGANIZAÇÕES DE CIVIL ORGANIZADA DE CAMAÇARI</t>
  </si>
  <si>
    <t>3828/2026</t>
  </si>
  <si>
    <t>REDE ABERTA DAS ORGANIZAÇÕES DE CIVIL ORGANIZADA DE CAMAÇARI - ISIBA</t>
  </si>
  <si>
    <t>7058/2026</t>
  </si>
  <si>
    <t>2079/2026</t>
  </si>
  <si>
    <t>2080/2026</t>
  </si>
  <si>
    <t>GISELLE FERNANDES LACERDA</t>
  </si>
  <si>
    <t>2085/2026</t>
  </si>
  <si>
    <t>2083/2026</t>
  </si>
  <si>
    <t>SERVICO NACIONAL DE APRENDIZAGEM - SENAC</t>
  </si>
  <si>
    <t>2094/2026</t>
  </si>
  <si>
    <t>2098/2026</t>
  </si>
  <si>
    <t>2096/2026</t>
  </si>
  <si>
    <t>2097/2026</t>
  </si>
  <si>
    <t>2095/2026</t>
  </si>
  <si>
    <t>2099/2026</t>
  </si>
  <si>
    <t>2111/2026</t>
  </si>
  <si>
    <t>2110/2026</t>
  </si>
  <si>
    <t>1953/2026</t>
  </si>
  <si>
    <t>1766/2026</t>
  </si>
  <si>
    <t>ADM - CURSO DE ATUALIZACAO DE REFORMA TRIBUTARIA</t>
  </si>
  <si>
    <t>2124/2026</t>
  </si>
  <si>
    <t>1809/2026</t>
  </si>
  <si>
    <t>911/2026</t>
  </si>
  <si>
    <t>1269/2026</t>
  </si>
  <si>
    <t>REALCE PRODUCOES E EVENTOS LTDA</t>
  </si>
  <si>
    <t>2120/2026</t>
  </si>
  <si>
    <t>2117/2026</t>
  </si>
  <si>
    <t>JB CEAT - CONSULTORIA EMPRESARIAL E ASSESSORIA TECNICA LTDA</t>
  </si>
  <si>
    <t>2125/2026</t>
  </si>
  <si>
    <t>2119/2026</t>
  </si>
  <si>
    <t>2118/2026</t>
  </si>
  <si>
    <t>2121/2026</t>
  </si>
  <si>
    <t>2130/2026</t>
  </si>
  <si>
    <t>2129/2026</t>
  </si>
  <si>
    <t>2128/2026</t>
  </si>
  <si>
    <t>2127/2026</t>
  </si>
  <si>
    <t>2126/2026</t>
  </si>
  <si>
    <t>2133/2026</t>
  </si>
  <si>
    <t>2132/2026</t>
  </si>
  <si>
    <t>2131/2026</t>
  </si>
  <si>
    <t>GUAJARA TEND TUDO MATERIAIS DE CONSTRUCAO LTDA EPP</t>
  </si>
  <si>
    <t>2151/2026</t>
  </si>
  <si>
    <t>2153/2026</t>
  </si>
  <si>
    <t>2152/2026</t>
  </si>
  <si>
    <t>2154/2026</t>
  </si>
  <si>
    <t>2156/2026</t>
  </si>
  <si>
    <t>2031/2026</t>
  </si>
  <si>
    <t xml:space="preserve">TEREZINHA </t>
  </si>
  <si>
    <t>2162/2026</t>
  </si>
  <si>
    <t>2164/2026</t>
  </si>
  <si>
    <t>MCS ATACADISTA DE MEDICAMENTOS E PRODUTOS FARMACEUTICOS</t>
  </si>
  <si>
    <t>2170/2026</t>
  </si>
  <si>
    <t>2172/2026</t>
  </si>
  <si>
    <t>2171/2026</t>
  </si>
  <si>
    <t>2173/2026</t>
  </si>
  <si>
    <t>2169/2026</t>
  </si>
  <si>
    <t>2168/2026</t>
  </si>
  <si>
    <t>2166/2026</t>
  </si>
  <si>
    <t>2165/2026</t>
  </si>
  <si>
    <t>2163/2026</t>
  </si>
  <si>
    <t>2191/2026</t>
  </si>
  <si>
    <t>2192/2026</t>
  </si>
  <si>
    <t>2193/2026</t>
  </si>
  <si>
    <t>2189/2026</t>
  </si>
  <si>
    <t>2115/2026</t>
  </si>
  <si>
    <t>2187/2026</t>
  </si>
  <si>
    <t>2195/2026</t>
  </si>
  <si>
    <t>2188/2026</t>
  </si>
  <si>
    <t>2194/2026</t>
  </si>
  <si>
    <t>ADM - CONTRATACAO D EMPRESA ESPECIALIZADA EM EVENTOS ESPORTIVOS</t>
  </si>
  <si>
    <t>1339/2026</t>
  </si>
  <si>
    <t>2197/2026</t>
  </si>
  <si>
    <t>2196/2026</t>
  </si>
  <si>
    <t>OKEY-MED DISTRIBUIDORA DE MEDICAMENTOS HOSPITALARES</t>
  </si>
  <si>
    <t>2198/2026</t>
  </si>
  <si>
    <t>2199/2026</t>
  </si>
  <si>
    <t>2200/2026</t>
  </si>
  <si>
    <t>2201/2026</t>
  </si>
  <si>
    <t>CANCELADO</t>
  </si>
  <si>
    <t/>
  </si>
  <si>
    <t>DATA PRINT INFORMATICA DADOS VARIAVEIS &amp; LOGISTIA</t>
  </si>
  <si>
    <t>2220/2026</t>
  </si>
  <si>
    <t>2203/2026</t>
  </si>
  <si>
    <t>2204/2026</t>
  </si>
  <si>
    <t>2202/2026</t>
  </si>
  <si>
    <t>DENTAL BH BRASIL COMERCIO DE PRODUTOS ODONTO-MEDICO HOSPITALAR</t>
  </si>
  <si>
    <t>2222/2026</t>
  </si>
  <si>
    <t>2226/2026</t>
  </si>
  <si>
    <t>2227/2026</t>
  </si>
  <si>
    <t>2228/2026</t>
  </si>
  <si>
    <t>2224/2026</t>
  </si>
  <si>
    <t>2223/2026</t>
  </si>
  <si>
    <t>2114/2026</t>
  </si>
  <si>
    <t>2225/2026</t>
  </si>
  <si>
    <t>2233/2026</t>
  </si>
  <si>
    <t>2238/2026</t>
  </si>
  <si>
    <t>2236/2026</t>
  </si>
  <si>
    <t>2237/2026</t>
  </si>
  <si>
    <t>BANCO DO BRASIL IMPLEMENTAÇÃO BB GOV 360°</t>
  </si>
  <si>
    <t>10095/2025</t>
  </si>
  <si>
    <t>10205/2025</t>
  </si>
  <si>
    <t xml:space="preserve">MEDISIL MEDICAMENTOS LTDA </t>
  </si>
  <si>
    <t>1792/2026</t>
  </si>
  <si>
    <t>CBD MED BRAZIL</t>
  </si>
  <si>
    <t>2038/2026</t>
  </si>
  <si>
    <t>1623/2026</t>
  </si>
  <si>
    <t>1338/2026</t>
  </si>
  <si>
    <t>2239/2026</t>
  </si>
  <si>
    <t>ANTIGO 1980</t>
  </si>
  <si>
    <t>2147/2026</t>
  </si>
  <si>
    <t>2146/2026</t>
  </si>
  <si>
    <t>2145/2026</t>
  </si>
  <si>
    <t>2144/2026</t>
  </si>
  <si>
    <t>561/2026</t>
  </si>
  <si>
    <t>9208/2025</t>
  </si>
  <si>
    <t>9209/2025</t>
  </si>
  <si>
    <t>2252/2026</t>
  </si>
  <si>
    <t>ANTIGO 1908</t>
  </si>
  <si>
    <t>CAMILA MACEDO FISIOTERAPIA E ESTETICA LTDA (SILAS SILVANO DE JESUS)</t>
  </si>
  <si>
    <t>2241/2026</t>
  </si>
  <si>
    <t>2240/2026</t>
  </si>
  <si>
    <t>2254/2026</t>
  </si>
  <si>
    <t>2256/2026</t>
  </si>
  <si>
    <t>2257/2026</t>
  </si>
  <si>
    <t>2258/2026</t>
  </si>
  <si>
    <t>2260/2026</t>
  </si>
  <si>
    <t>2259/2026</t>
  </si>
  <si>
    <t>2261/2026</t>
  </si>
  <si>
    <t>2267/2026</t>
  </si>
  <si>
    <t>2268/2026</t>
  </si>
  <si>
    <t>FORTHE AGROPECUARIA LTDA</t>
  </si>
  <si>
    <t>2271/2026</t>
  </si>
  <si>
    <t>19/03/21026</t>
  </si>
  <si>
    <t>2262/2026</t>
  </si>
  <si>
    <t>10528/2025</t>
  </si>
  <si>
    <t>CALIXTO MEDICAMENTOS LTDA</t>
  </si>
  <si>
    <t>2275/2026</t>
  </si>
  <si>
    <t>2280/2026</t>
  </si>
  <si>
    <t>VERBO COMUNICAÇÃO EIRELI</t>
  </si>
  <si>
    <t>2282/2026</t>
  </si>
  <si>
    <t>2281/2026</t>
  </si>
  <si>
    <t>2000/2026</t>
  </si>
  <si>
    <t>REDE ABERTA DAS ORGANIZAÇÕES DA SOCIEDADE CIVIL ORGANIZADA DE CAMAÇARI/COMPETENCIA 01/2026</t>
  </si>
  <si>
    <t>2272/2026</t>
  </si>
  <si>
    <t>20/30/2026</t>
  </si>
  <si>
    <t>2264/2026</t>
  </si>
  <si>
    <t>2297/2026</t>
  </si>
  <si>
    <t>2294/2026</t>
  </si>
  <si>
    <t>2303/2026</t>
  </si>
  <si>
    <t>2302/2026</t>
  </si>
  <si>
    <t>SALVADOR DISTRIBUIDORA DE MEDICAMENTOS LTDA</t>
  </si>
  <si>
    <t>2296/2026</t>
  </si>
  <si>
    <t>2295/2026</t>
  </si>
  <si>
    <t>2293/2026</t>
  </si>
  <si>
    <t>2317/2026</t>
  </si>
  <si>
    <t>ANTIGO 2033/2253</t>
  </si>
  <si>
    <t xml:space="preserve">GC SERVIÇOS MEDICOS LTDA </t>
  </si>
  <si>
    <t>2311/2026</t>
  </si>
  <si>
    <t>2337/2026</t>
  </si>
  <si>
    <t>2348/2026</t>
  </si>
  <si>
    <t>2351/2026</t>
  </si>
  <si>
    <t>LEFTEC COMERCIO E SERVIÇOS LTDA</t>
  </si>
  <si>
    <t>2353/2026</t>
  </si>
  <si>
    <t>EMBASA</t>
  </si>
  <si>
    <t>2354/2026</t>
  </si>
  <si>
    <t>2355/2026</t>
  </si>
  <si>
    <t>2356/2026</t>
  </si>
  <si>
    <t>2376/2026</t>
  </si>
  <si>
    <t>2378/2026</t>
  </si>
  <si>
    <t>2379/2026</t>
  </si>
  <si>
    <t>2381/2026</t>
  </si>
  <si>
    <t>2384/2026</t>
  </si>
  <si>
    <t>2386/2026</t>
  </si>
  <si>
    <t>2388/2026</t>
  </si>
  <si>
    <t>2387/2026</t>
  </si>
  <si>
    <t>2385/2026</t>
  </si>
  <si>
    <t>2380/2026</t>
  </si>
  <si>
    <t>2389/2026</t>
  </si>
  <si>
    <t>2377/2026</t>
  </si>
  <si>
    <t>semat</t>
  </si>
  <si>
    <t>1730/2026</t>
  </si>
  <si>
    <t>1790/2026</t>
  </si>
  <si>
    <t>1811/2026</t>
  </si>
  <si>
    <t>MAPFRE SEGUROS GERAIS LTDA</t>
  </si>
  <si>
    <t>2375/2026</t>
  </si>
  <si>
    <t xml:space="preserve">REGISTRO DE IMOVEI, HIPOTECAS E TITULOS E DOCUMENTOS E DAS PESSOAS JURIDICAS DA COMARCA DE DIAS D'ÁVILA </t>
  </si>
  <si>
    <t>2391/2026</t>
  </si>
  <si>
    <t>2382/2026</t>
  </si>
  <si>
    <t>2383/2026</t>
  </si>
  <si>
    <t>2403/2026</t>
  </si>
  <si>
    <t>2397/2026</t>
  </si>
  <si>
    <t>2398/2026</t>
  </si>
  <si>
    <t>2400/2026</t>
  </si>
  <si>
    <t>LOCACAO</t>
  </si>
  <si>
    <t>2396/2026</t>
  </si>
  <si>
    <t>2395/2026</t>
  </si>
  <si>
    <t>2399/2026</t>
  </si>
  <si>
    <t>COOPERATIVA DE PRODUCAO AGROPECUARIA DE GILO E REGIAO LTDA</t>
  </si>
  <si>
    <t>2394/2026</t>
  </si>
  <si>
    <t>2404/2026</t>
  </si>
  <si>
    <t>2417/2026</t>
  </si>
  <si>
    <t>AUXILIO UNIVERSITÁRIO - PREFEITURA MUN. DIAS DAVILA</t>
  </si>
  <si>
    <t>2419/2026</t>
  </si>
  <si>
    <t xml:space="preserve">MARA SARAY FOGOS SANTOS </t>
  </si>
  <si>
    <t>8622/2026</t>
  </si>
  <si>
    <t>2439/2026</t>
  </si>
  <si>
    <t>2437/2026</t>
  </si>
  <si>
    <t>2436/2026</t>
  </si>
  <si>
    <t>2433/2026</t>
  </si>
  <si>
    <t>COOPERATIVA AGRICOLA DE DESENVOLVIMENTO SUSTENTAVEL DO SUL - COOPADESBA</t>
  </si>
  <si>
    <t>2088/2026</t>
  </si>
  <si>
    <t>2430/2026</t>
  </si>
  <si>
    <t>2438/2026</t>
  </si>
  <si>
    <t>PERFIL INSTALAÇÕES E TECNOLOGIA LTDA</t>
  </si>
  <si>
    <t>2453/2026</t>
  </si>
  <si>
    <t>9401/2026</t>
  </si>
  <si>
    <t>ADM - CONTRATACAO MATERIAL CENTRO ESPECIALIZADO MULTIDISCIPLINAR</t>
  </si>
  <si>
    <t>7216/2026</t>
  </si>
  <si>
    <t>ADM - EMPRESA ESPECIALIZADA NA PRESTAÇÃO DE SERVIÇOS DE FORNECIMENTO DE REFEIÇÕES AOS FUNCIONARIOS DO SUS</t>
  </si>
  <si>
    <t>DIARIAS - LUCIENE XAVIER SANTANA DE ROCHA</t>
  </si>
  <si>
    <t>2457/2026</t>
  </si>
  <si>
    <t>2273/2026</t>
  </si>
  <si>
    <t>2460/2026</t>
  </si>
  <si>
    <t>J PAULO DA SILVA PRODUCOES E EVENTOS-ME</t>
  </si>
  <si>
    <t>2470/2026</t>
  </si>
  <si>
    <t>ANTIGO 2401</t>
  </si>
  <si>
    <t>2466/2026</t>
  </si>
  <si>
    <t>2468/2026</t>
  </si>
  <si>
    <t>2456/2026</t>
  </si>
  <si>
    <t>2474/2026</t>
  </si>
  <si>
    <t>2463/2026</t>
  </si>
  <si>
    <t>2251/2026</t>
  </si>
  <si>
    <t>ADM - EMPRESA ESPECIALIZADA NA PRESTACAO DE SERVICOS DE DEDETIZACAO/DESINTETIZACAO</t>
  </si>
  <si>
    <t>2495/2026</t>
  </si>
  <si>
    <t>2497/2026</t>
  </si>
  <si>
    <t>2494/2026</t>
  </si>
  <si>
    <t>1624/2026</t>
  </si>
  <si>
    <t>2229/2026</t>
  </si>
  <si>
    <t>2502/2026</t>
  </si>
  <si>
    <t>2489/2026</t>
  </si>
  <si>
    <t>2504/2026</t>
  </si>
  <si>
    <t>NP TECNOLOGIA E GESTAO DE DADOS LTDA</t>
  </si>
  <si>
    <t>2520/2026</t>
  </si>
  <si>
    <t>2519/2026</t>
  </si>
  <si>
    <t>2517/2026</t>
  </si>
  <si>
    <t>2567/2026</t>
  </si>
  <si>
    <t>06 DE ABRIL</t>
  </si>
  <si>
    <t>DIARIAS - ÉLLEN SANTANA OLIVEIRA - CALCULO</t>
  </si>
  <si>
    <t>2559/2026</t>
  </si>
  <si>
    <t>2530/2026</t>
  </si>
  <si>
    <t>2562/2026</t>
  </si>
  <si>
    <t>719/2026</t>
  </si>
  <si>
    <t>NADIA FIGUEREDO MELO - VIDRO TRASEIRO</t>
  </si>
  <si>
    <t>2561/2026</t>
  </si>
  <si>
    <t>2604/2026</t>
  </si>
  <si>
    <t>ASSOCIACAO DO DESENVOLVIMENTO DO BAIXO SUL - ADEBASUL</t>
  </si>
  <si>
    <t>2607/2026</t>
  </si>
  <si>
    <t>2606/2026</t>
  </si>
  <si>
    <t>DAVI DE PAULA SILVA 72122072172</t>
  </si>
  <si>
    <t>2609/2026</t>
  </si>
  <si>
    <t>APAE - ASSOCIACAO DE PAIS E AMIGOS DOS EXCEPCIOANAIS</t>
  </si>
  <si>
    <t>10702/2026</t>
  </si>
  <si>
    <t>9121/2026</t>
  </si>
  <si>
    <t xml:space="preserve">CONVÊNIO </t>
  </si>
  <si>
    <t>2615/2026</t>
  </si>
  <si>
    <t>2621/2026</t>
  </si>
  <si>
    <t>ELLEN SANTANA OLIVEIRA, ALINA PINTO REBOUÇAS E JUDITE DANTAS XAVIER - CALCULO DE DIARIAS</t>
  </si>
  <si>
    <t>PERIODO DE 13 A 17 DE ABRIL</t>
  </si>
  <si>
    <t>2620/2026</t>
  </si>
  <si>
    <t>2618/2026</t>
  </si>
  <si>
    <t xml:space="preserve">JUAN PABLO EVANGELISTA DE SOUZA </t>
  </si>
  <si>
    <t>CRISTIANE FLORIANO SANTOS ALMEIDA</t>
  </si>
  <si>
    <t>2617/2026</t>
  </si>
  <si>
    <t>2616/2026</t>
  </si>
  <si>
    <t>JOEL SANTOS ARAUJO</t>
  </si>
  <si>
    <t>MEGA DENTAL IMPORTACAO, EXPORTACAO E COMERCIO DE PRODUTOS ODONTOLOGICOS LTDA</t>
  </si>
  <si>
    <t>2503/2026</t>
  </si>
  <si>
    <t xml:space="preserve">                      01/04/2026</t>
  </si>
  <si>
    <t>2650/2026</t>
  </si>
  <si>
    <t>2651/2026</t>
  </si>
  <si>
    <t>2652/2026</t>
  </si>
  <si>
    <t>2649/2026</t>
  </si>
  <si>
    <t xml:space="preserve">ADM - AQUISICAO DE KIT SEMANA SANTA </t>
  </si>
  <si>
    <t>COOPERATIVA DOS PRODUTORES E EMPREENDEDORES RURAIS DE DIAS DAVILA E REGIAO COOPERDAVILA</t>
  </si>
  <si>
    <t>2658/2026</t>
  </si>
  <si>
    <t>46.162.098 JOAO VICTOR FRANCA BONFIM MEI</t>
  </si>
  <si>
    <t>2659/2026</t>
  </si>
  <si>
    <t>2660/2026</t>
  </si>
  <si>
    <t>2663/2026</t>
  </si>
  <si>
    <t>DIARIA ELLEN SANTANA OLIVEIRA, ALINA PINTO REBOUÇAS E JUDITE DANTAS XAVIER - CALCULO DE DIARIAS</t>
  </si>
  <si>
    <t>2661/2026</t>
  </si>
  <si>
    <t>2665/2026</t>
  </si>
  <si>
    <t>2656/2026</t>
  </si>
  <si>
    <t>2689/2026</t>
  </si>
  <si>
    <t>2686/2026</t>
  </si>
  <si>
    <t>2647/2026</t>
  </si>
  <si>
    <t>2692/2026</t>
  </si>
  <si>
    <t>2693/2026</t>
  </si>
  <si>
    <t>2697/2026</t>
  </si>
  <si>
    <t>CB ENGENHARIA E CONSTRUCOES LTDA - EPP</t>
  </si>
  <si>
    <t>2700/2026</t>
  </si>
  <si>
    <t>2357/2026</t>
  </si>
  <si>
    <t>ca</t>
  </si>
  <si>
    <t>ADM - CAPACITAÇÃO SENDO CURSO DE ATUALIZAÇÃO EM REFORMA TRIBUTÁRIA A SER REALIZADA EM 09 MÓDULOS EAD</t>
  </si>
  <si>
    <t>2707/2026</t>
  </si>
  <si>
    <t>2684/2026</t>
  </si>
  <si>
    <t>2709/2026</t>
  </si>
  <si>
    <t>2722/2026</t>
  </si>
  <si>
    <t>2688/2026</t>
  </si>
  <si>
    <t>2687/2026</t>
  </si>
  <si>
    <t>2727/2026</t>
  </si>
  <si>
    <t>2681/2026</t>
  </si>
  <si>
    <t>2741/2026</t>
  </si>
  <si>
    <t>2733/2026</t>
  </si>
  <si>
    <t>2743/2026</t>
  </si>
  <si>
    <t>2744/2026</t>
  </si>
  <si>
    <t>2745/2026</t>
  </si>
  <si>
    <t>2746/2026</t>
  </si>
  <si>
    <t>2747/2026</t>
  </si>
  <si>
    <t>2749/2026</t>
  </si>
  <si>
    <t>2730/2026</t>
  </si>
  <si>
    <t>2732/2026</t>
  </si>
  <si>
    <t>GAM  - GERENCIAMENTO DE ASSISTENCIA A MULHER LTDA</t>
  </si>
  <si>
    <t>2731/2026</t>
  </si>
  <si>
    <t>2740/2026</t>
  </si>
  <si>
    <t>COOPERATIVA MISTA AGROECOLOGIA DE MULHERES DO ASSENTAMENTO DE REFORMA AGRARIA NOVA PANEMA  - COOPERAGRO</t>
  </si>
  <si>
    <t>2756/2026</t>
  </si>
  <si>
    <t>2755/2026</t>
  </si>
  <si>
    <t>2754/2026</t>
  </si>
  <si>
    <t>SANTA &amp; FEITOSA SERVICOS MEDICOS LTDA</t>
  </si>
  <si>
    <t>2753/2026</t>
  </si>
  <si>
    <t>2752/2026</t>
  </si>
  <si>
    <t>2751/2026</t>
  </si>
  <si>
    <t>2750/2026</t>
  </si>
  <si>
    <t>2758/2026</t>
  </si>
  <si>
    <t>2759/2026</t>
  </si>
  <si>
    <t>2765/2026</t>
  </si>
  <si>
    <t>2760/2026</t>
  </si>
  <si>
    <t>2762/2026</t>
  </si>
  <si>
    <t>2761/2026</t>
  </si>
  <si>
    <t>2763/2026</t>
  </si>
  <si>
    <t>2775/2026</t>
  </si>
  <si>
    <t>2772/2026</t>
  </si>
  <si>
    <t>2769/2026</t>
  </si>
  <si>
    <t>2768/2026</t>
  </si>
  <si>
    <t>MEDAQUALI SERVICOS MEDICOS S/S ME</t>
  </si>
  <si>
    <t>2773/2026</t>
  </si>
  <si>
    <t>2771/2026</t>
  </si>
  <si>
    <t>REALIZA TRANSPORTES E LOCACAO DE VEICULOS LTDA</t>
  </si>
  <si>
    <t>2766/2026</t>
  </si>
  <si>
    <t>2767/2026</t>
  </si>
  <si>
    <t>2774/2026</t>
  </si>
  <si>
    <t>2770/2026</t>
  </si>
  <si>
    <t>ANTIGO 2167</t>
  </si>
  <si>
    <t>sindicancia</t>
  </si>
  <si>
    <t xml:space="preserve">PROCESSO ADMISTRATIVO DISCIPLINAR </t>
  </si>
  <si>
    <t>2720/2026</t>
  </si>
  <si>
    <t>2788/2026</t>
  </si>
  <si>
    <t>2776/2026</t>
  </si>
  <si>
    <t>2777/2026</t>
  </si>
  <si>
    <t>2778/2026</t>
  </si>
  <si>
    <t>2779/2026</t>
  </si>
  <si>
    <t>2783/2026</t>
  </si>
  <si>
    <t>2784/2026</t>
  </si>
  <si>
    <t>2785/2026</t>
  </si>
  <si>
    <t>2786/2026</t>
  </si>
  <si>
    <t>2787/2026</t>
  </si>
  <si>
    <t>2782/2026</t>
  </si>
  <si>
    <t>2780/2026</t>
  </si>
  <si>
    <t>2789/2026</t>
  </si>
  <si>
    <t>2791/2026</t>
  </si>
  <si>
    <t>2790/2026</t>
  </si>
  <si>
    <t>2792/2026</t>
  </si>
  <si>
    <t>2781/2026</t>
  </si>
  <si>
    <t>2793/2026</t>
  </si>
  <si>
    <t>7178/2026</t>
  </si>
  <si>
    <t>ADM - OBRAS ESEVIÇOS DE ENGENHARIAS</t>
  </si>
  <si>
    <t>ANTIGO 2668</t>
  </si>
  <si>
    <t>2479/2458</t>
  </si>
  <si>
    <t>2829/2026</t>
  </si>
  <si>
    <t>2830/2026</t>
  </si>
  <si>
    <t>2831/2026</t>
  </si>
  <si>
    <t>2832/2026</t>
  </si>
  <si>
    <t>2816/2026</t>
  </si>
  <si>
    <t>2825/2026</t>
  </si>
  <si>
    <t>2815/2026</t>
  </si>
  <si>
    <t>2814/2026</t>
  </si>
  <si>
    <t>2824/2026</t>
  </si>
  <si>
    <t>2828/2026</t>
  </si>
  <si>
    <t>2820/2026</t>
  </si>
  <si>
    <t>2823/2026</t>
  </si>
  <si>
    <t>2848/2026</t>
  </si>
  <si>
    <t xml:space="preserve">DIARIAS - ROBERTO OLIVEIRA ARAUJO </t>
  </si>
  <si>
    <t>2819/2026</t>
  </si>
  <si>
    <t>2818/2026</t>
  </si>
  <si>
    <t>2843/2026</t>
  </si>
  <si>
    <t>2845/2026</t>
  </si>
  <si>
    <t>2847/2026</t>
  </si>
  <si>
    <t>2846/2026</t>
  </si>
  <si>
    <t>2844/2026</t>
  </si>
  <si>
    <t>2842/2026</t>
  </si>
  <si>
    <t>2841/2026</t>
  </si>
  <si>
    <t>2838/2026</t>
  </si>
  <si>
    <t>2850/2026</t>
  </si>
  <si>
    <t>2852/2026</t>
  </si>
  <si>
    <t>2855/2026</t>
  </si>
  <si>
    <t>2849/2026</t>
  </si>
  <si>
    <t>2851/2026</t>
  </si>
  <si>
    <t>2853/2026</t>
  </si>
  <si>
    <t>2834/2026</t>
  </si>
  <si>
    <t>2837/2026</t>
  </si>
  <si>
    <t>2854/2026</t>
  </si>
  <si>
    <t>2682/2026</t>
  </si>
  <si>
    <t>2683/2026</t>
  </si>
  <si>
    <t>2076/2026</t>
  </si>
  <si>
    <t>2836/2026</t>
  </si>
  <si>
    <t>2861/2026</t>
  </si>
  <si>
    <t>2873/2026</t>
  </si>
  <si>
    <t>2860/2026</t>
  </si>
  <si>
    <t>2859/2026</t>
  </si>
  <si>
    <t>2856/2026</t>
  </si>
  <si>
    <t>2874/2026</t>
  </si>
  <si>
    <t>2839/2026</t>
  </si>
  <si>
    <t>2840/2026</t>
  </si>
  <si>
    <t>DIARIAS - ROBERTO OLIVEIRA ARAUJO - CONCESSAO DE DIARIAS</t>
  </si>
  <si>
    <t>1859/2026</t>
  </si>
  <si>
    <t>2475/2026</t>
  </si>
  <si>
    <t>2880/2026</t>
  </si>
  <si>
    <t>2879/2026</t>
  </si>
  <si>
    <t>2878/2026</t>
  </si>
  <si>
    <t>09/04/2026B</t>
  </si>
  <si>
    <t>2888/2026</t>
  </si>
  <si>
    <t>2881/2026</t>
  </si>
  <si>
    <t>2858/2026</t>
  </si>
  <si>
    <t>2884/2026</t>
  </si>
  <si>
    <t>COOP. AGROPECUARIA DOS PROD. RURAIS DA BARRAGEM STA. HELENA</t>
  </si>
  <si>
    <t>2885/2026</t>
  </si>
  <si>
    <t>2891/2026</t>
  </si>
  <si>
    <t>2894/2026</t>
  </si>
  <si>
    <t>2893/2026</t>
  </si>
  <si>
    <t>2892/2026</t>
  </si>
  <si>
    <t>2895/2026</t>
  </si>
  <si>
    <t>ROBERTO OLIVEIRA ARAUJO E ALVARO SIMOES FERREIRA DE OLIVEIRA</t>
  </si>
  <si>
    <t>2897/2026</t>
  </si>
  <si>
    <t>2899/2026</t>
  </si>
  <si>
    <t>2900/2026</t>
  </si>
  <si>
    <t>adm - AQUISICAO DE ELETRODOMESTICOS</t>
  </si>
  <si>
    <t>RODRIGO DOS REIS MOTA MARTINS</t>
  </si>
  <si>
    <t>2887/2026</t>
  </si>
  <si>
    <t>2298/2026</t>
  </si>
  <si>
    <t>ADM - AQUISICAO DE INDUMOS ODONTOLOGICOS USF</t>
  </si>
  <si>
    <t>2901/2026</t>
  </si>
  <si>
    <t>2906/2026</t>
  </si>
  <si>
    <t>2902/2026</t>
  </si>
  <si>
    <t>2904/2026</t>
  </si>
  <si>
    <t>2903/2026</t>
  </si>
  <si>
    <t>2907/2026</t>
  </si>
  <si>
    <t>2905/2026</t>
  </si>
  <si>
    <t>2908/2026</t>
  </si>
  <si>
    <t>2919/2026</t>
  </si>
  <si>
    <t>JUNILSON SOUZA DOS SANTOS</t>
  </si>
  <si>
    <t xml:space="preserve">DIARIAS JUDITE DANTAS XAVIER </t>
  </si>
  <si>
    <t>2921/2026</t>
  </si>
  <si>
    <t>2923/2026</t>
  </si>
  <si>
    <t>DIARIAS - ALINA PINTO REBOUÇAS</t>
  </si>
  <si>
    <t>DIARIAS - ELLEN SANTANA OLIVEIRA</t>
  </si>
  <si>
    <t>2939/2026</t>
  </si>
  <si>
    <t>2933/2026</t>
  </si>
  <si>
    <t>2935/2026</t>
  </si>
  <si>
    <t>2934/2026</t>
  </si>
  <si>
    <t>2945/2026</t>
  </si>
  <si>
    <t>2944/2026</t>
  </si>
  <si>
    <t>2943/2026</t>
  </si>
  <si>
    <t>2941/2026</t>
  </si>
  <si>
    <t>2940/2026</t>
  </si>
  <si>
    <t>2922/2026</t>
  </si>
  <si>
    <t>2598/2026</t>
  </si>
  <si>
    <t>KGB SERVICOS MEDICOS SALVADOR</t>
  </si>
  <si>
    <t>2500/2026</t>
  </si>
  <si>
    <t>LUIZ LOBO SERVICOS MEDICOS</t>
  </si>
  <si>
    <t>2643/2026</t>
  </si>
  <si>
    <t>C H SERVIVOS MEDICOS</t>
  </si>
  <si>
    <t>2499/2026</t>
  </si>
  <si>
    <t>2160/2026</t>
  </si>
  <si>
    <t>2954/2026</t>
  </si>
  <si>
    <t>2952/2026</t>
  </si>
  <si>
    <t>FIALHO SERVICOS MEDICOS E SAUDE LTDA</t>
  </si>
  <si>
    <t>2925/2026</t>
  </si>
  <si>
    <t>2947/2026</t>
  </si>
  <si>
    <t>2948/2026</t>
  </si>
  <si>
    <t>2949/2026</t>
  </si>
  <si>
    <t>2951/2026</t>
  </si>
  <si>
    <t>2953/2026</t>
  </si>
  <si>
    <t>MMV INDUSTRIA, COMERCIO E SERVICOS DE PRODUTOS DE LIMPEZA</t>
  </si>
  <si>
    <t>2950/2026</t>
  </si>
  <si>
    <t>2955/2026</t>
  </si>
  <si>
    <t>2957/2026</t>
  </si>
  <si>
    <t>2962/2026</t>
  </si>
  <si>
    <t>2961/2026</t>
  </si>
  <si>
    <t>2958/2026</t>
  </si>
  <si>
    <t>2959/2026</t>
  </si>
  <si>
    <t>2956/2026</t>
  </si>
  <si>
    <t>2960/2026</t>
  </si>
  <si>
    <t>SER JOVEM - CIDADAO DO FUTURO</t>
  </si>
  <si>
    <t>2685/2026</t>
  </si>
  <si>
    <t>2992/2026</t>
  </si>
  <si>
    <t>2987/2026</t>
  </si>
  <si>
    <t>1858/2026</t>
  </si>
  <si>
    <t>2990/2026</t>
  </si>
  <si>
    <t>2985/2026</t>
  </si>
  <si>
    <t>2983/2026</t>
  </si>
  <si>
    <t>2981/2026</t>
  </si>
  <si>
    <t>2979/2026</t>
  </si>
  <si>
    <t>2976/2026</t>
  </si>
  <si>
    <t>2988/2026</t>
  </si>
  <si>
    <t>2986/2026</t>
  </si>
  <si>
    <t>2984/2026</t>
  </si>
  <si>
    <t>2982/2026</t>
  </si>
  <si>
    <t>2980/2026</t>
  </si>
  <si>
    <t>LAIANA ARAUJO PEREIRA</t>
  </si>
  <si>
    <t>2991/2026</t>
  </si>
  <si>
    <t>2993/2026</t>
  </si>
  <si>
    <t>SERVICO NACIONAL DE APRENDIZAGEM INDUSTRIAL</t>
  </si>
  <si>
    <t>2999/2026</t>
  </si>
  <si>
    <t>2998/2026</t>
  </si>
  <si>
    <t>2996/2026</t>
  </si>
  <si>
    <t>2997/2026</t>
  </si>
  <si>
    <t>3012/2026</t>
  </si>
  <si>
    <t>2269/2026</t>
  </si>
  <si>
    <t>1810/2026</t>
  </si>
  <si>
    <t>3010/2026</t>
  </si>
  <si>
    <t>3004/2026</t>
  </si>
  <si>
    <t>3003/2026</t>
  </si>
  <si>
    <t>3007/2026</t>
  </si>
  <si>
    <t>3008/2026</t>
  </si>
  <si>
    <t>3006/2026</t>
  </si>
  <si>
    <t>J MAR PESCADOS E FRUTOS DO MAR LTDA ME</t>
  </si>
  <si>
    <t>3015/2026</t>
  </si>
  <si>
    <t>3011/2026</t>
  </si>
  <si>
    <t>3016/2026</t>
  </si>
  <si>
    <t>ARAGAO ALIMENTOS LTDA</t>
  </si>
  <si>
    <t>3021/2026</t>
  </si>
  <si>
    <t>3023/2026</t>
  </si>
  <si>
    <t>3036/2026</t>
  </si>
  <si>
    <t>3035/2026</t>
  </si>
  <si>
    <t>3043/2026</t>
  </si>
  <si>
    <t>3042/2026</t>
  </si>
  <si>
    <t>3044/2026</t>
  </si>
  <si>
    <t>3052/2026</t>
  </si>
  <si>
    <t>3049/2026</t>
  </si>
  <si>
    <t>3050/2026</t>
  </si>
  <si>
    <t>3051/2026</t>
  </si>
  <si>
    <t xml:space="preserve">DIARIAS BEATRIZ DE SOUZA ANUNCIACAO </t>
  </si>
  <si>
    <t>3048/2026</t>
  </si>
  <si>
    <t>3057/2026</t>
  </si>
  <si>
    <t>DIARIAS IVAN LUIS SILVA LIMA, DIMAS FREITAS CARVALHO</t>
  </si>
  <si>
    <t>3047/2026</t>
  </si>
  <si>
    <t>3056/2026</t>
  </si>
  <si>
    <t>3046/2026</t>
  </si>
  <si>
    <t>3054/2026</t>
  </si>
  <si>
    <t>3053/2026</t>
  </si>
  <si>
    <t>3060/2026</t>
  </si>
  <si>
    <t>MEDBARRETO SERVICOS MEDICOS</t>
  </si>
  <si>
    <t>2726/2026</t>
  </si>
  <si>
    <t>2644/2026</t>
  </si>
  <si>
    <t>2642/2026</t>
  </si>
  <si>
    <t>2896/2026</t>
  </si>
  <si>
    <t>3071/2026</t>
  </si>
  <si>
    <t>3072/2026</t>
  </si>
  <si>
    <t>3073/2026</t>
  </si>
  <si>
    <t>3074/2026</t>
  </si>
  <si>
    <t>PROMEFARMA MEDICAMENTOS E PRODUTOS HOSPITALARES LTDA</t>
  </si>
  <si>
    <t>3077/2026</t>
  </si>
  <si>
    <t>3093/2026</t>
  </si>
  <si>
    <t>3092/2026</t>
  </si>
  <si>
    <t>3096/2026</t>
  </si>
  <si>
    <t>67/68</t>
  </si>
  <si>
    <t>3094/2026</t>
  </si>
  <si>
    <t>SEDUC - IDENIZAÇÕES E RESTITUIÇÕES TRABALHISTAS</t>
  </si>
  <si>
    <t>3091/2026</t>
  </si>
  <si>
    <t>3090/2026</t>
  </si>
  <si>
    <t>COMERCIAL CIRURGICA RIOCLARENSE</t>
  </si>
  <si>
    <t>3102/2026</t>
  </si>
  <si>
    <t>3101/2026</t>
  </si>
  <si>
    <t>3100/2026</t>
  </si>
  <si>
    <t>3099/2026</t>
  </si>
  <si>
    <t>3098/2026</t>
  </si>
  <si>
    <t>2418/2026</t>
  </si>
  <si>
    <t>ADM - SID SALVADOR DIAGNOSTICO LTDA</t>
  </si>
  <si>
    <t>3107/2026</t>
  </si>
  <si>
    <t>3106/2026</t>
  </si>
  <si>
    <t>MARCIA COSTA DE MORAES SANTOS</t>
  </si>
  <si>
    <t>3112/2026</t>
  </si>
  <si>
    <t>3113/2026</t>
  </si>
  <si>
    <t>3114/2026</t>
  </si>
  <si>
    <t>3116/2026</t>
  </si>
  <si>
    <t>3121/2026</t>
  </si>
  <si>
    <t>3123/2026</t>
  </si>
  <si>
    <t>UNDIME-UNIAO DIRIGENTES MUNICIPAIS EDUCACAO ESTADO DA BAHIA</t>
  </si>
  <si>
    <t>3124/2026</t>
  </si>
  <si>
    <t>3122/2026</t>
  </si>
  <si>
    <t>3129/2026</t>
  </si>
  <si>
    <t>3126/2026</t>
  </si>
  <si>
    <t>3125/2026</t>
  </si>
  <si>
    <t>3130/2026</t>
  </si>
  <si>
    <t>ELLEN SANTANA OLIVEIRA</t>
  </si>
  <si>
    <t>3131/2026</t>
  </si>
  <si>
    <t>3133/2026</t>
  </si>
  <si>
    <t>3132/2026</t>
  </si>
  <si>
    <t>3147/2026</t>
  </si>
  <si>
    <t>3146/2026</t>
  </si>
  <si>
    <t>3145/2026</t>
  </si>
  <si>
    <t>3148/2026</t>
  </si>
  <si>
    <t>3154/2026</t>
  </si>
  <si>
    <t>3153/2026</t>
  </si>
  <si>
    <t>3152/2026</t>
  </si>
  <si>
    <t>3151/2026</t>
  </si>
  <si>
    <t>3150/2026</t>
  </si>
  <si>
    <t>GTMED DISTR. DE MAT. E EQUIPAMENTOS HOSPITALAES E ODONTOLOGICOS LTDA</t>
  </si>
  <si>
    <t>2402/2026</t>
  </si>
  <si>
    <t>ADM - MERKAPCLIN COM. EQUIP. E SERV. ELETRICOS</t>
  </si>
  <si>
    <t>2209/2026</t>
  </si>
  <si>
    <t>3156/2026</t>
  </si>
  <si>
    <t>3158/2026</t>
  </si>
  <si>
    <t>ADM - AQUISICAO, RECARGA MANUTENCAO E REPOSICAO DE PEÇAS QUANDO NECESSARIO EM EXTINTORES, SUPORTE E PLACAS SINALIZADORAS</t>
  </si>
  <si>
    <t>2462/2026</t>
  </si>
  <si>
    <t>3168/2026</t>
  </si>
  <si>
    <t>3167/2026</t>
  </si>
  <si>
    <t>3166/2026</t>
  </si>
  <si>
    <t>3165/2026</t>
  </si>
  <si>
    <t>3171/2026</t>
  </si>
  <si>
    <t>3170/2026</t>
  </si>
  <si>
    <t>3169/2026</t>
  </si>
  <si>
    <t>3037/2026</t>
  </si>
  <si>
    <t>3184/2026</t>
  </si>
  <si>
    <t>ANTIGO 3022</t>
  </si>
  <si>
    <t>ADM - CONTRATAÇÃO DE EMPRES A ESPECIALIZADA EM OBRAS E SERVICOS DE ENGENHARIA PARA CONSTRUCAO DE PONTOS DE ONIBUS</t>
  </si>
  <si>
    <t>8316/2026</t>
  </si>
  <si>
    <t>RSF SEVICOS MEDICOS E URGENCIAS LTDA</t>
  </si>
  <si>
    <t>3019/2026</t>
  </si>
  <si>
    <t>3017/2026</t>
  </si>
  <si>
    <t>ALPHA LIFE SERVICOS MEDICOS LTDA</t>
  </si>
  <si>
    <t>3191/2026</t>
  </si>
  <si>
    <t>HID IMUNIZACAO LTDA</t>
  </si>
  <si>
    <t>3193/2026</t>
  </si>
  <si>
    <t>3039/2026</t>
  </si>
  <si>
    <t>3040/2026</t>
  </si>
  <si>
    <t>3216/2026</t>
  </si>
  <si>
    <t>3212/2026</t>
  </si>
  <si>
    <t>FLA COMERCIAL DE MATERIAL DE CONSTRUCAO EIRELI</t>
  </si>
  <si>
    <t>3209/2026</t>
  </si>
  <si>
    <t>17204000/27080000</t>
  </si>
  <si>
    <t>3214/2026</t>
  </si>
  <si>
    <t>3215/2026</t>
  </si>
  <si>
    <t>3213/2026</t>
  </si>
  <si>
    <t>3228/2026</t>
  </si>
  <si>
    <t>3207/2026</t>
  </si>
  <si>
    <t>3206/2026</t>
  </si>
  <si>
    <t>3205/2026</t>
  </si>
  <si>
    <t>3204/2026</t>
  </si>
  <si>
    <t xml:space="preserve">v   </t>
  </si>
  <si>
    <t>3241/2026</t>
  </si>
  <si>
    <t>3260/2026</t>
  </si>
  <si>
    <t>3261/2026</t>
  </si>
  <si>
    <t>IVAN LUIS LIMA - DIARIAS</t>
  </si>
  <si>
    <t xml:space="preserve">DIMAS FREITAS CARVALHO - DIARIAS </t>
  </si>
  <si>
    <t>3262/2026</t>
  </si>
  <si>
    <t>3273/2026</t>
  </si>
  <si>
    <t>3238/2026</t>
  </si>
  <si>
    <t>3252/2026</t>
  </si>
  <si>
    <t>3257/2026</t>
  </si>
  <si>
    <t>RIOBAHIAFARMA COM  DIST DE PROD MEDICOS E COMESTICOS</t>
  </si>
  <si>
    <t>3250/2026</t>
  </si>
  <si>
    <t>3249/2026</t>
  </si>
  <si>
    <t>DEVOLUÇÃO DE RECURSO</t>
  </si>
  <si>
    <t>CARLA FREDERICA FERREIRA DEIRÓ</t>
  </si>
  <si>
    <t>3256/2026</t>
  </si>
  <si>
    <t>ANTIGO 3237/2026</t>
  </si>
  <si>
    <t>2622/2026</t>
  </si>
  <si>
    <t>1523/2026</t>
  </si>
  <si>
    <t>ADM - BANDA ZAU PASSARO</t>
  </si>
  <si>
    <t>3276/2026</t>
  </si>
  <si>
    <t>RESTITUIÇÃO DE SALDO RESIDUAL</t>
  </si>
  <si>
    <t>2708/2026</t>
  </si>
  <si>
    <t>2886/2026</t>
  </si>
  <si>
    <t>ADM - AQUISIÇÃO DE CAMISAS PARA EVENTOS, VISANDO ATENDER AS NECESSIDADES DAS SECRETARIAS E ORGAOS VINCULADOS A PREFEITURA MUNICIPAL DE DIAS DAVILA</t>
  </si>
  <si>
    <t>3281/2026</t>
  </si>
  <si>
    <t>RODRIGUES COMERCIO DE MOVEIS LTDA-ME</t>
  </si>
  <si>
    <t>3285/2026</t>
  </si>
  <si>
    <t>3284/2026</t>
  </si>
  <si>
    <t>3282/2026</t>
  </si>
  <si>
    <t>2299/2026</t>
  </si>
  <si>
    <t>3297/2026</t>
  </si>
  <si>
    <t>3303/2026</t>
  </si>
  <si>
    <t>3299/2026</t>
  </si>
  <si>
    <t>3298/2026</t>
  </si>
  <si>
    <t>EMMARKA DISTRIBUIDORA DE MEDICAMENTOS LTDA</t>
  </si>
  <si>
    <t>3300/2026</t>
  </si>
  <si>
    <t>3301/2026</t>
  </si>
  <si>
    <t>3302/2026</t>
  </si>
  <si>
    <t>3296/2026</t>
  </si>
  <si>
    <t>SERVICO NACIONAL DE APRENDIZAGEM COMERCIAL - SENAC</t>
  </si>
  <si>
    <t>3291/2026</t>
  </si>
  <si>
    <t>CEPALAB LABORATORIOS AS</t>
  </si>
  <si>
    <t>3254/2026</t>
  </si>
  <si>
    <t>2490/2026</t>
  </si>
  <si>
    <t>3118/2026</t>
  </si>
  <si>
    <t>2812/2026</t>
  </si>
  <si>
    <t>2721/2026</t>
  </si>
  <si>
    <t>INEMA DIESEL SERVICOS DE AUTO PECAS LTDA</t>
  </si>
  <si>
    <t>2725/2026</t>
  </si>
  <si>
    <t>3018/2026</t>
  </si>
  <si>
    <t>LABORATORIOS B BRAUN AS</t>
  </si>
  <si>
    <t>3319/2026</t>
  </si>
  <si>
    <t>3321/2026</t>
  </si>
  <si>
    <t>3317/2026</t>
  </si>
  <si>
    <t>3318/2026</t>
  </si>
  <si>
    <t xml:space="preserve">W E LAUDOS SERVICOS MEDICOS </t>
  </si>
  <si>
    <t>3316/2026</t>
  </si>
  <si>
    <t>3314/2026</t>
  </si>
  <si>
    <t>3323/2026</t>
  </si>
  <si>
    <t>3331/2026</t>
  </si>
  <si>
    <t>3324/2026</t>
  </si>
  <si>
    <t>3326/2026</t>
  </si>
  <si>
    <t>3329/2026</t>
  </si>
  <si>
    <t>3330/2026</t>
  </si>
  <si>
    <t>3333/2026</t>
  </si>
  <si>
    <t>3332/2026</t>
  </si>
  <si>
    <t>3341/2026</t>
  </si>
  <si>
    <t>3342/2026</t>
  </si>
  <si>
    <t>3344/2026</t>
  </si>
  <si>
    <t>3345/2026</t>
  </si>
  <si>
    <t>3346/2026</t>
  </si>
  <si>
    <t>3340/2026</t>
  </si>
  <si>
    <t>3334/2026</t>
  </si>
  <si>
    <t>3355/2026</t>
  </si>
  <si>
    <t xml:space="preserve">ELLEN SANTANA OLIVEIRA </t>
  </si>
  <si>
    <t>3338/2026</t>
  </si>
  <si>
    <t xml:space="preserve">ALINA PINTO REBOUÇAS </t>
  </si>
  <si>
    <t>3337/2026</t>
  </si>
  <si>
    <t>3336/2026</t>
  </si>
  <si>
    <t xml:space="preserve">JUDITE DANTAS XAVIER </t>
  </si>
  <si>
    <t>AUXILIO MUNI. DE DIAS DAVILA</t>
  </si>
  <si>
    <t>3370/2026</t>
  </si>
  <si>
    <t>3387/2026</t>
  </si>
  <si>
    <t>3388/2026</t>
  </si>
  <si>
    <t>3390/2026</t>
  </si>
  <si>
    <t>3280/2026</t>
  </si>
  <si>
    <t>2669/2026</t>
  </si>
  <si>
    <t>3198/2026</t>
  </si>
  <si>
    <t>3413/2026</t>
  </si>
  <si>
    <t>3041/2026</t>
  </si>
  <si>
    <t>3078/2026</t>
  </si>
  <si>
    <t>3155/2026</t>
  </si>
  <si>
    <t>ADM - EMPRESA ESPECIALIZADA NA PRESTAÇÃO DE SERVIÇOS DE SEGURANÇA DESARMADA INCLUINDO EQUIPAMENTOS DETECTORES DE METAIS PORTÁTEIS, TIPO BASTÃO, DESTINADOS À ATUAÇÃO EM EVENTOS PROMOVIDOS, APOIADOS OU REALIZADOS PELA ADMINISTRAÇÃO PÚBLICA</t>
  </si>
  <si>
    <t>MERKAPCLIN COMERCIO DE EQUIPAMENTOS ELETRICOS LTDA</t>
  </si>
  <si>
    <t>2936/2026</t>
  </si>
  <si>
    <t>3384/2026</t>
  </si>
  <si>
    <t>3420/2026</t>
  </si>
  <si>
    <t>3442/2026</t>
  </si>
  <si>
    <t>3425/2026</t>
  </si>
  <si>
    <t>3443/2026</t>
  </si>
  <si>
    <t>3426/2026</t>
  </si>
  <si>
    <t>3427/2026</t>
  </si>
  <si>
    <t>3429/2026</t>
  </si>
  <si>
    <t>BENU.XP LTDA</t>
  </si>
  <si>
    <t>3412/2026</t>
  </si>
  <si>
    <t>3447/2026</t>
  </si>
  <si>
    <t>JNG DISTRIBUIDORA DE LIVROS LTDA</t>
  </si>
  <si>
    <t>3449/2026</t>
  </si>
  <si>
    <t>3450/2026</t>
  </si>
  <si>
    <t>UNIAO EDUCAR DISTRIBUIDORA LDA</t>
  </si>
  <si>
    <t>3459/2026</t>
  </si>
  <si>
    <t>3411/2026</t>
  </si>
  <si>
    <t>2645/2026</t>
  </si>
  <si>
    <t>2352/2026</t>
  </si>
  <si>
    <t>ADM - VOXLINK TECNOLOGIA LTDA</t>
  </si>
  <si>
    <t>3128/2026</t>
  </si>
  <si>
    <t xml:space="preserve">ADM - AQUISICAO DE MATERIAIS DIDADICOS </t>
  </si>
  <si>
    <t>ADM - CONTRATACAO DE EMPRESA ESPECIALIZADA EM MANUTENÇÃO CORRETIVA EM EQUIPAMENTOS/APARELHOS DE BEBEDOURO, FEEZER, GELADEIRA, MICRO-ONDAS, PURIFICADOR,CAMARA FRIA, FRIGOBAR</t>
  </si>
  <si>
    <t>3005/2026</t>
  </si>
  <si>
    <t>2211/2026</t>
  </si>
  <si>
    <t>3453/2026</t>
  </si>
  <si>
    <t>3452/2026</t>
  </si>
  <si>
    <t>SOUL DISTRIBUIDORA DE PRODUTOS E EQUIPAMENTOS INDUSTRIAIS LTDA - ME</t>
  </si>
  <si>
    <t>3454/2026</t>
  </si>
  <si>
    <t>3456/2026</t>
  </si>
  <si>
    <t>3458/2026</t>
  </si>
  <si>
    <t>3455/2026</t>
  </si>
  <si>
    <t>RESTART COMERCIO E SERVICOS VALECA LTDA - EPP</t>
  </si>
  <si>
    <t>3457/2026</t>
  </si>
  <si>
    <t>3463/2026</t>
  </si>
  <si>
    <t>3462/2026</t>
  </si>
  <si>
    <t>3505/2026</t>
  </si>
  <si>
    <t>3502/2026</t>
  </si>
  <si>
    <t>3503/2026</t>
  </si>
  <si>
    <t>3504/2026</t>
  </si>
  <si>
    <t>3539/2026</t>
  </si>
  <si>
    <t>3555/2026</t>
  </si>
  <si>
    <t>3543/2026</t>
  </si>
  <si>
    <t>REDE ABERTA DAS ORGANIZAÇÕES DA SOCIEDADE CIVIL ORGANIZADA DE CAMAÇARI/COMPETENCIA 03/2026</t>
  </si>
  <si>
    <t>3061/2026</t>
  </si>
  <si>
    <t>3558/2026</t>
  </si>
  <si>
    <t>3573/2026</t>
  </si>
  <si>
    <t>3572/2026</t>
  </si>
  <si>
    <t>3571/2026</t>
  </si>
  <si>
    <t>3570/2026</t>
  </si>
  <si>
    <t>3586/2026</t>
  </si>
  <si>
    <t>CARLA FREDERICA FERREIRA DEIRÓ, BEATRIZ DE SOUZA ANUNCIAÇÃO</t>
  </si>
  <si>
    <t>3581/2026</t>
  </si>
  <si>
    <t>3579/2026</t>
  </si>
  <si>
    <t>3583/2026</t>
  </si>
  <si>
    <t>3584/2026</t>
  </si>
  <si>
    <t>ADM -  EMPRESA ESPECIALIZADA PARA EXECUÇÃO DOS SERVIÇOS DO PROJETO TÉCNICO SOCIAL - PTS, NO ÂMBITO DO PROGRAMA DE SANEAMENTO INTEGRADO NAS BACIAS DOS RIOS IMBASSAÍ E JACUMIRIM, NO MUNICÍPIO DE DIAS D'ÁVILA</t>
  </si>
  <si>
    <t>3604/2026</t>
  </si>
  <si>
    <t>3602/2026</t>
  </si>
  <si>
    <t>3605/2026</t>
  </si>
  <si>
    <t>3606/2026</t>
  </si>
  <si>
    <t>3603/2026</t>
  </si>
  <si>
    <t>3600/2026</t>
  </si>
  <si>
    <t>3607/2026</t>
  </si>
  <si>
    <t>3608/2026</t>
  </si>
  <si>
    <t>3609/2026</t>
  </si>
  <si>
    <t>3615/2026</t>
  </si>
  <si>
    <t>3610/2026</t>
  </si>
  <si>
    <t>3611/2026</t>
  </si>
  <si>
    <t>3612/2026</t>
  </si>
  <si>
    <t>3613/2026</t>
  </si>
  <si>
    <t>3635/2026</t>
  </si>
  <si>
    <t>ANTIGA 3448/2026</t>
  </si>
  <si>
    <t>3199/2026</t>
  </si>
  <si>
    <t>3594/2026</t>
  </si>
  <si>
    <t xml:space="preserve">IDENIZAÇÃO - FLEX PRODUCAO SERVICOS DE ALIMENT E COMER </t>
  </si>
  <si>
    <t>3592/2026</t>
  </si>
  <si>
    <t>3587/2026</t>
  </si>
  <si>
    <t>3589/2026</t>
  </si>
  <si>
    <t>SERVIÇO NACIONAL DE APRENDIZAGEM INDUSTRIAL-SENAI</t>
  </si>
  <si>
    <t>3662/2026</t>
  </si>
  <si>
    <t>3658/2026</t>
  </si>
  <si>
    <t>3654/2026</t>
  </si>
  <si>
    <t>3652/2026</t>
  </si>
  <si>
    <t>3650/2026</t>
  </si>
  <si>
    <t>3648/2026</t>
  </si>
  <si>
    <t>3646/2026</t>
  </si>
  <si>
    <t>3643/2026</t>
  </si>
  <si>
    <t>3641/2026</t>
  </si>
  <si>
    <t>3640/2026</t>
  </si>
  <si>
    <t>3638/2026</t>
  </si>
  <si>
    <t>3637/2026</t>
  </si>
  <si>
    <t>3642/2026</t>
  </si>
  <si>
    <t>3644/2026</t>
  </si>
  <si>
    <t>3649/2026</t>
  </si>
  <si>
    <t>3651/2026</t>
  </si>
  <si>
    <t>3653/2026</t>
  </si>
  <si>
    <t>3659/2026</t>
  </si>
  <si>
    <t>ADM - CONTRATACAO DE EMPRESA ATRAVES DE RESGISTRO DE PREÇO PARA FUTURA E EVENTUAL AQUISIÇAO DE FARDAMENTO PARA ALUNOS DA ESCOLA DE BALE DIASDANÇA DO MUNICIPIO DE DIAS DAVILA, EM ATENDIMENTO AS NECESSIDADE DA SECRETARIA MUNICIPAL DE EDUCACAO</t>
  </si>
  <si>
    <t>3127/2026</t>
  </si>
  <si>
    <t>3674/2026</t>
  </si>
  <si>
    <t>3675/2026</t>
  </si>
  <si>
    <t>3676/2026</t>
  </si>
  <si>
    <t>3677/2026</t>
  </si>
  <si>
    <t>3678/2026</t>
  </si>
  <si>
    <t>RSF SERVICOS MEDICOS E URGENCIAS LTDA ME</t>
  </si>
  <si>
    <t>3680/2026</t>
  </si>
  <si>
    <t>3681/2026</t>
  </si>
  <si>
    <t>3682/2026</t>
  </si>
  <si>
    <t>3683/2026</t>
  </si>
  <si>
    <t>3684/2026</t>
  </si>
  <si>
    <t>3685/2026</t>
  </si>
  <si>
    <t>3687/2026</t>
  </si>
  <si>
    <t>3690/2026</t>
  </si>
  <si>
    <t>3689/2026</t>
  </si>
  <si>
    <t>3691/2026</t>
  </si>
  <si>
    <t>3692/2026</t>
  </si>
  <si>
    <t xml:space="preserve">LUCIENE XAVIER SANTANA ROCHA </t>
  </si>
  <si>
    <t>3694/2026</t>
  </si>
  <si>
    <t>3688/2026</t>
  </si>
  <si>
    <t>3686/2026</t>
  </si>
  <si>
    <t>3673/2026</t>
  </si>
  <si>
    <t>3672/2026</t>
  </si>
  <si>
    <t>3671/2026</t>
  </si>
  <si>
    <t>M M SERVICOS MEDICOS LTDA</t>
  </si>
  <si>
    <t>3666/2026</t>
  </si>
  <si>
    <t>3665/2026</t>
  </si>
  <si>
    <t>3664/2026</t>
  </si>
  <si>
    <t>3704/2026</t>
  </si>
  <si>
    <t>3702/2026</t>
  </si>
  <si>
    <t>3700/2026</t>
  </si>
  <si>
    <t>3699/2026</t>
  </si>
  <si>
    <t>3697/2026</t>
  </si>
  <si>
    <t>3574/2026</t>
  </si>
  <si>
    <t>3720/2026</t>
  </si>
  <si>
    <t>MFA PUB CONSULTORIA E ASSESSORIA LTDA</t>
  </si>
  <si>
    <t>3718/2026</t>
  </si>
  <si>
    <t>3725/2026</t>
  </si>
  <si>
    <t>3726/2026</t>
  </si>
  <si>
    <t>3727/2026</t>
  </si>
  <si>
    <t>3728/2026</t>
  </si>
  <si>
    <t>46388/46389</t>
  </si>
  <si>
    <t>3729/2026</t>
  </si>
  <si>
    <t>3550/2026</t>
  </si>
  <si>
    <t>3428/2026</t>
  </si>
  <si>
    <t xml:space="preserve">ADM - CONCESSAO PARA PRESTACAO E EXPLORACAO DO SERVICO PUBLICO DE TRANSPORTE COLETIVO MUNICIPAL DE PASSAGEIROS POR ONIBUS E/OU MICRO ONIBUS NA AREA URBANA </t>
  </si>
  <si>
    <t>3753/2026</t>
  </si>
  <si>
    <t>3752/2026</t>
  </si>
  <si>
    <t>C.H. SERVIÇOS MEDICOS E HOSPITALARES LTDA ME</t>
  </si>
  <si>
    <t>3748/2026</t>
  </si>
  <si>
    <t>3750/2026</t>
  </si>
  <si>
    <t>ALMAR - SERVIÇOS MEDICOS LTDA</t>
  </si>
  <si>
    <t>3743/2026</t>
  </si>
  <si>
    <t>3745/2026</t>
  </si>
  <si>
    <t>3736/2026</t>
  </si>
  <si>
    <t>INTEGRA COMERCIO E SERVIÇOS LTDA ME</t>
  </si>
  <si>
    <t>3737/2026</t>
  </si>
  <si>
    <t>3740/2026</t>
  </si>
  <si>
    <t>REGISTRO DE IMOVEIS DA COMARCA DE DIAS D'AVILA</t>
  </si>
  <si>
    <t>3744/2026</t>
  </si>
  <si>
    <t>3741/2026</t>
  </si>
  <si>
    <t>TLD HUB DE CIBERSEGURANÇA &amp; CONECTIVIDADE LTDA</t>
  </si>
  <si>
    <t>3742/2026</t>
  </si>
  <si>
    <t>3749/2026</t>
  </si>
  <si>
    <t>39/40</t>
  </si>
  <si>
    <t>3746/2026</t>
  </si>
  <si>
    <t>3747/2026</t>
  </si>
  <si>
    <t>3751/2026</t>
  </si>
  <si>
    <t>PRODUS PRODUTOS E SOLUCOES PARA INFORMATICA LTDA</t>
  </si>
  <si>
    <t>PR NET INFOR COMERCIO E SERVICOS EM PROJETOS E TECNOLOGIA DA INFORMACAO LTDA-ME</t>
  </si>
  <si>
    <t>3733/2026</t>
  </si>
  <si>
    <t>3734/2026</t>
  </si>
  <si>
    <t>3735/2026</t>
  </si>
  <si>
    <t>ANTIGA 3466/2026</t>
  </si>
  <si>
    <t>3739/2026</t>
  </si>
  <si>
    <t>3556/2026</t>
  </si>
  <si>
    <t>3754/2026</t>
  </si>
  <si>
    <t>3759/2026</t>
  </si>
  <si>
    <t>3760/2026</t>
  </si>
  <si>
    <t>3761/2026</t>
  </si>
  <si>
    <t>3762/2026</t>
  </si>
  <si>
    <t>3763/2026</t>
  </si>
  <si>
    <t>3764/2026</t>
  </si>
  <si>
    <t>3765/2026</t>
  </si>
  <si>
    <t>3766/2026</t>
  </si>
  <si>
    <t>3777/2026</t>
  </si>
  <si>
    <t>3778/2026</t>
  </si>
  <si>
    <t>3781/2026</t>
  </si>
  <si>
    <t>3202/2026</t>
  </si>
  <si>
    <t>3197/2026</t>
  </si>
  <si>
    <t>3582/2026</t>
  </si>
  <si>
    <t>3544/2026</t>
  </si>
  <si>
    <t>3441/2026</t>
  </si>
  <si>
    <t>LARISSA GUIMARAES LTDA</t>
  </si>
  <si>
    <t>WANDERLEY MAGALHAES RIBEIRO LTDA</t>
  </si>
  <si>
    <t>OLIFON CONSULTORIA &amp; ASSESSORIA DE TREINAMENTO LTDA</t>
  </si>
  <si>
    <t>3784/2026</t>
  </si>
  <si>
    <t>DIARIAS - FERNANDA OLIVEIRA ALMEIDA, DEBORA MUNIZ RIBEIRO DE JESUS</t>
  </si>
  <si>
    <t>3792/2026</t>
  </si>
  <si>
    <t>DAVID ISAURO PIRES NETO LTDA - EPP</t>
  </si>
  <si>
    <t>3791/2026</t>
  </si>
  <si>
    <t>3789/2026</t>
  </si>
  <si>
    <t>3787/2026</t>
  </si>
  <si>
    <t>3793/2026</t>
  </si>
  <si>
    <t>3790/2026</t>
  </si>
  <si>
    <t>3788/2026</t>
  </si>
  <si>
    <t xml:space="preserve">ADM - CONTRATAÇÃO DE EMPRESA ESPECIALIZADA PARA PRESTAÇÃO DE SERVIÇO BUFFET, FORNECIMENTO DE ALIMENTOS E BEBIDAS, DISPONIBILIZAÇÃO DE PROFISSIONAIS DE APOIO OPERACIONAL </t>
  </si>
  <si>
    <t>3353/2026</t>
  </si>
  <si>
    <t>ADM - AQUISICAO DE GÁS GLP ACONDICIONADOS EM BOTIJOES 13 KG E 45 KG, BOTIJOES VAZIOS (VASILHAMES) DE GAS GLP 13 KG E 45 KG E KIT REGISTRO DE GAS (REGISTRO, MANGUEIRA E ABRACADEIRAS)</t>
  </si>
  <si>
    <t>3393/2026</t>
  </si>
  <si>
    <t>3798/2026</t>
  </si>
  <si>
    <t>3799/2026</t>
  </si>
  <si>
    <t>3800/2026</t>
  </si>
  <si>
    <t>3802/2026</t>
  </si>
  <si>
    <t>3803/2026</t>
  </si>
  <si>
    <t>3804/2026</t>
  </si>
  <si>
    <t>3591/2026</t>
  </si>
  <si>
    <t>1261/1262</t>
  </si>
  <si>
    <t>3814/2026</t>
  </si>
  <si>
    <t>3813/2026</t>
  </si>
  <si>
    <t>3811/2026</t>
  </si>
  <si>
    <t>3810/2026</t>
  </si>
  <si>
    <t>3809/2026</t>
  </si>
  <si>
    <t>3808/2026</t>
  </si>
  <si>
    <t>3807/2026</t>
  </si>
  <si>
    <t>3806/2026</t>
  </si>
  <si>
    <t>3812/2026</t>
  </si>
  <si>
    <t>3830/2026</t>
  </si>
  <si>
    <t>3831/2026</t>
  </si>
  <si>
    <t>3832/2026</t>
  </si>
  <si>
    <t>3833/2026</t>
  </si>
  <si>
    <t>3837/2026</t>
  </si>
  <si>
    <t>3836/2026</t>
  </si>
  <si>
    <t>CLINICA DE ACUPUNTURA MEDICA E ANESTESIOLOGIA AMA LTDA</t>
  </si>
  <si>
    <t>3201/2026</t>
  </si>
  <si>
    <t>3840/2026</t>
  </si>
  <si>
    <t>3839/2026</t>
  </si>
  <si>
    <t>3841/2026</t>
  </si>
  <si>
    <t>3846/2026</t>
  </si>
  <si>
    <t>3847/2026</t>
  </si>
  <si>
    <t>EXECUTIVA SOLUCOES DIGITAIS LTDA</t>
  </si>
  <si>
    <t>3848/2026</t>
  </si>
  <si>
    <t>3849/2026</t>
  </si>
  <si>
    <t>REDE ABERTA DAS ORGANIZACOES DA SOCIEDADE CIVIL ORGANIZADA DE CAMACARI</t>
  </si>
  <si>
    <t>3850/2026</t>
  </si>
  <si>
    <t>108/109</t>
  </si>
  <si>
    <t>3851/2026</t>
  </si>
  <si>
    <t>3545/2026</t>
  </si>
  <si>
    <t>3857/2026</t>
  </si>
  <si>
    <t>DIARIAS - BIANCA MOURA CANARIO</t>
  </si>
  <si>
    <t>DIARIAS - TAMIRES SILVA NOGUEIRA</t>
  </si>
  <si>
    <t>3856/2026</t>
  </si>
  <si>
    <t>EXECUTIVA COMERCIO DE MAQUINAS E EQUIPAMENTOS PARA ESCRITORIO</t>
  </si>
  <si>
    <t>3855/2026</t>
  </si>
  <si>
    <t>12811/12812</t>
  </si>
  <si>
    <t>3854/2026</t>
  </si>
  <si>
    <t>EXECUTIVA COMERCIO DE MAQUINAS E EQUIPAMENTOS P/ ESCRITORIO LTDA</t>
  </si>
  <si>
    <t>CLINICA DE ACUPNTURA MEDICA E ANESTESIOLOGIA AMA LTDA</t>
  </si>
  <si>
    <t>3869/2026</t>
  </si>
  <si>
    <t>3872/2026</t>
  </si>
  <si>
    <t>3871/2026</t>
  </si>
  <si>
    <t>3870/2026</t>
  </si>
  <si>
    <t>3419/2026</t>
  </si>
  <si>
    <t>ADM - CONTRATACAO DE EMPRESA PARA FORNECIMENTO E REPOSICAO DE AGUA MINERAL POTAVEL, SEM GAS, ACONDICIONADOS EM GARRAFOES DE 20 LITROS, COPOS DE 200ML (CAIXA COM 48 UNIDADES) E GARRAFAS DE 500ML (PACOTES COM 12 UNIDADES), E GARRAFOES DE 20 LITROS VAZIOS, INCLUINDO A ENTREGA, VISANDO ATENDER AS NECESSIDADES DAS SECRETARIAS E ORGAO VINCULADOS A PREFEITURA DE DIAS D'AVILA.</t>
  </si>
  <si>
    <t>3881/2026</t>
  </si>
  <si>
    <t>3878/2026</t>
  </si>
  <si>
    <t>3877/2026</t>
  </si>
  <si>
    <t>3873/2026</t>
  </si>
  <si>
    <t>ERICA SOUZA MOREIRA</t>
  </si>
  <si>
    <t>3882/2026</t>
  </si>
  <si>
    <t>JACIARA SILVA DOS REIS</t>
  </si>
  <si>
    <t>3883/2026</t>
  </si>
  <si>
    <t>3886/2026</t>
  </si>
  <si>
    <t>WTW CONSTRURORA E SERVICOS LTDA EPP</t>
  </si>
  <si>
    <t>3889/2026</t>
  </si>
  <si>
    <t>3874/2026</t>
  </si>
  <si>
    <t>ANTIGA 3590/2026</t>
  </si>
  <si>
    <t>3875/2026</t>
  </si>
  <si>
    <t>ANTIGA 3593/2026</t>
  </si>
  <si>
    <t>3893/2026</t>
  </si>
  <si>
    <t>3892/2026</t>
  </si>
  <si>
    <t>3014/2026</t>
  </si>
  <si>
    <t>3157/2026</t>
  </si>
  <si>
    <t>NEGRES CONTRUCOES LTDA</t>
  </si>
  <si>
    <t>3895/2026</t>
  </si>
  <si>
    <t>3896/2026</t>
  </si>
  <si>
    <t>3897/2026</t>
  </si>
  <si>
    <t>3898/2026</t>
  </si>
  <si>
    <t>3899/2026</t>
  </si>
  <si>
    <t>3900/2026</t>
  </si>
  <si>
    <t>3915/2026</t>
  </si>
  <si>
    <t>3916/2026</t>
  </si>
  <si>
    <t>17080000/27080000</t>
  </si>
  <si>
    <t>3917/2026</t>
  </si>
  <si>
    <t>3918/2026</t>
  </si>
  <si>
    <t>3919/2026</t>
  </si>
  <si>
    <t>3920/2026</t>
  </si>
  <si>
    <t>3894/2026</t>
  </si>
  <si>
    <t>ANTIGA 3172/2026</t>
  </si>
  <si>
    <t>3928/2026</t>
  </si>
  <si>
    <t>ANTIGA 3655/2026</t>
  </si>
  <si>
    <t>3930/2026</t>
  </si>
  <si>
    <t>3925/2026</t>
  </si>
  <si>
    <t>3926/2026</t>
  </si>
  <si>
    <t>3922/2026</t>
  </si>
  <si>
    <t>3938/2026</t>
  </si>
  <si>
    <t>3933/2026</t>
  </si>
  <si>
    <t>3932/2026</t>
  </si>
  <si>
    <t>3931/2026</t>
  </si>
  <si>
    <t>3934/2026</t>
  </si>
  <si>
    <t>3663/2026</t>
  </si>
  <si>
    <t>SHOPMED BRASIL COMERCIO DE MEDICAMENTOS LTDA</t>
  </si>
  <si>
    <t>3948/2026</t>
  </si>
  <si>
    <t>3941/2026</t>
  </si>
  <si>
    <t>3940/2026</t>
  </si>
  <si>
    <t>3942/2026</t>
  </si>
  <si>
    <t>3950/2026</t>
  </si>
  <si>
    <t>3949/2026</t>
  </si>
  <si>
    <t>3951/2026</t>
  </si>
  <si>
    <t>3952/2026</t>
  </si>
  <si>
    <t>3954/2026</t>
  </si>
  <si>
    <t>3955/2026</t>
  </si>
  <si>
    <t>3957/2026</t>
  </si>
  <si>
    <t>3956/2026</t>
  </si>
  <si>
    <t>3953/2026</t>
  </si>
  <si>
    <t>DIARIAS - SEMINÁRIO NACIONAL DE ESTUDOS AVANCADOS LICITACOES E CONTRATOS</t>
  </si>
  <si>
    <t>3958/2026</t>
  </si>
  <si>
    <t>3322/2026</t>
  </si>
  <si>
    <t>3977/2026</t>
  </si>
  <si>
    <t>EXECUTIVA COMERCIO DE MAQUINAS E EQUIPAMENTOS PARA ESCRITORIO LTDA</t>
  </si>
  <si>
    <t>3974/2026</t>
  </si>
  <si>
    <t>3975/2026</t>
  </si>
  <si>
    <t>3976/2026</t>
  </si>
  <si>
    <t>COMERCIAL CIRURGICA RIOCLARENSE LTDA</t>
  </si>
  <si>
    <t>3960/2026</t>
  </si>
  <si>
    <t>3961/2026</t>
  </si>
  <si>
    <t>2523/2524</t>
  </si>
  <si>
    <t>3962/2026</t>
  </si>
  <si>
    <t>3969/2026</t>
  </si>
  <si>
    <t>MULTIFARMA COMERCIO E REPRESENTACOES LTDA</t>
  </si>
  <si>
    <t>3970/2026</t>
  </si>
  <si>
    <t>3973/2026</t>
  </si>
  <si>
    <t>CONQUISTA DISTRIBUIDORA DE MEDICAMENTOS E PRODUTOS HOSPITALARES LTDA</t>
  </si>
  <si>
    <t>3971/2026</t>
  </si>
  <si>
    <t>3981/2026</t>
  </si>
  <si>
    <t>3978/2026</t>
  </si>
  <si>
    <t>4002/2026</t>
  </si>
  <si>
    <t>3995/2026</t>
  </si>
  <si>
    <t>3997/2026</t>
  </si>
  <si>
    <t>3993/2026</t>
  </si>
  <si>
    <t>3994/2026</t>
  </si>
  <si>
    <t>4001/2026</t>
  </si>
  <si>
    <t>3999/2026</t>
  </si>
  <si>
    <t>4000/2026</t>
  </si>
  <si>
    <t>3998/2026</t>
  </si>
  <si>
    <t>3996/2026</t>
  </si>
  <si>
    <t>2144602/2144667</t>
  </si>
  <si>
    <t>4007/2026</t>
  </si>
  <si>
    <t>4005/2026</t>
  </si>
  <si>
    <t>4013/2026</t>
  </si>
  <si>
    <t>4012/2026</t>
  </si>
  <si>
    <t>4011/2026</t>
  </si>
  <si>
    <t>4010/2026</t>
  </si>
  <si>
    <t>15001002/16210000</t>
  </si>
  <si>
    <t>DIARIAS - ROBERTO OLIVEIRA ARAUJO / ALVARO SIMOES FERREIRA DE OLIVEIRA</t>
  </si>
  <si>
    <t>4014/2026</t>
  </si>
  <si>
    <t>4016/2026</t>
  </si>
  <si>
    <t>4008/2026</t>
  </si>
  <si>
    <t>4006/2026</t>
  </si>
  <si>
    <t>194786/194878</t>
  </si>
  <si>
    <t>PREFEITURA MUN. DE DIAS D'AVILA</t>
  </si>
  <si>
    <t>BRUNA SILVA SANTOS MOURA - ME</t>
  </si>
  <si>
    <t>4022/2026</t>
  </si>
  <si>
    <t>SERV DE APOIO AS MICRO E PEQ EMPRESAS DO EST DA BAHIA</t>
  </si>
  <si>
    <t>4038/2026</t>
  </si>
  <si>
    <t>MGN HOSPITALAR LTDA - EPP</t>
  </si>
  <si>
    <t>4039/2026</t>
  </si>
  <si>
    <t>950/952</t>
  </si>
  <si>
    <t>UNIPRES COMERCIO E SERVICOS DE EQUIPAMENTOS LTDA</t>
  </si>
  <si>
    <t>4040/2026</t>
  </si>
  <si>
    <t>808/809/807/810/806/811</t>
  </si>
  <si>
    <t>4041/2026</t>
  </si>
  <si>
    <t>4045/2026</t>
  </si>
  <si>
    <t>DIARIAS - DAIANA SOUSA, EDNARA PEREIRA, LILIAN TAIS SOUSA DOS SANTOS, ADINA LIMA, LEILLA PRISCILLA SOUSA DOS SANTOS, ÉVELI ALMEIDA, POLIANA BOMFIM, CRISTINA GÓES</t>
  </si>
  <si>
    <t>4015/2026</t>
  </si>
  <si>
    <t>4062/2026</t>
  </si>
  <si>
    <t>4063/2026</t>
  </si>
  <si>
    <t>ANTIGA 3936/2026</t>
  </si>
  <si>
    <t>4064/2026</t>
  </si>
  <si>
    <t>4065/2026</t>
  </si>
  <si>
    <t>33239/33236</t>
  </si>
  <si>
    <t>VITORIA FARMA COMERCIO E REPRESENTACOES LTDA</t>
  </si>
  <si>
    <t>4066/2026</t>
  </si>
  <si>
    <t>4067/2026</t>
  </si>
  <si>
    <t>4068/2026</t>
  </si>
  <si>
    <t>194193/194849/194924/195032/195537</t>
  </si>
  <si>
    <t>4069/2026</t>
  </si>
  <si>
    <t>RETEC RESIDUOS S/A</t>
  </si>
  <si>
    <t>4070/2026</t>
  </si>
  <si>
    <t>15810/15809/15811</t>
  </si>
  <si>
    <t>4071/2026</t>
  </si>
  <si>
    <t>ANTIGA 4019/2026</t>
  </si>
  <si>
    <t>3079/2026</t>
  </si>
  <si>
    <t>2640/2026</t>
  </si>
  <si>
    <t>4084/2026</t>
  </si>
  <si>
    <t>4083/2026</t>
  </si>
  <si>
    <t>336/125</t>
  </si>
  <si>
    <t>4082/2026</t>
  </si>
  <si>
    <t>4087/2026</t>
  </si>
  <si>
    <t>4086/2026</t>
  </si>
  <si>
    <t>4095/2026</t>
  </si>
  <si>
    <t>289568/290482</t>
  </si>
  <si>
    <t>4093/2026</t>
  </si>
  <si>
    <t>4091/2026</t>
  </si>
  <si>
    <t>4089/2026</t>
  </si>
  <si>
    <t>1520537/1520538</t>
  </si>
  <si>
    <t>4102/2026</t>
  </si>
  <si>
    <t>RED ANGUS CHURRASCARIA EIRELI</t>
  </si>
  <si>
    <t>4103/2026</t>
  </si>
  <si>
    <t>4104/2026</t>
  </si>
  <si>
    <t>4105/2026</t>
  </si>
  <si>
    <t>4106/2026</t>
  </si>
  <si>
    <t>4107/2026</t>
  </si>
  <si>
    <t>4108/2026</t>
  </si>
  <si>
    <t>4109/2026</t>
  </si>
  <si>
    <t>4113/2026</t>
  </si>
  <si>
    <t>4114/2026</t>
  </si>
  <si>
    <t>4112/2026</t>
  </si>
  <si>
    <t>4110/2026</t>
  </si>
  <si>
    <t>4125/2026</t>
  </si>
  <si>
    <t>4135/2026</t>
  </si>
  <si>
    <t>4133/2026</t>
  </si>
  <si>
    <t>534842/534993/536260</t>
  </si>
  <si>
    <t>JD SAUDE HOSPITALAR LTDA - EPP</t>
  </si>
  <si>
    <t>4129/2026</t>
  </si>
  <si>
    <t>4131/2026</t>
  </si>
  <si>
    <t>4132/2026</t>
  </si>
  <si>
    <t>4134/2026</t>
  </si>
  <si>
    <t>4136/2026</t>
  </si>
  <si>
    <t>4139/2026</t>
  </si>
  <si>
    <t>4140/2026</t>
  </si>
  <si>
    <t>4137/2026</t>
  </si>
  <si>
    <t>4130/2026</t>
  </si>
  <si>
    <t>4138/2026</t>
  </si>
  <si>
    <t>PLUS VIAGENS E TURISMO LTDA-EPP</t>
  </si>
  <si>
    <t>4149/2026</t>
  </si>
  <si>
    <t>A&amp;S COMERCIO DE PRODUTOS E MATERIAIS HOSPITALARES LTDA</t>
  </si>
  <si>
    <t>4142/2026</t>
  </si>
  <si>
    <t>4143/2026</t>
  </si>
  <si>
    <t>4144/2026</t>
  </si>
  <si>
    <t>4147/2026</t>
  </si>
  <si>
    <t>4148/2026</t>
  </si>
  <si>
    <t>4145/2026</t>
  </si>
  <si>
    <t>4141/2026</t>
  </si>
  <si>
    <t>AMB DISTRIBUIDORA DE MEDICAMENTO E MATERIAIS HOSPITALARES LTDA</t>
  </si>
  <si>
    <t>4151/2026</t>
  </si>
  <si>
    <t>V. S COSTA &amp; CIA LTDA</t>
  </si>
  <si>
    <t>4152/2026</t>
  </si>
  <si>
    <t>4153/2026</t>
  </si>
  <si>
    <t>DAVID ISAURO PIRES NETO EIRELI</t>
  </si>
  <si>
    <t>4154/2026</t>
  </si>
  <si>
    <t>4155/2026</t>
  </si>
  <si>
    <t>4156/2026</t>
  </si>
  <si>
    <t>DIGITAL 9 GRAFICA LTDA EPP</t>
  </si>
  <si>
    <t>4158/2026</t>
  </si>
  <si>
    <t>4159/2026</t>
  </si>
  <si>
    <t>4160/2026</t>
  </si>
  <si>
    <t>4182/2026</t>
  </si>
  <si>
    <t>GB TEXTIL COMERCIAL LTDA ME</t>
  </si>
  <si>
    <t>4183/2026</t>
  </si>
  <si>
    <t>4195/2026</t>
  </si>
  <si>
    <t>4193/2026</t>
  </si>
  <si>
    <t>4191/2026</t>
  </si>
  <si>
    <t>4189/2026</t>
  </si>
  <si>
    <t>4187/2026</t>
  </si>
  <si>
    <t>4184/2026</t>
  </si>
  <si>
    <t>4185/2026</t>
  </si>
  <si>
    <t>4186/2026</t>
  </si>
  <si>
    <t>MEDBARRETO SERVICOS MEDICOS LTDA</t>
  </si>
  <si>
    <t>4188/2026</t>
  </si>
  <si>
    <t>4190/2026</t>
  </si>
  <si>
    <t>4192/2026</t>
  </si>
  <si>
    <t>4194/2026</t>
  </si>
  <si>
    <t>4196/2026</t>
  </si>
  <si>
    <t>4197/2026</t>
  </si>
  <si>
    <t>4198/2026</t>
  </si>
  <si>
    <t>4199/2026</t>
  </si>
  <si>
    <t>4200/2026</t>
  </si>
  <si>
    <t>4202/2026</t>
  </si>
  <si>
    <t>4203/2026</t>
  </si>
  <si>
    <t>4205/2026</t>
  </si>
  <si>
    <t>4208/2026</t>
  </si>
  <si>
    <t>4206/2026</t>
  </si>
  <si>
    <t>AMANDA ANJOS</t>
  </si>
  <si>
    <t>IVAN LUIS SILVA LIMA</t>
  </si>
  <si>
    <t>4219/2026</t>
  </si>
  <si>
    <t>DIMAS FREITAS CARVALHO</t>
  </si>
  <si>
    <t>4218/2026</t>
  </si>
  <si>
    <t>4216/2026</t>
  </si>
  <si>
    <t>4215/2026</t>
  </si>
  <si>
    <t>4214/2026</t>
  </si>
  <si>
    <t>4213/2026</t>
  </si>
  <si>
    <t>4222/2026</t>
  </si>
  <si>
    <t>4226/2026</t>
  </si>
  <si>
    <t>4229/2026</t>
  </si>
  <si>
    <t>4227/2026</t>
  </si>
  <si>
    <t>CM HOSPITALAR S.A</t>
  </si>
  <si>
    <t>4230/2026</t>
  </si>
  <si>
    <t>4232/2026</t>
  </si>
  <si>
    <t>4233/2026</t>
  </si>
  <si>
    <t>4234/2026</t>
  </si>
  <si>
    <t>4235/2026</t>
  </si>
  <si>
    <t>4236/2026</t>
  </si>
  <si>
    <t>4237/2026</t>
  </si>
  <si>
    <t>4241/2026</t>
  </si>
  <si>
    <t>4243/2026</t>
  </si>
  <si>
    <t>4244/2026</t>
  </si>
  <si>
    <t>4245/2026</t>
  </si>
  <si>
    <t>SENAI - SERVICO NACIONAL DE APRENDIZAGEM INDUSTRIAL</t>
  </si>
  <si>
    <t>3884/2026</t>
  </si>
  <si>
    <t>3614/2026</t>
  </si>
  <si>
    <t>3758/2026</t>
  </si>
  <si>
    <t>3546/2026</t>
  </si>
  <si>
    <t>3927/2026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</si>
</sst>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6" borderId="0" applyNumberFormat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1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8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164" fontId="0" fillId="3" borderId="0" xfId="1" applyNumberFormat="1" applyFont="1" applyFill="1" applyAlignment="1">
      <alignment horizontal="left" vertical="center"/>
    </xf>
    <xf numFmtId="164" fontId="0" fillId="0" borderId="0" xfId="1" quotePrefix="1" applyNumberFormat="1" applyFon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164" fontId="0" fillId="4" borderId="0" xfId="1" applyNumberFormat="1" applyFon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164" fontId="0" fillId="5" borderId="0" xfId="1" applyNumberFormat="1" applyFont="1" applyFill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left" vertical="center"/>
    </xf>
    <xf numFmtId="14" fontId="6" fillId="0" borderId="0" xfId="0" applyNumberFormat="1" applyFont="1"/>
    <xf numFmtId="0" fontId="10" fillId="0" borderId="0" xfId="0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vertical="center"/>
    </xf>
    <xf numFmtId="0" fontId="11" fillId="0" borderId="0" xfId="0" applyFont="1" applyAlignment="1">
      <alignment horizontal="center" vertical="center"/>
    </xf>
    <xf numFmtId="14" fontId="0" fillId="0" borderId="0" xfId="0" quotePrefix="1" applyNumberFormat="1"/>
    <xf numFmtId="0" fontId="2" fillId="6" borderId="0" xfId="2" applyAlignment="1">
      <alignment horizontal="left" vertical="center"/>
    </xf>
    <xf numFmtId="14" fontId="0" fillId="7" borderId="5" xfId="0" applyNumberFormat="1" applyFill="1" applyBorder="1"/>
    <xf numFmtId="164" fontId="0" fillId="8" borderId="0" xfId="1" applyNumberFormat="1" applyFont="1" applyFill="1" applyAlignment="1">
      <alignment horizontal="left" vertical="center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0" fillId="3" borderId="0" xfId="0" applyNumberFormat="1" applyFill="1"/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0" fillId="9" borderId="0" xfId="0" applyFill="1" applyAlignment="1">
      <alignment horizontal="left" vertical="center"/>
    </xf>
    <xf numFmtId="14" fontId="0" fillId="0" borderId="0" xfId="0" applyNumberFormat="1" applyAlignment="1">
      <alignment horizontal="right"/>
    </xf>
    <xf numFmtId="44" fontId="0" fillId="0" borderId="0" xfId="1" applyFont="1"/>
    <xf numFmtId="44" fontId="0" fillId="0" borderId="0" xfId="0" applyNumberFormat="1"/>
    <xf numFmtId="0" fontId="0" fillId="0" borderId="0" xfId="1" applyNumberFormat="1" applyFont="1" applyAlignment="1">
      <alignment horizontal="left" vertical="top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14" fontId="0" fillId="10" borderId="0" xfId="0" applyNumberFormat="1" applyFill="1" applyAlignment="1">
      <alignment horizontal="left" vertical="center"/>
    </xf>
    <xf numFmtId="0" fontId="0" fillId="10" borderId="0" xfId="0" applyFill="1" applyAlignment="1">
      <alignment horizontal="left" vertical="center" wrapText="1"/>
    </xf>
    <xf numFmtId="0" fontId="0" fillId="10" borderId="0" xfId="0" applyFill="1" applyAlignment="1">
      <alignment horizontal="left" vertical="top"/>
    </xf>
    <xf numFmtId="164" fontId="0" fillId="10" borderId="0" xfId="1" applyNumberFormat="1" applyFont="1" applyFill="1" applyAlignment="1">
      <alignment horizontal="left" vertical="center"/>
    </xf>
    <xf numFmtId="14" fontId="0" fillId="10" borderId="0" xfId="0" applyNumberFormat="1" applyFill="1"/>
    <xf numFmtId="3" fontId="0" fillId="0" borderId="0" xfId="0" applyNumberFormat="1" applyAlignment="1">
      <alignment horizontal="left" vertical="center"/>
    </xf>
    <xf numFmtId="44" fontId="0" fillId="3" borderId="0" xfId="1" applyFont="1" applyFill="1"/>
    <xf numFmtId="0" fontId="14" fillId="0" borderId="0" xfId="0" applyFont="1" applyAlignment="1">
      <alignment horizontal="left" vertical="center" wrapText="1"/>
    </xf>
    <xf numFmtId="0" fontId="0" fillId="0" borderId="0" xfId="1" applyNumberFormat="1" applyFont="1"/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10" borderId="0" xfId="0" applyFont="1" applyFill="1" applyAlignment="1">
      <alignment horizontal="left" vertical="center"/>
    </xf>
    <xf numFmtId="14" fontId="0" fillId="0" borderId="0" xfId="0" applyNumberFormat="1" applyFont="1" applyAlignment="1">
      <alignment horizontal="left" vertical="center"/>
    </xf>
  </cellXfs>
  <cellStyles count="3">
    <cellStyle name="40% - Ênfase1" xfId="2" builtinId="31"/>
    <cellStyle name="Moeda" xfId="1" builtinId="4"/>
    <cellStyle name="Normal" xfId="0" builtinId="0"/>
  </cellStyles>
  <dxfs count="17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64" formatCode="&quot;R$&quot;\ #,##0.00"/>
      <alignment horizontal="left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</font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/>
        <vertAlign val="baseline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family val="2"/>
      </font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4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theme" Target="theme/theme1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'INVENTÁRIO 2026'!#REF!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'INVENTÁRIO 2026'!#REF!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9-4229-B512-91E511F75732}"/>
            </c:ext>
          </c:extLst>
        </c:ser>
        <c:ser>
          <c:idx val="1"/>
          <c:order val="1"/>
          <c:tx>
            <c:strRef>
              <c:f>'INVENTÁRIO 2026'!$A$2</c:f>
              <c:strCache>
                <c:ptCount val="1"/>
                <c:pt idx="0">
                  <c:v>CREDOR/OBJETO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'INVENTÁRIO 2026'!$A$3:$A$11811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5839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9-4229-B512-91E511F75732}"/>
            </c:ext>
          </c:extLst>
        </c:ser>
        <c:ser>
          <c:idx val="2"/>
          <c:order val="2"/>
          <c:tx>
            <c:strRef>
              <c:f>'INVENTÁRIO 2026'!$B$2</c:f>
              <c:strCache>
                <c:ptCount val="1"/>
                <c:pt idx="0">
                  <c:v>QUANT. ENTRADA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'INVENTÁRIO 2026'!$B$3:$B$11811</c:f>
              <c:numCache>
                <c:formatCode>General</c:formatCode>
                <c:ptCount val="1180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3</c:v>
                </c:pt>
                <c:pt idx="190">
                  <c:v>2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3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3</c:v>
                </c:pt>
                <c:pt idx="230">
                  <c:v>1</c:v>
                </c:pt>
                <c:pt idx="231">
                  <c:v>2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2</c:v>
                </c:pt>
                <c:pt idx="238">
                  <c:v>4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4</c:v>
                </c:pt>
                <c:pt idx="287">
                  <c:v>1</c:v>
                </c:pt>
                <c:pt idx="288">
                  <c:v>1</c:v>
                </c:pt>
                <c:pt idx="289">
                  <c:v>2</c:v>
                </c:pt>
                <c:pt idx="290">
                  <c:v>2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1</c:v>
                </c:pt>
                <c:pt idx="343">
                  <c:v>3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3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3</c:v>
                </c:pt>
                <c:pt idx="368">
                  <c:v>2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1</c:v>
                </c:pt>
                <c:pt idx="410">
                  <c:v>1</c:v>
                </c:pt>
                <c:pt idx="411">
                  <c:v>2</c:v>
                </c:pt>
                <c:pt idx="412">
                  <c:v>3</c:v>
                </c:pt>
                <c:pt idx="413">
                  <c:v>1</c:v>
                </c:pt>
                <c:pt idx="414">
                  <c:v>3</c:v>
                </c:pt>
                <c:pt idx="415">
                  <c:v>2</c:v>
                </c:pt>
                <c:pt idx="416">
                  <c:v>2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3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3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3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1</c:v>
                </c:pt>
                <c:pt idx="485">
                  <c:v>3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1</c:v>
                </c:pt>
                <c:pt idx="494">
                  <c:v>3</c:v>
                </c:pt>
                <c:pt idx="495">
                  <c:v>2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3</c:v>
                </c:pt>
                <c:pt idx="507">
                  <c:v>1</c:v>
                </c:pt>
                <c:pt idx="508">
                  <c:v>3</c:v>
                </c:pt>
                <c:pt idx="509">
                  <c:v>2</c:v>
                </c:pt>
                <c:pt idx="510">
                  <c:v>2</c:v>
                </c:pt>
                <c:pt idx="511">
                  <c:v>1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1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1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1</c:v>
                </c:pt>
                <c:pt idx="556">
                  <c:v>2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2</c:v>
                </c:pt>
                <c:pt idx="563">
                  <c:v>1</c:v>
                </c:pt>
                <c:pt idx="564">
                  <c:v>2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2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2</c:v>
                </c:pt>
                <c:pt idx="587">
                  <c:v>1</c:v>
                </c:pt>
                <c:pt idx="588">
                  <c:v>1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2</c:v>
                </c:pt>
                <c:pt idx="664">
                  <c:v>3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2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2</c:v>
                </c:pt>
                <c:pt idx="714">
                  <c:v>3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2</c:v>
                </c:pt>
                <c:pt idx="726">
                  <c:v>2</c:v>
                </c:pt>
                <c:pt idx="727">
                  <c:v>1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2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2</c:v>
                </c:pt>
                <c:pt idx="771">
                  <c:v>1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2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2</c:v>
                </c:pt>
                <c:pt idx="807">
                  <c:v>2</c:v>
                </c:pt>
                <c:pt idx="808">
                  <c:v>1</c:v>
                </c:pt>
                <c:pt idx="809">
                  <c:v>3</c:v>
                </c:pt>
                <c:pt idx="810">
                  <c:v>2</c:v>
                </c:pt>
                <c:pt idx="811">
                  <c:v>2</c:v>
                </c:pt>
                <c:pt idx="812">
                  <c:v>1</c:v>
                </c:pt>
                <c:pt idx="813">
                  <c:v>2</c:v>
                </c:pt>
                <c:pt idx="814">
                  <c:v>1</c:v>
                </c:pt>
                <c:pt idx="815">
                  <c:v>1</c:v>
                </c:pt>
                <c:pt idx="816">
                  <c:v>3</c:v>
                </c:pt>
                <c:pt idx="817">
                  <c:v>1</c:v>
                </c:pt>
                <c:pt idx="818">
                  <c:v>2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2</c:v>
                </c:pt>
                <c:pt idx="823">
                  <c:v>2</c:v>
                </c:pt>
                <c:pt idx="824">
                  <c:v>1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1</c:v>
                </c:pt>
                <c:pt idx="844">
                  <c:v>1</c:v>
                </c:pt>
                <c:pt idx="845">
                  <c:v>2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3</c:v>
                </c:pt>
                <c:pt idx="852">
                  <c:v>1</c:v>
                </c:pt>
                <c:pt idx="853">
                  <c:v>1</c:v>
                </c:pt>
                <c:pt idx="854">
                  <c:v>2</c:v>
                </c:pt>
                <c:pt idx="855">
                  <c:v>1</c:v>
                </c:pt>
                <c:pt idx="856">
                  <c:v>1</c:v>
                </c:pt>
                <c:pt idx="857">
                  <c:v>2</c:v>
                </c:pt>
                <c:pt idx="858">
                  <c:v>2</c:v>
                </c:pt>
                <c:pt idx="859">
                  <c:v>3</c:v>
                </c:pt>
                <c:pt idx="860">
                  <c:v>3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2</c:v>
                </c:pt>
                <c:pt idx="885">
                  <c:v>1</c:v>
                </c:pt>
                <c:pt idx="886">
                  <c:v>2</c:v>
                </c:pt>
                <c:pt idx="887">
                  <c:v>1</c:v>
                </c:pt>
                <c:pt idx="888">
                  <c:v>2</c:v>
                </c:pt>
                <c:pt idx="889">
                  <c:v>1</c:v>
                </c:pt>
                <c:pt idx="890">
                  <c:v>1</c:v>
                </c:pt>
                <c:pt idx="891">
                  <c:v>2</c:v>
                </c:pt>
                <c:pt idx="892">
                  <c:v>2</c:v>
                </c:pt>
                <c:pt idx="893">
                  <c:v>1</c:v>
                </c:pt>
                <c:pt idx="894">
                  <c:v>1</c:v>
                </c:pt>
                <c:pt idx="895">
                  <c:v>2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2</c:v>
                </c:pt>
                <c:pt idx="906">
                  <c:v>3</c:v>
                </c:pt>
                <c:pt idx="907">
                  <c:v>2</c:v>
                </c:pt>
                <c:pt idx="908">
                  <c:v>2</c:v>
                </c:pt>
                <c:pt idx="909">
                  <c:v>3</c:v>
                </c:pt>
                <c:pt idx="910">
                  <c:v>1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1</c:v>
                </c:pt>
                <c:pt idx="915">
                  <c:v>2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1</c:v>
                </c:pt>
                <c:pt idx="924">
                  <c:v>1</c:v>
                </c:pt>
                <c:pt idx="925">
                  <c:v>2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3</c:v>
                </c:pt>
                <c:pt idx="941">
                  <c:v>1</c:v>
                </c:pt>
                <c:pt idx="942">
                  <c:v>2</c:v>
                </c:pt>
                <c:pt idx="943">
                  <c:v>3</c:v>
                </c:pt>
                <c:pt idx="944">
                  <c:v>4</c:v>
                </c:pt>
                <c:pt idx="945">
                  <c:v>3</c:v>
                </c:pt>
                <c:pt idx="946">
                  <c:v>1</c:v>
                </c:pt>
                <c:pt idx="947">
                  <c:v>2</c:v>
                </c:pt>
                <c:pt idx="948">
                  <c:v>1</c:v>
                </c:pt>
                <c:pt idx="949">
                  <c:v>5</c:v>
                </c:pt>
                <c:pt idx="950">
                  <c:v>2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3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2</c:v>
                </c:pt>
                <c:pt idx="968">
                  <c:v>2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2</c:v>
                </c:pt>
                <c:pt idx="973">
                  <c:v>1</c:v>
                </c:pt>
                <c:pt idx="974">
                  <c:v>2</c:v>
                </c:pt>
                <c:pt idx="975">
                  <c:v>1</c:v>
                </c:pt>
                <c:pt idx="976">
                  <c:v>1</c:v>
                </c:pt>
                <c:pt idx="977">
                  <c:v>2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2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2</c:v>
                </c:pt>
                <c:pt idx="991">
                  <c:v>1</c:v>
                </c:pt>
                <c:pt idx="992">
                  <c:v>1</c:v>
                </c:pt>
                <c:pt idx="993">
                  <c:v>2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1</c:v>
                </c:pt>
                <c:pt idx="1001">
                  <c:v>1</c:v>
                </c:pt>
                <c:pt idx="1002">
                  <c:v>2</c:v>
                </c:pt>
                <c:pt idx="1003">
                  <c:v>1</c:v>
                </c:pt>
                <c:pt idx="1004">
                  <c:v>1</c:v>
                </c:pt>
                <c:pt idx="1005">
                  <c:v>3</c:v>
                </c:pt>
                <c:pt idx="1006">
                  <c:v>1</c:v>
                </c:pt>
                <c:pt idx="1007">
                  <c:v>2</c:v>
                </c:pt>
                <c:pt idx="1008">
                  <c:v>1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2</c:v>
                </c:pt>
                <c:pt idx="1018">
                  <c:v>1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1</c:v>
                </c:pt>
                <c:pt idx="1024">
                  <c:v>2</c:v>
                </c:pt>
                <c:pt idx="1025">
                  <c:v>2</c:v>
                </c:pt>
                <c:pt idx="1026">
                  <c:v>1</c:v>
                </c:pt>
                <c:pt idx="1027">
                  <c:v>2</c:v>
                </c:pt>
                <c:pt idx="1028">
                  <c:v>2</c:v>
                </c:pt>
                <c:pt idx="1029">
                  <c:v>3</c:v>
                </c:pt>
                <c:pt idx="1030">
                  <c:v>2</c:v>
                </c:pt>
                <c:pt idx="1031">
                  <c:v>1</c:v>
                </c:pt>
                <c:pt idx="1032">
                  <c:v>2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2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2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2</c:v>
                </c:pt>
                <c:pt idx="1054">
                  <c:v>2</c:v>
                </c:pt>
                <c:pt idx="1055">
                  <c:v>1</c:v>
                </c:pt>
                <c:pt idx="1056">
                  <c:v>1</c:v>
                </c:pt>
                <c:pt idx="1057">
                  <c:v>2</c:v>
                </c:pt>
                <c:pt idx="1058">
                  <c:v>2</c:v>
                </c:pt>
                <c:pt idx="1059">
                  <c:v>1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2</c:v>
                </c:pt>
                <c:pt idx="1071">
                  <c:v>2</c:v>
                </c:pt>
                <c:pt idx="1072">
                  <c:v>1</c:v>
                </c:pt>
                <c:pt idx="1073">
                  <c:v>2</c:v>
                </c:pt>
                <c:pt idx="1074">
                  <c:v>1</c:v>
                </c:pt>
                <c:pt idx="1075">
                  <c:v>2</c:v>
                </c:pt>
                <c:pt idx="1076">
                  <c:v>3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3</c:v>
                </c:pt>
                <c:pt idx="1084">
                  <c:v>1</c:v>
                </c:pt>
                <c:pt idx="1085">
                  <c:v>2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2</c:v>
                </c:pt>
                <c:pt idx="1090">
                  <c:v>1</c:v>
                </c:pt>
                <c:pt idx="1091">
                  <c:v>1</c:v>
                </c:pt>
                <c:pt idx="1092">
                  <c:v>3</c:v>
                </c:pt>
                <c:pt idx="1093">
                  <c:v>1</c:v>
                </c:pt>
                <c:pt idx="1094">
                  <c:v>3</c:v>
                </c:pt>
                <c:pt idx="1095">
                  <c:v>1</c:v>
                </c:pt>
                <c:pt idx="1096">
                  <c:v>1</c:v>
                </c:pt>
                <c:pt idx="1097">
                  <c:v>2</c:v>
                </c:pt>
                <c:pt idx="1098">
                  <c:v>1</c:v>
                </c:pt>
                <c:pt idx="1099">
                  <c:v>2</c:v>
                </c:pt>
                <c:pt idx="1100">
                  <c:v>1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2</c:v>
                </c:pt>
                <c:pt idx="1107">
                  <c:v>1</c:v>
                </c:pt>
                <c:pt idx="1108">
                  <c:v>2</c:v>
                </c:pt>
                <c:pt idx="1109">
                  <c:v>2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2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2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2</c:v>
                </c:pt>
                <c:pt idx="1146">
                  <c:v>1</c:v>
                </c:pt>
                <c:pt idx="1147">
                  <c:v>1</c:v>
                </c:pt>
                <c:pt idx="1148">
                  <c:v>2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2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1</c:v>
                </c:pt>
                <c:pt idx="1179">
                  <c:v>2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1</c:v>
                </c:pt>
                <c:pt idx="1202">
                  <c:v>2</c:v>
                </c:pt>
                <c:pt idx="1203">
                  <c:v>1</c:v>
                </c:pt>
                <c:pt idx="1204">
                  <c:v>1</c:v>
                </c:pt>
                <c:pt idx="1205">
                  <c:v>2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2</c:v>
                </c:pt>
                <c:pt idx="1217">
                  <c:v>1</c:v>
                </c:pt>
                <c:pt idx="1218">
                  <c:v>2</c:v>
                </c:pt>
                <c:pt idx="1219">
                  <c:v>1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1</c:v>
                </c:pt>
                <c:pt idx="1224">
                  <c:v>2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2</c:v>
                </c:pt>
                <c:pt idx="1230">
                  <c:v>2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2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2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2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2</c:v>
                </c:pt>
                <c:pt idx="1267">
                  <c:v>2</c:v>
                </c:pt>
                <c:pt idx="1268">
                  <c:v>1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2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2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2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4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2</c:v>
                </c:pt>
                <c:pt idx="1316">
                  <c:v>1</c:v>
                </c:pt>
                <c:pt idx="1318">
                  <c:v>2</c:v>
                </c:pt>
                <c:pt idx="1319">
                  <c:v>1</c:v>
                </c:pt>
                <c:pt idx="1320">
                  <c:v>2</c:v>
                </c:pt>
                <c:pt idx="1321">
                  <c:v>1</c:v>
                </c:pt>
                <c:pt idx="1322">
                  <c:v>2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2</c:v>
                </c:pt>
                <c:pt idx="1328">
                  <c:v>2</c:v>
                </c:pt>
                <c:pt idx="1329">
                  <c:v>1</c:v>
                </c:pt>
                <c:pt idx="1330">
                  <c:v>1</c:v>
                </c:pt>
                <c:pt idx="1331">
                  <c:v>2</c:v>
                </c:pt>
                <c:pt idx="1332">
                  <c:v>1</c:v>
                </c:pt>
                <c:pt idx="1333">
                  <c:v>2</c:v>
                </c:pt>
                <c:pt idx="1334">
                  <c:v>1</c:v>
                </c:pt>
                <c:pt idx="1335">
                  <c:v>2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2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2</c:v>
                </c:pt>
                <c:pt idx="1357">
                  <c:v>1</c:v>
                </c:pt>
                <c:pt idx="1358">
                  <c:v>1</c:v>
                </c:pt>
                <c:pt idx="1359">
                  <c:v>3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2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2</c:v>
                </c:pt>
                <c:pt idx="1373">
                  <c:v>1</c:v>
                </c:pt>
                <c:pt idx="1374">
                  <c:v>2</c:v>
                </c:pt>
                <c:pt idx="1375">
                  <c:v>1</c:v>
                </c:pt>
                <c:pt idx="1376">
                  <c:v>1</c:v>
                </c:pt>
                <c:pt idx="1377">
                  <c:v>2</c:v>
                </c:pt>
                <c:pt idx="1378">
                  <c:v>2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4</c:v>
                </c:pt>
                <c:pt idx="1383">
                  <c:v>1</c:v>
                </c:pt>
                <c:pt idx="1384">
                  <c:v>2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2</c:v>
                </c:pt>
                <c:pt idx="1394">
                  <c:v>1</c:v>
                </c:pt>
                <c:pt idx="1395">
                  <c:v>1</c:v>
                </c:pt>
                <c:pt idx="1396">
                  <c:v>3</c:v>
                </c:pt>
                <c:pt idx="1397">
                  <c:v>2</c:v>
                </c:pt>
                <c:pt idx="1398">
                  <c:v>1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1</c:v>
                </c:pt>
                <c:pt idx="1404">
                  <c:v>2</c:v>
                </c:pt>
                <c:pt idx="1405">
                  <c:v>2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2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1</c:v>
                </c:pt>
                <c:pt idx="1424">
                  <c:v>1</c:v>
                </c:pt>
                <c:pt idx="1425">
                  <c:v>2</c:v>
                </c:pt>
                <c:pt idx="1426">
                  <c:v>2</c:v>
                </c:pt>
                <c:pt idx="1427">
                  <c:v>1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2</c:v>
                </c:pt>
                <c:pt idx="1432">
                  <c:v>2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1</c:v>
                </c:pt>
                <c:pt idx="1437">
                  <c:v>2</c:v>
                </c:pt>
                <c:pt idx="1438">
                  <c:v>2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3</c:v>
                </c:pt>
                <c:pt idx="1447">
                  <c:v>2</c:v>
                </c:pt>
                <c:pt idx="1448">
                  <c:v>2</c:v>
                </c:pt>
                <c:pt idx="1449">
                  <c:v>3</c:v>
                </c:pt>
                <c:pt idx="1450">
                  <c:v>2</c:v>
                </c:pt>
                <c:pt idx="1451">
                  <c:v>2</c:v>
                </c:pt>
                <c:pt idx="1452">
                  <c:v>1</c:v>
                </c:pt>
                <c:pt idx="1453">
                  <c:v>2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1</c:v>
                </c:pt>
                <c:pt idx="1469">
                  <c:v>1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3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3</c:v>
                </c:pt>
                <c:pt idx="1493">
                  <c:v>1</c:v>
                </c:pt>
                <c:pt idx="1494">
                  <c:v>2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2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2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2</c:v>
                </c:pt>
                <c:pt idx="1510">
                  <c:v>2</c:v>
                </c:pt>
                <c:pt idx="1511">
                  <c:v>1</c:v>
                </c:pt>
                <c:pt idx="1512">
                  <c:v>1</c:v>
                </c:pt>
                <c:pt idx="1513">
                  <c:v>2</c:v>
                </c:pt>
                <c:pt idx="1514">
                  <c:v>1</c:v>
                </c:pt>
                <c:pt idx="1515">
                  <c:v>2</c:v>
                </c:pt>
                <c:pt idx="1516">
                  <c:v>1</c:v>
                </c:pt>
                <c:pt idx="1517">
                  <c:v>1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1</c:v>
                </c:pt>
                <c:pt idx="1523">
                  <c:v>2</c:v>
                </c:pt>
                <c:pt idx="1524">
                  <c:v>2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2</c:v>
                </c:pt>
                <c:pt idx="1529">
                  <c:v>1</c:v>
                </c:pt>
                <c:pt idx="1530">
                  <c:v>2</c:v>
                </c:pt>
                <c:pt idx="1531">
                  <c:v>1</c:v>
                </c:pt>
                <c:pt idx="1532">
                  <c:v>2</c:v>
                </c:pt>
                <c:pt idx="1533">
                  <c:v>1</c:v>
                </c:pt>
                <c:pt idx="1534">
                  <c:v>1</c:v>
                </c:pt>
                <c:pt idx="1535">
                  <c:v>2</c:v>
                </c:pt>
                <c:pt idx="1536">
                  <c:v>1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1</c:v>
                </c:pt>
                <c:pt idx="1542">
                  <c:v>2</c:v>
                </c:pt>
                <c:pt idx="1543">
                  <c:v>2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2</c:v>
                </c:pt>
                <c:pt idx="1548">
                  <c:v>2</c:v>
                </c:pt>
                <c:pt idx="1549">
                  <c:v>1</c:v>
                </c:pt>
                <c:pt idx="1550">
                  <c:v>2</c:v>
                </c:pt>
                <c:pt idx="1551">
                  <c:v>1</c:v>
                </c:pt>
                <c:pt idx="1552">
                  <c:v>3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2</c:v>
                </c:pt>
                <c:pt idx="1575">
                  <c:v>1</c:v>
                </c:pt>
                <c:pt idx="1576">
                  <c:v>1</c:v>
                </c:pt>
                <c:pt idx="1577">
                  <c:v>2</c:v>
                </c:pt>
                <c:pt idx="1578">
                  <c:v>3</c:v>
                </c:pt>
                <c:pt idx="1579">
                  <c:v>1</c:v>
                </c:pt>
                <c:pt idx="1580">
                  <c:v>2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2</c:v>
                </c:pt>
                <c:pt idx="1585">
                  <c:v>2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2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3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2</c:v>
                </c:pt>
                <c:pt idx="1612">
                  <c:v>1</c:v>
                </c:pt>
                <c:pt idx="1613">
                  <c:v>2</c:v>
                </c:pt>
                <c:pt idx="1614">
                  <c:v>2</c:v>
                </c:pt>
                <c:pt idx="1615">
                  <c:v>1</c:v>
                </c:pt>
                <c:pt idx="1616">
                  <c:v>2</c:v>
                </c:pt>
                <c:pt idx="1617">
                  <c:v>1</c:v>
                </c:pt>
                <c:pt idx="1618">
                  <c:v>2</c:v>
                </c:pt>
                <c:pt idx="1619">
                  <c:v>2</c:v>
                </c:pt>
                <c:pt idx="1620">
                  <c:v>1</c:v>
                </c:pt>
                <c:pt idx="1621">
                  <c:v>1</c:v>
                </c:pt>
                <c:pt idx="1622">
                  <c:v>2</c:v>
                </c:pt>
                <c:pt idx="1623">
                  <c:v>2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2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2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2</c:v>
                </c:pt>
                <c:pt idx="1639">
                  <c:v>2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2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2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2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1</c:v>
                </c:pt>
                <c:pt idx="1685">
                  <c:v>1</c:v>
                </c:pt>
                <c:pt idx="1686">
                  <c:v>3</c:v>
                </c:pt>
                <c:pt idx="1687">
                  <c:v>2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2</c:v>
                </c:pt>
                <c:pt idx="1692">
                  <c:v>2</c:v>
                </c:pt>
                <c:pt idx="1693">
                  <c:v>3</c:v>
                </c:pt>
                <c:pt idx="1694">
                  <c:v>1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2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2</c:v>
                </c:pt>
                <c:pt idx="1707">
                  <c:v>1</c:v>
                </c:pt>
                <c:pt idx="1708">
                  <c:v>2</c:v>
                </c:pt>
                <c:pt idx="1709">
                  <c:v>1</c:v>
                </c:pt>
                <c:pt idx="1710">
                  <c:v>2</c:v>
                </c:pt>
                <c:pt idx="1711">
                  <c:v>2</c:v>
                </c:pt>
                <c:pt idx="1712">
                  <c:v>1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1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1</c:v>
                </c:pt>
                <c:pt idx="1724">
                  <c:v>2</c:v>
                </c:pt>
                <c:pt idx="1725">
                  <c:v>2</c:v>
                </c:pt>
                <c:pt idx="1726">
                  <c:v>1</c:v>
                </c:pt>
                <c:pt idx="1727">
                  <c:v>2</c:v>
                </c:pt>
                <c:pt idx="1728">
                  <c:v>2</c:v>
                </c:pt>
                <c:pt idx="1729">
                  <c:v>1</c:v>
                </c:pt>
                <c:pt idx="1730">
                  <c:v>1</c:v>
                </c:pt>
                <c:pt idx="1731">
                  <c:v>2</c:v>
                </c:pt>
                <c:pt idx="1732">
                  <c:v>1</c:v>
                </c:pt>
                <c:pt idx="1733">
                  <c:v>2</c:v>
                </c:pt>
                <c:pt idx="1734">
                  <c:v>1</c:v>
                </c:pt>
                <c:pt idx="1735">
                  <c:v>1</c:v>
                </c:pt>
                <c:pt idx="1736">
                  <c:v>2</c:v>
                </c:pt>
                <c:pt idx="1737">
                  <c:v>1</c:v>
                </c:pt>
                <c:pt idx="1738">
                  <c:v>1</c:v>
                </c:pt>
                <c:pt idx="1739">
                  <c:v>2</c:v>
                </c:pt>
                <c:pt idx="1740">
                  <c:v>2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2</c:v>
                </c:pt>
                <c:pt idx="1751">
                  <c:v>2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</c:v>
                </c:pt>
                <c:pt idx="1761">
                  <c:v>2</c:v>
                </c:pt>
                <c:pt idx="1762">
                  <c:v>1</c:v>
                </c:pt>
                <c:pt idx="1763">
                  <c:v>2</c:v>
                </c:pt>
                <c:pt idx="1764">
                  <c:v>2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1</c:v>
                </c:pt>
                <c:pt idx="1774">
                  <c:v>1</c:v>
                </c:pt>
                <c:pt idx="1775">
                  <c:v>2</c:v>
                </c:pt>
                <c:pt idx="1776">
                  <c:v>1</c:v>
                </c:pt>
                <c:pt idx="1777">
                  <c:v>2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2</c:v>
                </c:pt>
                <c:pt idx="1784">
                  <c:v>2</c:v>
                </c:pt>
                <c:pt idx="1785">
                  <c:v>1</c:v>
                </c:pt>
                <c:pt idx="1786">
                  <c:v>1</c:v>
                </c:pt>
                <c:pt idx="1787">
                  <c:v>3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2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9-4229-B512-91E511F75732}"/>
            </c:ext>
          </c:extLst>
        </c:ser>
        <c:ser>
          <c:idx val="3"/>
          <c:order val="3"/>
          <c:tx>
            <c:strRef>
              <c:f>'INVENTÁRIO 2026'!$C$2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'INVENTÁRIO 2026'!$C$3:$C$11811</c:f>
              <c:numCache>
                <c:formatCode>m/d/yyyy</c:formatCode>
                <c:ptCount val="11809"/>
                <c:pt idx="0">
                  <c:v>45665</c:v>
                </c:pt>
                <c:pt idx="1">
                  <c:v>45663</c:v>
                </c:pt>
                <c:pt idx="2">
                  <c:v>45663</c:v>
                </c:pt>
                <c:pt idx="3">
                  <c:v>45663</c:v>
                </c:pt>
                <c:pt idx="4">
                  <c:v>45663</c:v>
                </c:pt>
                <c:pt idx="5">
                  <c:v>45664</c:v>
                </c:pt>
                <c:pt idx="6">
                  <c:v>45664</c:v>
                </c:pt>
                <c:pt idx="7">
                  <c:v>45671</c:v>
                </c:pt>
                <c:pt idx="8">
                  <c:v>45664</c:v>
                </c:pt>
                <c:pt idx="9">
                  <c:v>45974</c:v>
                </c:pt>
                <c:pt idx="10">
                  <c:v>45665</c:v>
                </c:pt>
                <c:pt idx="11">
                  <c:v>45662</c:v>
                </c:pt>
                <c:pt idx="12">
                  <c:v>45666</c:v>
                </c:pt>
                <c:pt idx="13">
                  <c:v>45666</c:v>
                </c:pt>
                <c:pt idx="15">
                  <c:v>45670</c:v>
                </c:pt>
                <c:pt idx="16">
                  <c:v>45973</c:v>
                </c:pt>
                <c:pt idx="17">
                  <c:v>45670</c:v>
                </c:pt>
                <c:pt idx="18">
                  <c:v>45973</c:v>
                </c:pt>
                <c:pt idx="19">
                  <c:v>45973</c:v>
                </c:pt>
                <c:pt idx="20">
                  <c:v>45670</c:v>
                </c:pt>
                <c:pt idx="21">
                  <c:v>45973</c:v>
                </c:pt>
                <c:pt idx="22">
                  <c:v>45973</c:v>
                </c:pt>
                <c:pt idx="23">
                  <c:v>45973</c:v>
                </c:pt>
                <c:pt idx="24">
                  <c:v>45973</c:v>
                </c:pt>
                <c:pt idx="25">
                  <c:v>45973</c:v>
                </c:pt>
                <c:pt idx="26">
                  <c:v>45973</c:v>
                </c:pt>
                <c:pt idx="27">
                  <c:v>45671</c:v>
                </c:pt>
                <c:pt idx="28">
                  <c:v>46042</c:v>
                </c:pt>
                <c:pt idx="29">
                  <c:v>45973</c:v>
                </c:pt>
                <c:pt idx="30">
                  <c:v>45973</c:v>
                </c:pt>
                <c:pt idx="31">
                  <c:v>45973</c:v>
                </c:pt>
                <c:pt idx="32">
                  <c:v>45973</c:v>
                </c:pt>
                <c:pt idx="33">
                  <c:v>45671</c:v>
                </c:pt>
                <c:pt idx="34">
                  <c:v>45973</c:v>
                </c:pt>
                <c:pt idx="35">
                  <c:v>45973</c:v>
                </c:pt>
                <c:pt idx="36">
                  <c:v>45973</c:v>
                </c:pt>
                <c:pt idx="37">
                  <c:v>45973</c:v>
                </c:pt>
                <c:pt idx="38">
                  <c:v>45973</c:v>
                </c:pt>
                <c:pt idx="39">
                  <c:v>45973</c:v>
                </c:pt>
                <c:pt idx="40">
                  <c:v>45973</c:v>
                </c:pt>
                <c:pt idx="41">
                  <c:v>46036</c:v>
                </c:pt>
                <c:pt idx="42">
                  <c:v>45973</c:v>
                </c:pt>
                <c:pt idx="43">
                  <c:v>45973</c:v>
                </c:pt>
                <c:pt idx="44">
                  <c:v>45973</c:v>
                </c:pt>
                <c:pt idx="45">
                  <c:v>45973</c:v>
                </c:pt>
                <c:pt idx="46">
                  <c:v>45973</c:v>
                </c:pt>
                <c:pt idx="47">
                  <c:v>46036</c:v>
                </c:pt>
                <c:pt idx="48">
                  <c:v>45973</c:v>
                </c:pt>
                <c:pt idx="49">
                  <c:v>45973</c:v>
                </c:pt>
                <c:pt idx="50">
                  <c:v>45973</c:v>
                </c:pt>
                <c:pt idx="51">
                  <c:v>45973</c:v>
                </c:pt>
                <c:pt idx="52">
                  <c:v>45973</c:v>
                </c:pt>
                <c:pt idx="53">
                  <c:v>45973</c:v>
                </c:pt>
                <c:pt idx="54">
                  <c:v>46041</c:v>
                </c:pt>
                <c:pt idx="55">
                  <c:v>46036</c:v>
                </c:pt>
                <c:pt idx="56">
                  <c:v>46036</c:v>
                </c:pt>
                <c:pt idx="57">
                  <c:v>45669</c:v>
                </c:pt>
                <c:pt idx="58">
                  <c:v>45670</c:v>
                </c:pt>
                <c:pt idx="59">
                  <c:v>45669</c:v>
                </c:pt>
                <c:pt idx="60">
                  <c:v>46057</c:v>
                </c:pt>
                <c:pt idx="61">
                  <c:v>46059</c:v>
                </c:pt>
                <c:pt idx="62">
                  <c:v>45974</c:v>
                </c:pt>
                <c:pt idx="63">
                  <c:v>45974</c:v>
                </c:pt>
                <c:pt idx="64">
                  <c:v>46141</c:v>
                </c:pt>
                <c:pt idx="65">
                  <c:v>46036</c:v>
                </c:pt>
                <c:pt idx="66">
                  <c:v>46037</c:v>
                </c:pt>
                <c:pt idx="67">
                  <c:v>45974</c:v>
                </c:pt>
                <c:pt idx="68">
                  <c:v>46037</c:v>
                </c:pt>
                <c:pt idx="69">
                  <c:v>46037</c:v>
                </c:pt>
                <c:pt idx="70">
                  <c:v>45671</c:v>
                </c:pt>
                <c:pt idx="71">
                  <c:v>46042</c:v>
                </c:pt>
                <c:pt idx="72">
                  <c:v>46036</c:v>
                </c:pt>
                <c:pt idx="73">
                  <c:v>46041</c:v>
                </c:pt>
                <c:pt idx="74">
                  <c:v>46036</c:v>
                </c:pt>
                <c:pt idx="75">
                  <c:v>46036</c:v>
                </c:pt>
                <c:pt idx="76">
                  <c:v>46036</c:v>
                </c:pt>
                <c:pt idx="77">
                  <c:v>46036</c:v>
                </c:pt>
                <c:pt idx="78">
                  <c:v>46036</c:v>
                </c:pt>
                <c:pt idx="79">
                  <c:v>46036</c:v>
                </c:pt>
                <c:pt idx="80">
                  <c:v>46036</c:v>
                </c:pt>
                <c:pt idx="81">
                  <c:v>46036</c:v>
                </c:pt>
                <c:pt idx="82">
                  <c:v>46036</c:v>
                </c:pt>
                <c:pt idx="83">
                  <c:v>46036</c:v>
                </c:pt>
                <c:pt idx="84">
                  <c:v>46036</c:v>
                </c:pt>
                <c:pt idx="85">
                  <c:v>46036</c:v>
                </c:pt>
                <c:pt idx="86">
                  <c:v>46036</c:v>
                </c:pt>
                <c:pt idx="87">
                  <c:v>46041</c:v>
                </c:pt>
                <c:pt idx="88">
                  <c:v>46036</c:v>
                </c:pt>
                <c:pt idx="89">
                  <c:v>46036</c:v>
                </c:pt>
                <c:pt idx="90">
                  <c:v>46036</c:v>
                </c:pt>
                <c:pt idx="91">
                  <c:v>46041</c:v>
                </c:pt>
                <c:pt idx="92">
                  <c:v>46036</c:v>
                </c:pt>
                <c:pt idx="93">
                  <c:v>46036</c:v>
                </c:pt>
                <c:pt idx="94">
                  <c:v>46036</c:v>
                </c:pt>
                <c:pt idx="95">
                  <c:v>46036</c:v>
                </c:pt>
                <c:pt idx="96">
                  <c:v>46041</c:v>
                </c:pt>
                <c:pt idx="97">
                  <c:v>46036</c:v>
                </c:pt>
                <c:pt idx="98">
                  <c:v>46036</c:v>
                </c:pt>
                <c:pt idx="99">
                  <c:v>46036</c:v>
                </c:pt>
                <c:pt idx="100">
                  <c:v>46041</c:v>
                </c:pt>
                <c:pt idx="101">
                  <c:v>46041</c:v>
                </c:pt>
                <c:pt idx="102">
                  <c:v>46042</c:v>
                </c:pt>
                <c:pt idx="103">
                  <c:v>46036</c:v>
                </c:pt>
                <c:pt idx="104">
                  <c:v>46036</c:v>
                </c:pt>
                <c:pt idx="105">
                  <c:v>46036</c:v>
                </c:pt>
                <c:pt idx="106">
                  <c:v>46036</c:v>
                </c:pt>
                <c:pt idx="107">
                  <c:v>46036</c:v>
                </c:pt>
                <c:pt idx="108">
                  <c:v>46036</c:v>
                </c:pt>
                <c:pt idx="109">
                  <c:v>46041</c:v>
                </c:pt>
                <c:pt idx="110">
                  <c:v>46036</c:v>
                </c:pt>
                <c:pt idx="111">
                  <c:v>46036</c:v>
                </c:pt>
                <c:pt idx="112">
                  <c:v>46036</c:v>
                </c:pt>
                <c:pt idx="113">
                  <c:v>46036</c:v>
                </c:pt>
                <c:pt idx="114">
                  <c:v>46036</c:v>
                </c:pt>
                <c:pt idx="115">
                  <c:v>46036</c:v>
                </c:pt>
                <c:pt idx="116">
                  <c:v>46036</c:v>
                </c:pt>
                <c:pt idx="117">
                  <c:v>46036</c:v>
                </c:pt>
                <c:pt idx="118">
                  <c:v>46036</c:v>
                </c:pt>
                <c:pt idx="119">
                  <c:v>46036</c:v>
                </c:pt>
                <c:pt idx="120">
                  <c:v>46041</c:v>
                </c:pt>
                <c:pt idx="121">
                  <c:v>46036</c:v>
                </c:pt>
                <c:pt idx="122">
                  <c:v>46036</c:v>
                </c:pt>
                <c:pt idx="123">
                  <c:v>46036</c:v>
                </c:pt>
                <c:pt idx="124">
                  <c:v>46036</c:v>
                </c:pt>
                <c:pt idx="125">
                  <c:v>46041</c:v>
                </c:pt>
                <c:pt idx="126">
                  <c:v>46036</c:v>
                </c:pt>
                <c:pt idx="127">
                  <c:v>46036</c:v>
                </c:pt>
                <c:pt idx="128">
                  <c:v>46036</c:v>
                </c:pt>
                <c:pt idx="129">
                  <c:v>46036</c:v>
                </c:pt>
                <c:pt idx="130">
                  <c:v>46036</c:v>
                </c:pt>
                <c:pt idx="131">
                  <c:v>46036</c:v>
                </c:pt>
                <c:pt idx="132">
                  <c:v>46036</c:v>
                </c:pt>
                <c:pt idx="133">
                  <c:v>46036</c:v>
                </c:pt>
                <c:pt idx="134">
                  <c:v>46036</c:v>
                </c:pt>
                <c:pt idx="135">
                  <c:v>46036</c:v>
                </c:pt>
                <c:pt idx="136">
                  <c:v>46036</c:v>
                </c:pt>
                <c:pt idx="137">
                  <c:v>46041</c:v>
                </c:pt>
                <c:pt idx="138">
                  <c:v>46036</c:v>
                </c:pt>
                <c:pt idx="139">
                  <c:v>46036</c:v>
                </c:pt>
                <c:pt idx="140">
                  <c:v>46036</c:v>
                </c:pt>
                <c:pt idx="141">
                  <c:v>46036</c:v>
                </c:pt>
                <c:pt idx="142">
                  <c:v>46036</c:v>
                </c:pt>
                <c:pt idx="143">
                  <c:v>46036</c:v>
                </c:pt>
                <c:pt idx="144">
                  <c:v>46044</c:v>
                </c:pt>
                <c:pt idx="145">
                  <c:v>46036</c:v>
                </c:pt>
                <c:pt idx="146">
                  <c:v>46036</c:v>
                </c:pt>
                <c:pt idx="147">
                  <c:v>46036</c:v>
                </c:pt>
                <c:pt idx="148">
                  <c:v>46036</c:v>
                </c:pt>
                <c:pt idx="149">
                  <c:v>46042</c:v>
                </c:pt>
                <c:pt idx="150">
                  <c:v>46036</c:v>
                </c:pt>
                <c:pt idx="151">
                  <c:v>46037</c:v>
                </c:pt>
                <c:pt idx="152">
                  <c:v>46037</c:v>
                </c:pt>
                <c:pt idx="153">
                  <c:v>46037</c:v>
                </c:pt>
                <c:pt idx="154">
                  <c:v>46037</c:v>
                </c:pt>
                <c:pt idx="155">
                  <c:v>46041</c:v>
                </c:pt>
                <c:pt idx="156">
                  <c:v>46038</c:v>
                </c:pt>
                <c:pt idx="157">
                  <c:v>46041</c:v>
                </c:pt>
                <c:pt idx="158">
                  <c:v>46059</c:v>
                </c:pt>
                <c:pt idx="159">
                  <c:v>46038</c:v>
                </c:pt>
                <c:pt idx="160">
                  <c:v>46044</c:v>
                </c:pt>
                <c:pt idx="161">
                  <c:v>46044</c:v>
                </c:pt>
                <c:pt idx="162">
                  <c:v>46043</c:v>
                </c:pt>
                <c:pt idx="163">
                  <c:v>46044</c:v>
                </c:pt>
                <c:pt idx="164">
                  <c:v>46048</c:v>
                </c:pt>
                <c:pt idx="165">
                  <c:v>46041</c:v>
                </c:pt>
                <c:pt idx="166">
                  <c:v>46041</c:v>
                </c:pt>
                <c:pt idx="167">
                  <c:v>46041</c:v>
                </c:pt>
                <c:pt idx="168">
                  <c:v>46041</c:v>
                </c:pt>
                <c:pt idx="169">
                  <c:v>46041</c:v>
                </c:pt>
                <c:pt idx="170">
                  <c:v>46059</c:v>
                </c:pt>
                <c:pt idx="171">
                  <c:v>46049</c:v>
                </c:pt>
                <c:pt idx="172">
                  <c:v>46048</c:v>
                </c:pt>
                <c:pt idx="173">
                  <c:v>46043</c:v>
                </c:pt>
                <c:pt idx="174">
                  <c:v>46042</c:v>
                </c:pt>
                <c:pt idx="175">
                  <c:v>46043</c:v>
                </c:pt>
                <c:pt idx="176">
                  <c:v>46042</c:v>
                </c:pt>
                <c:pt idx="177">
                  <c:v>46044</c:v>
                </c:pt>
                <c:pt idx="178">
                  <c:v>46044</c:v>
                </c:pt>
                <c:pt idx="179">
                  <c:v>46042</c:v>
                </c:pt>
                <c:pt idx="180">
                  <c:v>46042</c:v>
                </c:pt>
                <c:pt idx="181">
                  <c:v>46042</c:v>
                </c:pt>
                <c:pt idx="182">
                  <c:v>46042</c:v>
                </c:pt>
                <c:pt idx="183">
                  <c:v>46042</c:v>
                </c:pt>
                <c:pt idx="184">
                  <c:v>46042</c:v>
                </c:pt>
                <c:pt idx="185">
                  <c:v>46043</c:v>
                </c:pt>
                <c:pt idx="186">
                  <c:v>46044</c:v>
                </c:pt>
                <c:pt idx="187">
                  <c:v>46043</c:v>
                </c:pt>
                <c:pt idx="188">
                  <c:v>46043</c:v>
                </c:pt>
                <c:pt idx="189">
                  <c:v>46049</c:v>
                </c:pt>
                <c:pt idx="190">
                  <c:v>46043</c:v>
                </c:pt>
                <c:pt idx="191">
                  <c:v>46044</c:v>
                </c:pt>
                <c:pt idx="192">
                  <c:v>46043</c:v>
                </c:pt>
                <c:pt idx="193">
                  <c:v>46043</c:v>
                </c:pt>
                <c:pt idx="194">
                  <c:v>46044</c:v>
                </c:pt>
                <c:pt idx="195">
                  <c:v>46044</c:v>
                </c:pt>
                <c:pt idx="196">
                  <c:v>46045</c:v>
                </c:pt>
                <c:pt idx="197">
                  <c:v>46049</c:v>
                </c:pt>
                <c:pt idx="198">
                  <c:v>46043</c:v>
                </c:pt>
                <c:pt idx="199">
                  <c:v>46056</c:v>
                </c:pt>
                <c:pt idx="200">
                  <c:v>46043</c:v>
                </c:pt>
                <c:pt idx="201">
                  <c:v>46043</c:v>
                </c:pt>
                <c:pt idx="202">
                  <c:v>46048</c:v>
                </c:pt>
                <c:pt idx="203">
                  <c:v>46045</c:v>
                </c:pt>
                <c:pt idx="204">
                  <c:v>46043</c:v>
                </c:pt>
                <c:pt idx="205">
                  <c:v>46045</c:v>
                </c:pt>
                <c:pt idx="206">
                  <c:v>46045</c:v>
                </c:pt>
                <c:pt idx="207">
                  <c:v>46045</c:v>
                </c:pt>
                <c:pt idx="208">
                  <c:v>46045</c:v>
                </c:pt>
                <c:pt idx="209">
                  <c:v>46050</c:v>
                </c:pt>
                <c:pt idx="210">
                  <c:v>46048</c:v>
                </c:pt>
                <c:pt idx="211">
                  <c:v>46043</c:v>
                </c:pt>
                <c:pt idx="212">
                  <c:v>46048</c:v>
                </c:pt>
                <c:pt idx="213">
                  <c:v>46043</c:v>
                </c:pt>
                <c:pt idx="214">
                  <c:v>46048</c:v>
                </c:pt>
                <c:pt idx="215">
                  <c:v>46043</c:v>
                </c:pt>
                <c:pt idx="216">
                  <c:v>46043</c:v>
                </c:pt>
                <c:pt idx="217">
                  <c:v>46043</c:v>
                </c:pt>
                <c:pt idx="218">
                  <c:v>46048</c:v>
                </c:pt>
                <c:pt idx="219">
                  <c:v>46045</c:v>
                </c:pt>
                <c:pt idx="220">
                  <c:v>46043</c:v>
                </c:pt>
                <c:pt idx="221">
                  <c:v>46043</c:v>
                </c:pt>
                <c:pt idx="222">
                  <c:v>46043</c:v>
                </c:pt>
                <c:pt idx="223">
                  <c:v>46048</c:v>
                </c:pt>
                <c:pt idx="224">
                  <c:v>46051</c:v>
                </c:pt>
                <c:pt idx="225">
                  <c:v>46048</c:v>
                </c:pt>
                <c:pt idx="226">
                  <c:v>46043</c:v>
                </c:pt>
                <c:pt idx="227">
                  <c:v>46045</c:v>
                </c:pt>
                <c:pt idx="228">
                  <c:v>46048</c:v>
                </c:pt>
                <c:pt idx="229">
                  <c:v>46044</c:v>
                </c:pt>
                <c:pt idx="230">
                  <c:v>46044</c:v>
                </c:pt>
                <c:pt idx="231">
                  <c:v>46049</c:v>
                </c:pt>
                <c:pt idx="232">
                  <c:v>46051</c:v>
                </c:pt>
                <c:pt idx="233">
                  <c:v>46049</c:v>
                </c:pt>
                <c:pt idx="234">
                  <c:v>46055</c:v>
                </c:pt>
                <c:pt idx="235">
                  <c:v>46052</c:v>
                </c:pt>
                <c:pt idx="236">
                  <c:v>46056</c:v>
                </c:pt>
                <c:pt idx="237">
                  <c:v>46049</c:v>
                </c:pt>
                <c:pt idx="238">
                  <c:v>46072</c:v>
                </c:pt>
                <c:pt idx="239">
                  <c:v>46049</c:v>
                </c:pt>
                <c:pt idx="240">
                  <c:v>46044</c:v>
                </c:pt>
                <c:pt idx="241">
                  <c:v>46044</c:v>
                </c:pt>
                <c:pt idx="242">
                  <c:v>46059</c:v>
                </c:pt>
                <c:pt idx="243">
                  <c:v>46062</c:v>
                </c:pt>
                <c:pt idx="244">
                  <c:v>46062</c:v>
                </c:pt>
                <c:pt idx="245">
                  <c:v>46044</c:v>
                </c:pt>
                <c:pt idx="246">
                  <c:v>46048</c:v>
                </c:pt>
                <c:pt idx="247">
                  <c:v>46059</c:v>
                </c:pt>
                <c:pt idx="248">
                  <c:v>46049</c:v>
                </c:pt>
                <c:pt idx="249">
                  <c:v>46050</c:v>
                </c:pt>
                <c:pt idx="250">
                  <c:v>46045</c:v>
                </c:pt>
                <c:pt idx="251">
                  <c:v>46045</c:v>
                </c:pt>
                <c:pt idx="252">
                  <c:v>46045</c:v>
                </c:pt>
                <c:pt idx="253">
                  <c:v>46045</c:v>
                </c:pt>
                <c:pt idx="254">
                  <c:v>46045</c:v>
                </c:pt>
                <c:pt idx="255">
                  <c:v>46045</c:v>
                </c:pt>
                <c:pt idx="256">
                  <c:v>46045</c:v>
                </c:pt>
                <c:pt idx="257">
                  <c:v>46045</c:v>
                </c:pt>
                <c:pt idx="258">
                  <c:v>46055</c:v>
                </c:pt>
                <c:pt idx="259">
                  <c:v>46055</c:v>
                </c:pt>
                <c:pt idx="260">
                  <c:v>46052</c:v>
                </c:pt>
                <c:pt idx="261">
                  <c:v>46073</c:v>
                </c:pt>
                <c:pt idx="262">
                  <c:v>46045</c:v>
                </c:pt>
                <c:pt idx="263">
                  <c:v>46055</c:v>
                </c:pt>
                <c:pt idx="264">
                  <c:v>46045</c:v>
                </c:pt>
                <c:pt idx="265">
                  <c:v>46045</c:v>
                </c:pt>
                <c:pt idx="266">
                  <c:v>46045</c:v>
                </c:pt>
                <c:pt idx="267">
                  <c:v>46045</c:v>
                </c:pt>
                <c:pt idx="268">
                  <c:v>46045</c:v>
                </c:pt>
                <c:pt idx="269">
                  <c:v>46051</c:v>
                </c:pt>
                <c:pt idx="270">
                  <c:v>46051</c:v>
                </c:pt>
                <c:pt idx="271">
                  <c:v>46045</c:v>
                </c:pt>
                <c:pt idx="272">
                  <c:v>46050</c:v>
                </c:pt>
                <c:pt idx="273">
                  <c:v>46051</c:v>
                </c:pt>
                <c:pt idx="274">
                  <c:v>46048</c:v>
                </c:pt>
                <c:pt idx="275">
                  <c:v>46048</c:v>
                </c:pt>
                <c:pt idx="276">
                  <c:v>46048</c:v>
                </c:pt>
                <c:pt idx="277">
                  <c:v>46055</c:v>
                </c:pt>
                <c:pt idx="278">
                  <c:v>46062</c:v>
                </c:pt>
                <c:pt idx="279">
                  <c:v>46048</c:v>
                </c:pt>
                <c:pt idx="280">
                  <c:v>46048</c:v>
                </c:pt>
                <c:pt idx="281">
                  <c:v>46052</c:v>
                </c:pt>
                <c:pt idx="282">
                  <c:v>46049</c:v>
                </c:pt>
                <c:pt idx="283">
                  <c:v>46049</c:v>
                </c:pt>
                <c:pt idx="284">
                  <c:v>46050</c:v>
                </c:pt>
                <c:pt idx="285">
                  <c:v>46049</c:v>
                </c:pt>
                <c:pt idx="286">
                  <c:v>46063</c:v>
                </c:pt>
                <c:pt idx="287">
                  <c:v>46050</c:v>
                </c:pt>
                <c:pt idx="288">
                  <c:v>46050</c:v>
                </c:pt>
                <c:pt idx="289">
                  <c:v>46056</c:v>
                </c:pt>
                <c:pt idx="290">
                  <c:v>46052</c:v>
                </c:pt>
                <c:pt idx="291">
                  <c:v>46050</c:v>
                </c:pt>
                <c:pt idx="292">
                  <c:v>46050</c:v>
                </c:pt>
                <c:pt idx="293">
                  <c:v>46050</c:v>
                </c:pt>
                <c:pt idx="294">
                  <c:v>46057</c:v>
                </c:pt>
                <c:pt idx="295">
                  <c:v>46057</c:v>
                </c:pt>
                <c:pt idx="296">
                  <c:v>46051</c:v>
                </c:pt>
                <c:pt idx="297">
                  <c:v>46051</c:v>
                </c:pt>
                <c:pt idx="298">
                  <c:v>46051</c:v>
                </c:pt>
                <c:pt idx="299">
                  <c:v>46051</c:v>
                </c:pt>
                <c:pt idx="300">
                  <c:v>46056</c:v>
                </c:pt>
                <c:pt idx="301">
                  <c:v>46051</c:v>
                </c:pt>
                <c:pt idx="302">
                  <c:v>46056</c:v>
                </c:pt>
                <c:pt idx="303">
                  <c:v>46055</c:v>
                </c:pt>
                <c:pt idx="304">
                  <c:v>46055</c:v>
                </c:pt>
                <c:pt idx="305">
                  <c:v>46055</c:v>
                </c:pt>
                <c:pt idx="306">
                  <c:v>46055</c:v>
                </c:pt>
                <c:pt idx="307">
                  <c:v>46055</c:v>
                </c:pt>
                <c:pt idx="308">
                  <c:v>46056</c:v>
                </c:pt>
                <c:pt idx="309">
                  <c:v>46055</c:v>
                </c:pt>
                <c:pt idx="310">
                  <c:v>46057</c:v>
                </c:pt>
                <c:pt idx="311">
                  <c:v>46056</c:v>
                </c:pt>
                <c:pt idx="312">
                  <c:v>46056</c:v>
                </c:pt>
                <c:pt idx="313">
                  <c:v>46058</c:v>
                </c:pt>
                <c:pt idx="314">
                  <c:v>46056</c:v>
                </c:pt>
                <c:pt idx="315">
                  <c:v>46056</c:v>
                </c:pt>
                <c:pt idx="316">
                  <c:v>46057</c:v>
                </c:pt>
                <c:pt idx="317">
                  <c:v>46057</c:v>
                </c:pt>
                <c:pt idx="318">
                  <c:v>46057</c:v>
                </c:pt>
                <c:pt idx="319">
                  <c:v>46059</c:v>
                </c:pt>
                <c:pt idx="320">
                  <c:v>46057</c:v>
                </c:pt>
                <c:pt idx="321">
                  <c:v>46076</c:v>
                </c:pt>
                <c:pt idx="322">
                  <c:v>46058</c:v>
                </c:pt>
                <c:pt idx="323">
                  <c:v>46083</c:v>
                </c:pt>
                <c:pt idx="324">
                  <c:v>46057</c:v>
                </c:pt>
                <c:pt idx="325">
                  <c:v>46093</c:v>
                </c:pt>
                <c:pt idx="326">
                  <c:v>46057</c:v>
                </c:pt>
                <c:pt idx="327">
                  <c:v>46057</c:v>
                </c:pt>
                <c:pt idx="328">
                  <c:v>46057</c:v>
                </c:pt>
                <c:pt idx="329">
                  <c:v>46058</c:v>
                </c:pt>
                <c:pt idx="330">
                  <c:v>46058</c:v>
                </c:pt>
                <c:pt idx="331">
                  <c:v>46058</c:v>
                </c:pt>
                <c:pt idx="332">
                  <c:v>46058</c:v>
                </c:pt>
                <c:pt idx="333">
                  <c:v>46063</c:v>
                </c:pt>
                <c:pt idx="334">
                  <c:v>46058</c:v>
                </c:pt>
                <c:pt idx="335">
                  <c:v>46058</c:v>
                </c:pt>
                <c:pt idx="336">
                  <c:v>46058</c:v>
                </c:pt>
                <c:pt idx="337">
                  <c:v>46058</c:v>
                </c:pt>
                <c:pt idx="338">
                  <c:v>46062</c:v>
                </c:pt>
                <c:pt idx="339">
                  <c:v>46063</c:v>
                </c:pt>
                <c:pt idx="340">
                  <c:v>46063</c:v>
                </c:pt>
                <c:pt idx="341">
                  <c:v>46062</c:v>
                </c:pt>
                <c:pt idx="342">
                  <c:v>46058</c:v>
                </c:pt>
                <c:pt idx="343">
                  <c:v>46063</c:v>
                </c:pt>
                <c:pt idx="344">
                  <c:v>46058</c:v>
                </c:pt>
                <c:pt idx="345">
                  <c:v>46058</c:v>
                </c:pt>
                <c:pt idx="346">
                  <c:v>46058</c:v>
                </c:pt>
                <c:pt idx="347">
                  <c:v>46058</c:v>
                </c:pt>
                <c:pt idx="348">
                  <c:v>46066</c:v>
                </c:pt>
                <c:pt idx="349">
                  <c:v>46076</c:v>
                </c:pt>
                <c:pt idx="350">
                  <c:v>46063</c:v>
                </c:pt>
                <c:pt idx="351">
                  <c:v>46059</c:v>
                </c:pt>
                <c:pt idx="352">
                  <c:v>46059</c:v>
                </c:pt>
                <c:pt idx="353">
                  <c:v>46059</c:v>
                </c:pt>
                <c:pt idx="354">
                  <c:v>46059</c:v>
                </c:pt>
                <c:pt idx="355">
                  <c:v>46059</c:v>
                </c:pt>
                <c:pt idx="356">
                  <c:v>46065</c:v>
                </c:pt>
                <c:pt idx="357">
                  <c:v>46059</c:v>
                </c:pt>
                <c:pt idx="358">
                  <c:v>46059</c:v>
                </c:pt>
                <c:pt idx="359">
                  <c:v>46065</c:v>
                </c:pt>
                <c:pt idx="360">
                  <c:v>46059</c:v>
                </c:pt>
                <c:pt idx="361">
                  <c:v>46059</c:v>
                </c:pt>
                <c:pt idx="362">
                  <c:v>46059</c:v>
                </c:pt>
                <c:pt idx="363">
                  <c:v>46059</c:v>
                </c:pt>
                <c:pt idx="364">
                  <c:v>46059</c:v>
                </c:pt>
                <c:pt idx="365">
                  <c:v>46065</c:v>
                </c:pt>
                <c:pt idx="366">
                  <c:v>46059</c:v>
                </c:pt>
                <c:pt idx="367">
                  <c:v>46063</c:v>
                </c:pt>
                <c:pt idx="368">
                  <c:v>46062</c:v>
                </c:pt>
                <c:pt idx="369">
                  <c:v>46063</c:v>
                </c:pt>
                <c:pt idx="370">
                  <c:v>46059</c:v>
                </c:pt>
                <c:pt idx="371">
                  <c:v>46059</c:v>
                </c:pt>
                <c:pt idx="372">
                  <c:v>46066</c:v>
                </c:pt>
                <c:pt idx="373">
                  <c:v>46059</c:v>
                </c:pt>
                <c:pt idx="374">
                  <c:v>46066</c:v>
                </c:pt>
                <c:pt idx="375">
                  <c:v>46059</c:v>
                </c:pt>
                <c:pt idx="376">
                  <c:v>46059</c:v>
                </c:pt>
                <c:pt idx="377">
                  <c:v>46059</c:v>
                </c:pt>
                <c:pt idx="378">
                  <c:v>46059</c:v>
                </c:pt>
                <c:pt idx="379">
                  <c:v>46059</c:v>
                </c:pt>
                <c:pt idx="380">
                  <c:v>46059</c:v>
                </c:pt>
                <c:pt idx="381">
                  <c:v>46059</c:v>
                </c:pt>
                <c:pt idx="382">
                  <c:v>46059</c:v>
                </c:pt>
                <c:pt idx="383">
                  <c:v>46059</c:v>
                </c:pt>
                <c:pt idx="384">
                  <c:v>46059</c:v>
                </c:pt>
                <c:pt idx="385">
                  <c:v>46059</c:v>
                </c:pt>
                <c:pt idx="386">
                  <c:v>46059</c:v>
                </c:pt>
                <c:pt idx="387">
                  <c:v>46059</c:v>
                </c:pt>
                <c:pt idx="388">
                  <c:v>46059</c:v>
                </c:pt>
                <c:pt idx="389">
                  <c:v>46059</c:v>
                </c:pt>
                <c:pt idx="390">
                  <c:v>46059</c:v>
                </c:pt>
                <c:pt idx="391">
                  <c:v>46059</c:v>
                </c:pt>
                <c:pt idx="392">
                  <c:v>46059</c:v>
                </c:pt>
                <c:pt idx="393">
                  <c:v>46059</c:v>
                </c:pt>
                <c:pt idx="394">
                  <c:v>46059</c:v>
                </c:pt>
                <c:pt idx="395">
                  <c:v>46065</c:v>
                </c:pt>
                <c:pt idx="396">
                  <c:v>46066</c:v>
                </c:pt>
                <c:pt idx="397">
                  <c:v>46059</c:v>
                </c:pt>
                <c:pt idx="398">
                  <c:v>46059</c:v>
                </c:pt>
                <c:pt idx="399">
                  <c:v>46063</c:v>
                </c:pt>
                <c:pt idx="400">
                  <c:v>46063</c:v>
                </c:pt>
                <c:pt idx="401">
                  <c:v>46080</c:v>
                </c:pt>
                <c:pt idx="402">
                  <c:v>46059</c:v>
                </c:pt>
                <c:pt idx="403">
                  <c:v>46080</c:v>
                </c:pt>
                <c:pt idx="404">
                  <c:v>46064</c:v>
                </c:pt>
                <c:pt idx="405">
                  <c:v>46062</c:v>
                </c:pt>
                <c:pt idx="406">
                  <c:v>46062</c:v>
                </c:pt>
                <c:pt idx="407">
                  <c:v>46062</c:v>
                </c:pt>
                <c:pt idx="408">
                  <c:v>46065</c:v>
                </c:pt>
                <c:pt idx="409">
                  <c:v>46062</c:v>
                </c:pt>
                <c:pt idx="410">
                  <c:v>46062</c:v>
                </c:pt>
                <c:pt idx="411">
                  <c:v>46072</c:v>
                </c:pt>
                <c:pt idx="412">
                  <c:v>46065</c:v>
                </c:pt>
                <c:pt idx="413">
                  <c:v>46062</c:v>
                </c:pt>
                <c:pt idx="414">
                  <c:v>46135</c:v>
                </c:pt>
                <c:pt idx="415">
                  <c:v>46092</c:v>
                </c:pt>
                <c:pt idx="416">
                  <c:v>46077</c:v>
                </c:pt>
                <c:pt idx="417">
                  <c:v>46063</c:v>
                </c:pt>
                <c:pt idx="418">
                  <c:v>46063</c:v>
                </c:pt>
                <c:pt idx="419">
                  <c:v>46066</c:v>
                </c:pt>
                <c:pt idx="420">
                  <c:v>46072</c:v>
                </c:pt>
                <c:pt idx="421">
                  <c:v>46063</c:v>
                </c:pt>
                <c:pt idx="422">
                  <c:v>46064</c:v>
                </c:pt>
                <c:pt idx="423">
                  <c:v>46063</c:v>
                </c:pt>
                <c:pt idx="424">
                  <c:v>46064</c:v>
                </c:pt>
                <c:pt idx="425">
                  <c:v>46072</c:v>
                </c:pt>
                <c:pt idx="426">
                  <c:v>46064</c:v>
                </c:pt>
                <c:pt idx="427">
                  <c:v>46064</c:v>
                </c:pt>
                <c:pt idx="428">
                  <c:v>46066</c:v>
                </c:pt>
                <c:pt idx="429">
                  <c:v>46064</c:v>
                </c:pt>
                <c:pt idx="430">
                  <c:v>46064</c:v>
                </c:pt>
                <c:pt idx="431">
                  <c:v>46065</c:v>
                </c:pt>
                <c:pt idx="432">
                  <c:v>46073</c:v>
                </c:pt>
                <c:pt idx="433">
                  <c:v>46064</c:v>
                </c:pt>
                <c:pt idx="434">
                  <c:v>46064</c:v>
                </c:pt>
                <c:pt idx="435">
                  <c:v>46064</c:v>
                </c:pt>
                <c:pt idx="436">
                  <c:v>46064</c:v>
                </c:pt>
                <c:pt idx="437">
                  <c:v>46072</c:v>
                </c:pt>
                <c:pt idx="438">
                  <c:v>46079</c:v>
                </c:pt>
                <c:pt idx="439">
                  <c:v>46064</c:v>
                </c:pt>
                <c:pt idx="440">
                  <c:v>46064</c:v>
                </c:pt>
                <c:pt idx="441">
                  <c:v>46064</c:v>
                </c:pt>
                <c:pt idx="442">
                  <c:v>46058</c:v>
                </c:pt>
                <c:pt idx="443">
                  <c:v>46065</c:v>
                </c:pt>
                <c:pt idx="444">
                  <c:v>46064</c:v>
                </c:pt>
                <c:pt idx="445">
                  <c:v>46064</c:v>
                </c:pt>
                <c:pt idx="446">
                  <c:v>46064</c:v>
                </c:pt>
                <c:pt idx="447">
                  <c:v>46079</c:v>
                </c:pt>
                <c:pt idx="448">
                  <c:v>46072</c:v>
                </c:pt>
                <c:pt idx="449">
                  <c:v>46079</c:v>
                </c:pt>
                <c:pt idx="450">
                  <c:v>46079</c:v>
                </c:pt>
                <c:pt idx="451">
                  <c:v>46079</c:v>
                </c:pt>
                <c:pt idx="452">
                  <c:v>46079</c:v>
                </c:pt>
                <c:pt idx="453">
                  <c:v>46079</c:v>
                </c:pt>
                <c:pt idx="454">
                  <c:v>46066</c:v>
                </c:pt>
                <c:pt idx="455">
                  <c:v>46065</c:v>
                </c:pt>
                <c:pt idx="456">
                  <c:v>46065</c:v>
                </c:pt>
                <c:pt idx="457">
                  <c:v>46065</c:v>
                </c:pt>
                <c:pt idx="458">
                  <c:v>46065</c:v>
                </c:pt>
                <c:pt idx="459">
                  <c:v>46065</c:v>
                </c:pt>
                <c:pt idx="460">
                  <c:v>46073</c:v>
                </c:pt>
                <c:pt idx="461">
                  <c:v>46072</c:v>
                </c:pt>
                <c:pt idx="462">
                  <c:v>46160</c:v>
                </c:pt>
                <c:pt idx="463">
                  <c:v>46065</c:v>
                </c:pt>
                <c:pt idx="464">
                  <c:v>46065</c:v>
                </c:pt>
                <c:pt idx="465">
                  <c:v>46065</c:v>
                </c:pt>
                <c:pt idx="466">
                  <c:v>46065</c:v>
                </c:pt>
                <c:pt idx="467">
                  <c:v>46079</c:v>
                </c:pt>
                <c:pt idx="468">
                  <c:v>46079</c:v>
                </c:pt>
                <c:pt idx="469">
                  <c:v>46079</c:v>
                </c:pt>
                <c:pt idx="470">
                  <c:v>46079</c:v>
                </c:pt>
                <c:pt idx="471">
                  <c:v>46065</c:v>
                </c:pt>
                <c:pt idx="472">
                  <c:v>46065</c:v>
                </c:pt>
                <c:pt idx="473">
                  <c:v>46065</c:v>
                </c:pt>
                <c:pt idx="474">
                  <c:v>46065</c:v>
                </c:pt>
                <c:pt idx="475">
                  <c:v>46065</c:v>
                </c:pt>
                <c:pt idx="476">
                  <c:v>46065</c:v>
                </c:pt>
                <c:pt idx="477">
                  <c:v>46065</c:v>
                </c:pt>
                <c:pt idx="478">
                  <c:v>46079</c:v>
                </c:pt>
                <c:pt idx="479">
                  <c:v>46066</c:v>
                </c:pt>
                <c:pt idx="480">
                  <c:v>46066</c:v>
                </c:pt>
                <c:pt idx="481">
                  <c:v>46091</c:v>
                </c:pt>
                <c:pt idx="482">
                  <c:v>46072</c:v>
                </c:pt>
                <c:pt idx="483">
                  <c:v>46083</c:v>
                </c:pt>
                <c:pt idx="484">
                  <c:v>46072</c:v>
                </c:pt>
                <c:pt idx="485">
                  <c:v>46076</c:v>
                </c:pt>
                <c:pt idx="486">
                  <c:v>46073</c:v>
                </c:pt>
                <c:pt idx="487">
                  <c:v>46072</c:v>
                </c:pt>
                <c:pt idx="488">
                  <c:v>46072</c:v>
                </c:pt>
                <c:pt idx="489">
                  <c:v>46072</c:v>
                </c:pt>
                <c:pt idx="490">
                  <c:v>46080</c:v>
                </c:pt>
                <c:pt idx="491">
                  <c:v>46080</c:v>
                </c:pt>
                <c:pt idx="492">
                  <c:v>46077</c:v>
                </c:pt>
                <c:pt idx="493">
                  <c:v>46072</c:v>
                </c:pt>
                <c:pt idx="494">
                  <c:v>46076</c:v>
                </c:pt>
                <c:pt idx="495">
                  <c:v>46077</c:v>
                </c:pt>
                <c:pt idx="496">
                  <c:v>46077</c:v>
                </c:pt>
                <c:pt idx="497">
                  <c:v>46073</c:v>
                </c:pt>
                <c:pt idx="498">
                  <c:v>46073</c:v>
                </c:pt>
                <c:pt idx="499">
                  <c:v>46073</c:v>
                </c:pt>
                <c:pt idx="500">
                  <c:v>46073</c:v>
                </c:pt>
                <c:pt idx="501">
                  <c:v>46073</c:v>
                </c:pt>
                <c:pt idx="502">
                  <c:v>46076</c:v>
                </c:pt>
                <c:pt idx="503">
                  <c:v>46076</c:v>
                </c:pt>
                <c:pt idx="504">
                  <c:v>46076</c:v>
                </c:pt>
                <c:pt idx="505">
                  <c:v>46076</c:v>
                </c:pt>
                <c:pt idx="506">
                  <c:v>46080</c:v>
                </c:pt>
                <c:pt idx="507">
                  <c:v>46073</c:v>
                </c:pt>
                <c:pt idx="508">
                  <c:v>46087</c:v>
                </c:pt>
                <c:pt idx="509">
                  <c:v>46073</c:v>
                </c:pt>
                <c:pt idx="510">
                  <c:v>46073</c:v>
                </c:pt>
                <c:pt idx="511">
                  <c:v>46073</c:v>
                </c:pt>
                <c:pt idx="512">
                  <c:v>46080</c:v>
                </c:pt>
                <c:pt idx="513">
                  <c:v>46080</c:v>
                </c:pt>
                <c:pt idx="514">
                  <c:v>46076</c:v>
                </c:pt>
                <c:pt idx="515">
                  <c:v>46076</c:v>
                </c:pt>
                <c:pt idx="516">
                  <c:v>46076</c:v>
                </c:pt>
                <c:pt idx="517">
                  <c:v>46076</c:v>
                </c:pt>
                <c:pt idx="518">
                  <c:v>46076</c:v>
                </c:pt>
                <c:pt idx="519">
                  <c:v>46079</c:v>
                </c:pt>
                <c:pt idx="520">
                  <c:v>46076</c:v>
                </c:pt>
                <c:pt idx="521">
                  <c:v>46098</c:v>
                </c:pt>
                <c:pt idx="522">
                  <c:v>46076</c:v>
                </c:pt>
                <c:pt idx="523">
                  <c:v>46076</c:v>
                </c:pt>
                <c:pt idx="524">
                  <c:v>46080</c:v>
                </c:pt>
                <c:pt idx="525">
                  <c:v>46080</c:v>
                </c:pt>
                <c:pt idx="526">
                  <c:v>46080</c:v>
                </c:pt>
                <c:pt idx="527">
                  <c:v>46080</c:v>
                </c:pt>
                <c:pt idx="528">
                  <c:v>46079</c:v>
                </c:pt>
                <c:pt idx="529">
                  <c:v>46076</c:v>
                </c:pt>
                <c:pt idx="530">
                  <c:v>46076</c:v>
                </c:pt>
                <c:pt idx="531">
                  <c:v>46076</c:v>
                </c:pt>
                <c:pt idx="532">
                  <c:v>46076</c:v>
                </c:pt>
                <c:pt idx="533">
                  <c:v>46076</c:v>
                </c:pt>
                <c:pt idx="534">
                  <c:v>46080</c:v>
                </c:pt>
                <c:pt idx="535">
                  <c:v>46077</c:v>
                </c:pt>
                <c:pt idx="536">
                  <c:v>46077</c:v>
                </c:pt>
                <c:pt idx="537">
                  <c:v>46077</c:v>
                </c:pt>
                <c:pt idx="538">
                  <c:v>46077</c:v>
                </c:pt>
                <c:pt idx="539">
                  <c:v>46077</c:v>
                </c:pt>
                <c:pt idx="540">
                  <c:v>46077</c:v>
                </c:pt>
                <c:pt idx="541">
                  <c:v>46083</c:v>
                </c:pt>
                <c:pt idx="542">
                  <c:v>46077</c:v>
                </c:pt>
                <c:pt idx="543">
                  <c:v>46083</c:v>
                </c:pt>
                <c:pt idx="544">
                  <c:v>46077</c:v>
                </c:pt>
                <c:pt idx="545">
                  <c:v>46077</c:v>
                </c:pt>
                <c:pt idx="546">
                  <c:v>46077</c:v>
                </c:pt>
                <c:pt idx="547">
                  <c:v>46077</c:v>
                </c:pt>
                <c:pt idx="548">
                  <c:v>46077</c:v>
                </c:pt>
                <c:pt idx="549">
                  <c:v>46083</c:v>
                </c:pt>
                <c:pt idx="550">
                  <c:v>46077</c:v>
                </c:pt>
                <c:pt idx="551">
                  <c:v>46077</c:v>
                </c:pt>
                <c:pt idx="552">
                  <c:v>46083</c:v>
                </c:pt>
                <c:pt idx="553">
                  <c:v>46079</c:v>
                </c:pt>
                <c:pt idx="554">
                  <c:v>46077</c:v>
                </c:pt>
                <c:pt idx="555">
                  <c:v>46077</c:v>
                </c:pt>
                <c:pt idx="556">
                  <c:v>46084</c:v>
                </c:pt>
                <c:pt idx="557">
                  <c:v>46079</c:v>
                </c:pt>
                <c:pt idx="558">
                  <c:v>46079</c:v>
                </c:pt>
                <c:pt idx="559">
                  <c:v>46079</c:v>
                </c:pt>
                <c:pt idx="560">
                  <c:v>46079</c:v>
                </c:pt>
                <c:pt idx="561">
                  <c:v>46079</c:v>
                </c:pt>
                <c:pt idx="562">
                  <c:v>46084</c:v>
                </c:pt>
                <c:pt idx="563">
                  <c:v>46079</c:v>
                </c:pt>
                <c:pt idx="564">
                  <c:v>46084</c:v>
                </c:pt>
                <c:pt idx="565">
                  <c:v>46079</c:v>
                </c:pt>
                <c:pt idx="566">
                  <c:v>46079</c:v>
                </c:pt>
                <c:pt idx="567">
                  <c:v>46079</c:v>
                </c:pt>
                <c:pt idx="568">
                  <c:v>46079</c:v>
                </c:pt>
                <c:pt idx="569">
                  <c:v>46079</c:v>
                </c:pt>
                <c:pt idx="570">
                  <c:v>46079</c:v>
                </c:pt>
                <c:pt idx="571">
                  <c:v>46079</c:v>
                </c:pt>
                <c:pt idx="572">
                  <c:v>46079</c:v>
                </c:pt>
                <c:pt idx="573">
                  <c:v>46083</c:v>
                </c:pt>
                <c:pt idx="574">
                  <c:v>46079</c:v>
                </c:pt>
                <c:pt idx="575">
                  <c:v>46083</c:v>
                </c:pt>
                <c:pt idx="576">
                  <c:v>46079</c:v>
                </c:pt>
                <c:pt idx="577">
                  <c:v>46079</c:v>
                </c:pt>
                <c:pt idx="578">
                  <c:v>46079</c:v>
                </c:pt>
                <c:pt idx="579">
                  <c:v>46080</c:v>
                </c:pt>
                <c:pt idx="580">
                  <c:v>46084</c:v>
                </c:pt>
                <c:pt idx="581">
                  <c:v>46085</c:v>
                </c:pt>
                <c:pt idx="582">
                  <c:v>46080</c:v>
                </c:pt>
                <c:pt idx="583">
                  <c:v>46080</c:v>
                </c:pt>
                <c:pt idx="584">
                  <c:v>46080</c:v>
                </c:pt>
                <c:pt idx="585">
                  <c:v>46080</c:v>
                </c:pt>
                <c:pt idx="586">
                  <c:v>46083</c:v>
                </c:pt>
                <c:pt idx="587">
                  <c:v>46080</c:v>
                </c:pt>
                <c:pt idx="588">
                  <c:v>46080</c:v>
                </c:pt>
                <c:pt idx="589">
                  <c:v>46080</c:v>
                </c:pt>
                <c:pt idx="590">
                  <c:v>46083</c:v>
                </c:pt>
                <c:pt idx="591">
                  <c:v>46080</c:v>
                </c:pt>
                <c:pt idx="592">
                  <c:v>46080</c:v>
                </c:pt>
                <c:pt idx="593">
                  <c:v>46080</c:v>
                </c:pt>
                <c:pt idx="594">
                  <c:v>46080</c:v>
                </c:pt>
                <c:pt idx="595">
                  <c:v>46080</c:v>
                </c:pt>
                <c:pt idx="596">
                  <c:v>46080</c:v>
                </c:pt>
                <c:pt idx="597">
                  <c:v>46080</c:v>
                </c:pt>
                <c:pt idx="598">
                  <c:v>46080</c:v>
                </c:pt>
                <c:pt idx="599">
                  <c:v>46080</c:v>
                </c:pt>
                <c:pt idx="600">
                  <c:v>46080</c:v>
                </c:pt>
                <c:pt idx="601">
                  <c:v>46080</c:v>
                </c:pt>
                <c:pt idx="602">
                  <c:v>46080</c:v>
                </c:pt>
                <c:pt idx="603">
                  <c:v>46080</c:v>
                </c:pt>
                <c:pt idx="604">
                  <c:v>46080</c:v>
                </c:pt>
                <c:pt idx="605">
                  <c:v>46085</c:v>
                </c:pt>
                <c:pt idx="606">
                  <c:v>46085</c:v>
                </c:pt>
                <c:pt idx="607">
                  <c:v>46085</c:v>
                </c:pt>
                <c:pt idx="608">
                  <c:v>46084</c:v>
                </c:pt>
                <c:pt idx="609">
                  <c:v>46084</c:v>
                </c:pt>
                <c:pt idx="610">
                  <c:v>46083</c:v>
                </c:pt>
                <c:pt idx="611">
                  <c:v>46083</c:v>
                </c:pt>
                <c:pt idx="612">
                  <c:v>46091</c:v>
                </c:pt>
                <c:pt idx="613">
                  <c:v>46083</c:v>
                </c:pt>
                <c:pt idx="614">
                  <c:v>46083</c:v>
                </c:pt>
                <c:pt idx="615">
                  <c:v>46083</c:v>
                </c:pt>
                <c:pt idx="616">
                  <c:v>46083</c:v>
                </c:pt>
                <c:pt idx="617">
                  <c:v>46085</c:v>
                </c:pt>
                <c:pt idx="618">
                  <c:v>46085</c:v>
                </c:pt>
                <c:pt idx="619">
                  <c:v>46085</c:v>
                </c:pt>
                <c:pt idx="620">
                  <c:v>46083</c:v>
                </c:pt>
                <c:pt idx="621">
                  <c:v>46083</c:v>
                </c:pt>
                <c:pt idx="622">
                  <c:v>46083</c:v>
                </c:pt>
                <c:pt idx="623">
                  <c:v>46083</c:v>
                </c:pt>
                <c:pt idx="624">
                  <c:v>46083</c:v>
                </c:pt>
                <c:pt idx="625">
                  <c:v>46083</c:v>
                </c:pt>
                <c:pt idx="626">
                  <c:v>46085</c:v>
                </c:pt>
                <c:pt idx="627">
                  <c:v>46084</c:v>
                </c:pt>
                <c:pt idx="628">
                  <c:v>46085</c:v>
                </c:pt>
                <c:pt idx="629">
                  <c:v>46084</c:v>
                </c:pt>
                <c:pt idx="630">
                  <c:v>46084</c:v>
                </c:pt>
                <c:pt idx="631">
                  <c:v>46084</c:v>
                </c:pt>
                <c:pt idx="632">
                  <c:v>46084</c:v>
                </c:pt>
                <c:pt idx="633">
                  <c:v>46084</c:v>
                </c:pt>
                <c:pt idx="634">
                  <c:v>46084</c:v>
                </c:pt>
                <c:pt idx="635">
                  <c:v>46084</c:v>
                </c:pt>
                <c:pt idx="636">
                  <c:v>46084</c:v>
                </c:pt>
                <c:pt idx="637">
                  <c:v>46084</c:v>
                </c:pt>
                <c:pt idx="638">
                  <c:v>46084</c:v>
                </c:pt>
                <c:pt idx="639">
                  <c:v>46084</c:v>
                </c:pt>
                <c:pt idx="640">
                  <c:v>46084</c:v>
                </c:pt>
                <c:pt idx="641">
                  <c:v>46084</c:v>
                </c:pt>
                <c:pt idx="642">
                  <c:v>46084</c:v>
                </c:pt>
                <c:pt idx="643">
                  <c:v>46084</c:v>
                </c:pt>
                <c:pt idx="644">
                  <c:v>46086</c:v>
                </c:pt>
                <c:pt idx="645">
                  <c:v>46084</c:v>
                </c:pt>
                <c:pt idx="646">
                  <c:v>46084</c:v>
                </c:pt>
                <c:pt idx="647">
                  <c:v>46084</c:v>
                </c:pt>
                <c:pt idx="648">
                  <c:v>46084</c:v>
                </c:pt>
                <c:pt idx="649">
                  <c:v>46084</c:v>
                </c:pt>
                <c:pt idx="650">
                  <c:v>46084</c:v>
                </c:pt>
                <c:pt idx="651">
                  <c:v>46084</c:v>
                </c:pt>
                <c:pt idx="652">
                  <c:v>46084</c:v>
                </c:pt>
                <c:pt idx="653">
                  <c:v>46084</c:v>
                </c:pt>
                <c:pt idx="654">
                  <c:v>46091</c:v>
                </c:pt>
                <c:pt idx="655">
                  <c:v>46107</c:v>
                </c:pt>
                <c:pt idx="656">
                  <c:v>46087</c:v>
                </c:pt>
                <c:pt idx="657">
                  <c:v>46090</c:v>
                </c:pt>
                <c:pt idx="658">
                  <c:v>46084</c:v>
                </c:pt>
                <c:pt idx="659">
                  <c:v>46084</c:v>
                </c:pt>
                <c:pt idx="660">
                  <c:v>46087</c:v>
                </c:pt>
                <c:pt idx="661">
                  <c:v>46084</c:v>
                </c:pt>
                <c:pt idx="662">
                  <c:v>46084</c:v>
                </c:pt>
                <c:pt idx="663">
                  <c:v>46090</c:v>
                </c:pt>
                <c:pt idx="664">
                  <c:v>46091</c:v>
                </c:pt>
                <c:pt idx="665">
                  <c:v>46085</c:v>
                </c:pt>
                <c:pt idx="666">
                  <c:v>46085</c:v>
                </c:pt>
                <c:pt idx="667">
                  <c:v>46086</c:v>
                </c:pt>
                <c:pt idx="668">
                  <c:v>46085</c:v>
                </c:pt>
                <c:pt idx="669">
                  <c:v>46085</c:v>
                </c:pt>
                <c:pt idx="670">
                  <c:v>46085</c:v>
                </c:pt>
                <c:pt idx="671">
                  <c:v>46085</c:v>
                </c:pt>
                <c:pt idx="672">
                  <c:v>46085</c:v>
                </c:pt>
                <c:pt idx="673">
                  <c:v>46085</c:v>
                </c:pt>
                <c:pt idx="674">
                  <c:v>46085</c:v>
                </c:pt>
                <c:pt idx="675">
                  <c:v>46087</c:v>
                </c:pt>
                <c:pt idx="676">
                  <c:v>46085</c:v>
                </c:pt>
                <c:pt idx="677">
                  <c:v>46090</c:v>
                </c:pt>
                <c:pt idx="678">
                  <c:v>46090</c:v>
                </c:pt>
                <c:pt idx="679">
                  <c:v>46085</c:v>
                </c:pt>
                <c:pt idx="680">
                  <c:v>46086</c:v>
                </c:pt>
                <c:pt idx="681">
                  <c:v>46085</c:v>
                </c:pt>
                <c:pt idx="682">
                  <c:v>46085</c:v>
                </c:pt>
                <c:pt idx="683">
                  <c:v>46085</c:v>
                </c:pt>
                <c:pt idx="684">
                  <c:v>46085</c:v>
                </c:pt>
                <c:pt idx="685">
                  <c:v>46085</c:v>
                </c:pt>
                <c:pt idx="686">
                  <c:v>46085</c:v>
                </c:pt>
                <c:pt idx="687">
                  <c:v>46085</c:v>
                </c:pt>
                <c:pt idx="688">
                  <c:v>46085</c:v>
                </c:pt>
                <c:pt idx="689">
                  <c:v>46085</c:v>
                </c:pt>
                <c:pt idx="690">
                  <c:v>46085</c:v>
                </c:pt>
                <c:pt idx="691">
                  <c:v>46085</c:v>
                </c:pt>
                <c:pt idx="692">
                  <c:v>46085</c:v>
                </c:pt>
                <c:pt idx="693">
                  <c:v>46085</c:v>
                </c:pt>
                <c:pt idx="694">
                  <c:v>46085</c:v>
                </c:pt>
                <c:pt idx="695">
                  <c:v>46085</c:v>
                </c:pt>
                <c:pt idx="696">
                  <c:v>46097</c:v>
                </c:pt>
                <c:pt idx="697">
                  <c:v>46097</c:v>
                </c:pt>
                <c:pt idx="698">
                  <c:v>46094</c:v>
                </c:pt>
                <c:pt idx="699">
                  <c:v>46085</c:v>
                </c:pt>
                <c:pt idx="700">
                  <c:v>46085</c:v>
                </c:pt>
                <c:pt idx="701">
                  <c:v>46094</c:v>
                </c:pt>
                <c:pt idx="702">
                  <c:v>46085</c:v>
                </c:pt>
                <c:pt idx="703">
                  <c:v>46085</c:v>
                </c:pt>
                <c:pt idx="704">
                  <c:v>46085</c:v>
                </c:pt>
                <c:pt idx="705">
                  <c:v>46090</c:v>
                </c:pt>
                <c:pt idx="706">
                  <c:v>46085</c:v>
                </c:pt>
                <c:pt idx="707">
                  <c:v>46086</c:v>
                </c:pt>
                <c:pt idx="708">
                  <c:v>46086</c:v>
                </c:pt>
                <c:pt idx="709">
                  <c:v>46086</c:v>
                </c:pt>
                <c:pt idx="710">
                  <c:v>46086</c:v>
                </c:pt>
                <c:pt idx="711">
                  <c:v>46087</c:v>
                </c:pt>
                <c:pt idx="712">
                  <c:v>46086</c:v>
                </c:pt>
                <c:pt idx="713">
                  <c:v>46091</c:v>
                </c:pt>
                <c:pt idx="714">
                  <c:v>46094</c:v>
                </c:pt>
                <c:pt idx="715">
                  <c:v>46086</c:v>
                </c:pt>
                <c:pt idx="716">
                  <c:v>46097</c:v>
                </c:pt>
                <c:pt idx="717">
                  <c:v>46086</c:v>
                </c:pt>
                <c:pt idx="718">
                  <c:v>46097</c:v>
                </c:pt>
                <c:pt idx="719">
                  <c:v>46097</c:v>
                </c:pt>
                <c:pt idx="720">
                  <c:v>46086</c:v>
                </c:pt>
                <c:pt idx="721">
                  <c:v>46086</c:v>
                </c:pt>
                <c:pt idx="722">
                  <c:v>46086</c:v>
                </c:pt>
                <c:pt idx="723">
                  <c:v>46086</c:v>
                </c:pt>
                <c:pt idx="724">
                  <c:v>46086</c:v>
                </c:pt>
                <c:pt idx="725">
                  <c:v>46090</c:v>
                </c:pt>
                <c:pt idx="726">
                  <c:v>46087</c:v>
                </c:pt>
                <c:pt idx="727">
                  <c:v>46086</c:v>
                </c:pt>
                <c:pt idx="728">
                  <c:v>46090</c:v>
                </c:pt>
                <c:pt idx="729">
                  <c:v>46090</c:v>
                </c:pt>
                <c:pt idx="730">
                  <c:v>46092</c:v>
                </c:pt>
                <c:pt idx="731">
                  <c:v>46091</c:v>
                </c:pt>
                <c:pt idx="732">
                  <c:v>46086</c:v>
                </c:pt>
                <c:pt idx="733">
                  <c:v>46086</c:v>
                </c:pt>
                <c:pt idx="734">
                  <c:v>46086</c:v>
                </c:pt>
                <c:pt idx="735">
                  <c:v>46087</c:v>
                </c:pt>
                <c:pt idx="736">
                  <c:v>46087</c:v>
                </c:pt>
                <c:pt idx="737">
                  <c:v>46087</c:v>
                </c:pt>
                <c:pt idx="738">
                  <c:v>46087</c:v>
                </c:pt>
                <c:pt idx="739">
                  <c:v>46087</c:v>
                </c:pt>
                <c:pt idx="740">
                  <c:v>46087</c:v>
                </c:pt>
                <c:pt idx="741">
                  <c:v>46092</c:v>
                </c:pt>
                <c:pt idx="742">
                  <c:v>46087</c:v>
                </c:pt>
                <c:pt idx="743">
                  <c:v>46090</c:v>
                </c:pt>
                <c:pt idx="744">
                  <c:v>46092</c:v>
                </c:pt>
                <c:pt idx="745">
                  <c:v>46108</c:v>
                </c:pt>
                <c:pt idx="746">
                  <c:v>46105</c:v>
                </c:pt>
                <c:pt idx="747">
                  <c:v>46092</c:v>
                </c:pt>
                <c:pt idx="748">
                  <c:v>46087</c:v>
                </c:pt>
                <c:pt idx="749">
                  <c:v>46092</c:v>
                </c:pt>
                <c:pt idx="750">
                  <c:v>46087</c:v>
                </c:pt>
                <c:pt idx="751">
                  <c:v>46087</c:v>
                </c:pt>
                <c:pt idx="752">
                  <c:v>46092</c:v>
                </c:pt>
                <c:pt idx="753">
                  <c:v>46092</c:v>
                </c:pt>
                <c:pt idx="754">
                  <c:v>46091</c:v>
                </c:pt>
                <c:pt idx="755">
                  <c:v>46087</c:v>
                </c:pt>
                <c:pt idx="756">
                  <c:v>46087</c:v>
                </c:pt>
                <c:pt idx="757">
                  <c:v>46087</c:v>
                </c:pt>
                <c:pt idx="758">
                  <c:v>46111</c:v>
                </c:pt>
                <c:pt idx="759">
                  <c:v>46128</c:v>
                </c:pt>
                <c:pt idx="760">
                  <c:v>46111</c:v>
                </c:pt>
                <c:pt idx="761">
                  <c:v>46128</c:v>
                </c:pt>
                <c:pt idx="762">
                  <c:v>46111</c:v>
                </c:pt>
                <c:pt idx="763">
                  <c:v>46090</c:v>
                </c:pt>
                <c:pt idx="764">
                  <c:v>46090</c:v>
                </c:pt>
                <c:pt idx="765">
                  <c:v>46092</c:v>
                </c:pt>
                <c:pt idx="766">
                  <c:v>46090</c:v>
                </c:pt>
                <c:pt idx="767">
                  <c:v>46090</c:v>
                </c:pt>
                <c:pt idx="768">
                  <c:v>46090</c:v>
                </c:pt>
                <c:pt idx="769">
                  <c:v>46090</c:v>
                </c:pt>
                <c:pt idx="770">
                  <c:v>46092</c:v>
                </c:pt>
                <c:pt idx="771">
                  <c:v>46090</c:v>
                </c:pt>
                <c:pt idx="772">
                  <c:v>46090</c:v>
                </c:pt>
                <c:pt idx="773">
                  <c:v>46091</c:v>
                </c:pt>
                <c:pt idx="774">
                  <c:v>46090</c:v>
                </c:pt>
                <c:pt idx="775">
                  <c:v>46094</c:v>
                </c:pt>
                <c:pt idx="776">
                  <c:v>46094</c:v>
                </c:pt>
                <c:pt idx="777">
                  <c:v>46090</c:v>
                </c:pt>
                <c:pt idx="778">
                  <c:v>46090</c:v>
                </c:pt>
                <c:pt idx="779">
                  <c:v>46108</c:v>
                </c:pt>
                <c:pt idx="780">
                  <c:v>46098</c:v>
                </c:pt>
                <c:pt idx="781">
                  <c:v>46127</c:v>
                </c:pt>
                <c:pt idx="782">
                  <c:v>46100</c:v>
                </c:pt>
                <c:pt idx="783">
                  <c:v>46090</c:v>
                </c:pt>
                <c:pt idx="784">
                  <c:v>46090</c:v>
                </c:pt>
                <c:pt idx="785">
                  <c:v>46098</c:v>
                </c:pt>
                <c:pt idx="786">
                  <c:v>46090</c:v>
                </c:pt>
                <c:pt idx="787">
                  <c:v>46090</c:v>
                </c:pt>
                <c:pt idx="788">
                  <c:v>46090</c:v>
                </c:pt>
                <c:pt idx="789">
                  <c:v>46091</c:v>
                </c:pt>
                <c:pt idx="790">
                  <c:v>46091</c:v>
                </c:pt>
                <c:pt idx="791">
                  <c:v>46091</c:v>
                </c:pt>
                <c:pt idx="792">
                  <c:v>46091</c:v>
                </c:pt>
                <c:pt idx="793">
                  <c:v>46091</c:v>
                </c:pt>
                <c:pt idx="794">
                  <c:v>46091</c:v>
                </c:pt>
                <c:pt idx="795">
                  <c:v>46098</c:v>
                </c:pt>
                <c:pt idx="796">
                  <c:v>46098</c:v>
                </c:pt>
                <c:pt idx="797">
                  <c:v>46091</c:v>
                </c:pt>
                <c:pt idx="798">
                  <c:v>46091</c:v>
                </c:pt>
                <c:pt idx="799">
                  <c:v>46091</c:v>
                </c:pt>
                <c:pt idx="800">
                  <c:v>46094</c:v>
                </c:pt>
                <c:pt idx="801">
                  <c:v>46091</c:v>
                </c:pt>
                <c:pt idx="802">
                  <c:v>46107</c:v>
                </c:pt>
                <c:pt idx="803">
                  <c:v>46091</c:v>
                </c:pt>
                <c:pt idx="804">
                  <c:v>46091</c:v>
                </c:pt>
                <c:pt idx="805">
                  <c:v>46091</c:v>
                </c:pt>
                <c:pt idx="806">
                  <c:v>46094</c:v>
                </c:pt>
                <c:pt idx="807">
                  <c:v>46094</c:v>
                </c:pt>
                <c:pt idx="808">
                  <c:v>46097</c:v>
                </c:pt>
                <c:pt idx="809">
                  <c:v>46097</c:v>
                </c:pt>
                <c:pt idx="810">
                  <c:v>46094</c:v>
                </c:pt>
                <c:pt idx="811">
                  <c:v>46097</c:v>
                </c:pt>
                <c:pt idx="812">
                  <c:v>46092</c:v>
                </c:pt>
                <c:pt idx="813">
                  <c:v>46097</c:v>
                </c:pt>
                <c:pt idx="814">
                  <c:v>46092</c:v>
                </c:pt>
                <c:pt idx="815">
                  <c:v>46092</c:v>
                </c:pt>
                <c:pt idx="816">
                  <c:v>46107</c:v>
                </c:pt>
                <c:pt idx="817">
                  <c:v>46092</c:v>
                </c:pt>
                <c:pt idx="818">
                  <c:v>46092</c:v>
                </c:pt>
                <c:pt idx="819">
                  <c:v>46092</c:v>
                </c:pt>
                <c:pt idx="820">
                  <c:v>46092</c:v>
                </c:pt>
                <c:pt idx="821">
                  <c:v>46092</c:v>
                </c:pt>
                <c:pt idx="822">
                  <c:v>46097</c:v>
                </c:pt>
                <c:pt idx="823">
                  <c:v>46097</c:v>
                </c:pt>
                <c:pt idx="824">
                  <c:v>46092</c:v>
                </c:pt>
                <c:pt idx="825">
                  <c:v>46097</c:v>
                </c:pt>
                <c:pt idx="826">
                  <c:v>46097</c:v>
                </c:pt>
                <c:pt idx="827">
                  <c:v>46092</c:v>
                </c:pt>
                <c:pt idx="828">
                  <c:v>46092</c:v>
                </c:pt>
                <c:pt idx="829">
                  <c:v>46094</c:v>
                </c:pt>
                <c:pt idx="830">
                  <c:v>46097</c:v>
                </c:pt>
                <c:pt idx="831">
                  <c:v>46092</c:v>
                </c:pt>
                <c:pt idx="832">
                  <c:v>46092</c:v>
                </c:pt>
                <c:pt idx="833">
                  <c:v>46092</c:v>
                </c:pt>
                <c:pt idx="834">
                  <c:v>46092</c:v>
                </c:pt>
                <c:pt idx="835">
                  <c:v>46092</c:v>
                </c:pt>
                <c:pt idx="836">
                  <c:v>46092</c:v>
                </c:pt>
                <c:pt idx="837">
                  <c:v>46093</c:v>
                </c:pt>
                <c:pt idx="838">
                  <c:v>46094</c:v>
                </c:pt>
                <c:pt idx="839">
                  <c:v>46093</c:v>
                </c:pt>
                <c:pt idx="840">
                  <c:v>46093</c:v>
                </c:pt>
                <c:pt idx="841">
                  <c:v>46098</c:v>
                </c:pt>
                <c:pt idx="842">
                  <c:v>46098</c:v>
                </c:pt>
                <c:pt idx="843">
                  <c:v>46093</c:v>
                </c:pt>
                <c:pt idx="844">
                  <c:v>46093</c:v>
                </c:pt>
                <c:pt idx="845">
                  <c:v>46094</c:v>
                </c:pt>
                <c:pt idx="846">
                  <c:v>46093</c:v>
                </c:pt>
                <c:pt idx="847">
                  <c:v>46094</c:v>
                </c:pt>
                <c:pt idx="848">
                  <c:v>46093</c:v>
                </c:pt>
                <c:pt idx="849">
                  <c:v>46093</c:v>
                </c:pt>
                <c:pt idx="850">
                  <c:v>46093</c:v>
                </c:pt>
                <c:pt idx="851">
                  <c:v>46093</c:v>
                </c:pt>
                <c:pt idx="852">
                  <c:v>46093</c:v>
                </c:pt>
                <c:pt idx="853">
                  <c:v>46093</c:v>
                </c:pt>
                <c:pt idx="854">
                  <c:v>46099</c:v>
                </c:pt>
                <c:pt idx="855">
                  <c:v>46093</c:v>
                </c:pt>
                <c:pt idx="856">
                  <c:v>46093</c:v>
                </c:pt>
                <c:pt idx="857">
                  <c:v>46108</c:v>
                </c:pt>
                <c:pt idx="858">
                  <c:v>46097</c:v>
                </c:pt>
                <c:pt idx="859">
                  <c:v>46094</c:v>
                </c:pt>
                <c:pt idx="860">
                  <c:v>46099</c:v>
                </c:pt>
                <c:pt idx="861">
                  <c:v>46094</c:v>
                </c:pt>
                <c:pt idx="862">
                  <c:v>46094</c:v>
                </c:pt>
                <c:pt idx="863">
                  <c:v>46094</c:v>
                </c:pt>
                <c:pt idx="864">
                  <c:v>46094</c:v>
                </c:pt>
                <c:pt idx="865">
                  <c:v>46094</c:v>
                </c:pt>
                <c:pt idx="866">
                  <c:v>46099</c:v>
                </c:pt>
                <c:pt idx="867">
                  <c:v>46094</c:v>
                </c:pt>
                <c:pt idx="868">
                  <c:v>46094</c:v>
                </c:pt>
                <c:pt idx="869">
                  <c:v>46094</c:v>
                </c:pt>
                <c:pt idx="870">
                  <c:v>46094</c:v>
                </c:pt>
                <c:pt idx="871">
                  <c:v>46094</c:v>
                </c:pt>
                <c:pt idx="872">
                  <c:v>46094</c:v>
                </c:pt>
                <c:pt idx="873">
                  <c:v>46094</c:v>
                </c:pt>
                <c:pt idx="874">
                  <c:v>46094</c:v>
                </c:pt>
                <c:pt idx="875">
                  <c:v>46094</c:v>
                </c:pt>
                <c:pt idx="876">
                  <c:v>46094</c:v>
                </c:pt>
                <c:pt idx="877">
                  <c:v>46094</c:v>
                </c:pt>
                <c:pt idx="878">
                  <c:v>46094</c:v>
                </c:pt>
                <c:pt idx="879">
                  <c:v>46094</c:v>
                </c:pt>
                <c:pt idx="880">
                  <c:v>46119</c:v>
                </c:pt>
                <c:pt idx="881">
                  <c:v>46094</c:v>
                </c:pt>
                <c:pt idx="882">
                  <c:v>46094</c:v>
                </c:pt>
                <c:pt idx="883">
                  <c:v>46094</c:v>
                </c:pt>
                <c:pt idx="884">
                  <c:v>46097</c:v>
                </c:pt>
                <c:pt idx="885">
                  <c:v>46097</c:v>
                </c:pt>
                <c:pt idx="886">
                  <c:v>46097</c:v>
                </c:pt>
                <c:pt idx="887">
                  <c:v>46097</c:v>
                </c:pt>
                <c:pt idx="888">
                  <c:v>46160</c:v>
                </c:pt>
                <c:pt idx="889">
                  <c:v>46097</c:v>
                </c:pt>
                <c:pt idx="890">
                  <c:v>46097</c:v>
                </c:pt>
                <c:pt idx="891">
                  <c:v>46108</c:v>
                </c:pt>
                <c:pt idx="892">
                  <c:v>46100</c:v>
                </c:pt>
                <c:pt idx="893">
                  <c:v>46097</c:v>
                </c:pt>
                <c:pt idx="894">
                  <c:v>46097</c:v>
                </c:pt>
                <c:pt idx="895">
                  <c:v>46099</c:v>
                </c:pt>
                <c:pt idx="896">
                  <c:v>46097</c:v>
                </c:pt>
                <c:pt idx="897">
                  <c:v>46097</c:v>
                </c:pt>
                <c:pt idx="898">
                  <c:v>46098</c:v>
                </c:pt>
                <c:pt idx="899">
                  <c:v>46098</c:v>
                </c:pt>
                <c:pt idx="900">
                  <c:v>46098</c:v>
                </c:pt>
                <c:pt idx="901">
                  <c:v>46098</c:v>
                </c:pt>
                <c:pt idx="902">
                  <c:v>46098</c:v>
                </c:pt>
                <c:pt idx="903">
                  <c:v>46098</c:v>
                </c:pt>
                <c:pt idx="904">
                  <c:v>46098</c:v>
                </c:pt>
                <c:pt idx="905">
                  <c:v>46098</c:v>
                </c:pt>
                <c:pt idx="906">
                  <c:v>46100</c:v>
                </c:pt>
                <c:pt idx="907">
                  <c:v>46098</c:v>
                </c:pt>
                <c:pt idx="908">
                  <c:v>46098</c:v>
                </c:pt>
                <c:pt idx="909">
                  <c:v>46098</c:v>
                </c:pt>
                <c:pt idx="910">
                  <c:v>46098</c:v>
                </c:pt>
                <c:pt idx="911">
                  <c:v>46098</c:v>
                </c:pt>
                <c:pt idx="912">
                  <c:v>46098</c:v>
                </c:pt>
                <c:pt idx="913">
                  <c:v>46107</c:v>
                </c:pt>
                <c:pt idx="914">
                  <c:v>46098</c:v>
                </c:pt>
                <c:pt idx="915">
                  <c:v>46112</c:v>
                </c:pt>
                <c:pt idx="916">
                  <c:v>46098</c:v>
                </c:pt>
                <c:pt idx="917">
                  <c:v>46098</c:v>
                </c:pt>
                <c:pt idx="918">
                  <c:v>46105</c:v>
                </c:pt>
                <c:pt idx="919">
                  <c:v>46113</c:v>
                </c:pt>
                <c:pt idx="920">
                  <c:v>46105</c:v>
                </c:pt>
                <c:pt idx="921">
                  <c:v>46098</c:v>
                </c:pt>
                <c:pt idx="922">
                  <c:v>46098</c:v>
                </c:pt>
                <c:pt idx="923">
                  <c:v>46098</c:v>
                </c:pt>
                <c:pt idx="924">
                  <c:v>46098</c:v>
                </c:pt>
                <c:pt idx="925">
                  <c:v>46098</c:v>
                </c:pt>
                <c:pt idx="926">
                  <c:v>46098</c:v>
                </c:pt>
                <c:pt idx="927">
                  <c:v>46098</c:v>
                </c:pt>
                <c:pt idx="928">
                  <c:v>46098</c:v>
                </c:pt>
                <c:pt idx="929">
                  <c:v>46098</c:v>
                </c:pt>
                <c:pt idx="930">
                  <c:v>46098</c:v>
                </c:pt>
                <c:pt idx="931">
                  <c:v>46098</c:v>
                </c:pt>
                <c:pt idx="932">
                  <c:v>46108</c:v>
                </c:pt>
                <c:pt idx="933">
                  <c:v>46108</c:v>
                </c:pt>
                <c:pt idx="934">
                  <c:v>46105</c:v>
                </c:pt>
                <c:pt idx="935">
                  <c:v>46105</c:v>
                </c:pt>
                <c:pt idx="936">
                  <c:v>46098</c:v>
                </c:pt>
                <c:pt idx="937">
                  <c:v>46098</c:v>
                </c:pt>
                <c:pt idx="938">
                  <c:v>46098</c:v>
                </c:pt>
                <c:pt idx="939">
                  <c:v>46098</c:v>
                </c:pt>
                <c:pt idx="940">
                  <c:v>46098</c:v>
                </c:pt>
                <c:pt idx="941">
                  <c:v>46099</c:v>
                </c:pt>
                <c:pt idx="942">
                  <c:v>46105</c:v>
                </c:pt>
                <c:pt idx="943">
                  <c:v>46107</c:v>
                </c:pt>
                <c:pt idx="944">
                  <c:v>46107</c:v>
                </c:pt>
                <c:pt idx="945">
                  <c:v>46107</c:v>
                </c:pt>
                <c:pt idx="946">
                  <c:v>46099</c:v>
                </c:pt>
                <c:pt idx="947">
                  <c:v>46099</c:v>
                </c:pt>
                <c:pt idx="948">
                  <c:v>46099</c:v>
                </c:pt>
                <c:pt idx="949">
                  <c:v>46105</c:v>
                </c:pt>
                <c:pt idx="950">
                  <c:v>46099</c:v>
                </c:pt>
                <c:pt idx="951">
                  <c:v>46099</c:v>
                </c:pt>
                <c:pt idx="952">
                  <c:v>46099</c:v>
                </c:pt>
                <c:pt idx="953">
                  <c:v>46099</c:v>
                </c:pt>
                <c:pt idx="954">
                  <c:v>46099</c:v>
                </c:pt>
                <c:pt idx="955">
                  <c:v>46099</c:v>
                </c:pt>
                <c:pt idx="956">
                  <c:v>46099</c:v>
                </c:pt>
                <c:pt idx="957">
                  <c:v>46099</c:v>
                </c:pt>
                <c:pt idx="958">
                  <c:v>46107</c:v>
                </c:pt>
                <c:pt idx="959">
                  <c:v>46098</c:v>
                </c:pt>
                <c:pt idx="960">
                  <c:v>46098</c:v>
                </c:pt>
                <c:pt idx="961">
                  <c:v>46098</c:v>
                </c:pt>
                <c:pt idx="962">
                  <c:v>46098</c:v>
                </c:pt>
                <c:pt idx="963">
                  <c:v>46099</c:v>
                </c:pt>
                <c:pt idx="964">
                  <c:v>46099</c:v>
                </c:pt>
                <c:pt idx="965">
                  <c:v>46099</c:v>
                </c:pt>
                <c:pt idx="966">
                  <c:v>46100</c:v>
                </c:pt>
                <c:pt idx="967">
                  <c:v>46100</c:v>
                </c:pt>
                <c:pt idx="968">
                  <c:v>46105</c:v>
                </c:pt>
                <c:pt idx="969">
                  <c:v>46100</c:v>
                </c:pt>
                <c:pt idx="970">
                  <c:v>46100</c:v>
                </c:pt>
                <c:pt idx="971">
                  <c:v>46107</c:v>
                </c:pt>
                <c:pt idx="972">
                  <c:v>46107</c:v>
                </c:pt>
                <c:pt idx="973">
                  <c:v>46100</c:v>
                </c:pt>
                <c:pt idx="974">
                  <c:v>46100</c:v>
                </c:pt>
                <c:pt idx="975">
                  <c:v>46100</c:v>
                </c:pt>
                <c:pt idx="976">
                  <c:v>46100</c:v>
                </c:pt>
                <c:pt idx="977">
                  <c:v>46104</c:v>
                </c:pt>
                <c:pt idx="978">
                  <c:v>46100</c:v>
                </c:pt>
                <c:pt idx="979">
                  <c:v>46100</c:v>
                </c:pt>
                <c:pt idx="980">
                  <c:v>46100</c:v>
                </c:pt>
                <c:pt idx="981">
                  <c:v>46100</c:v>
                </c:pt>
                <c:pt idx="982">
                  <c:v>46100</c:v>
                </c:pt>
                <c:pt idx="983">
                  <c:v>46100</c:v>
                </c:pt>
                <c:pt idx="984">
                  <c:v>46100</c:v>
                </c:pt>
                <c:pt idx="985">
                  <c:v>46100</c:v>
                </c:pt>
                <c:pt idx="986">
                  <c:v>46105</c:v>
                </c:pt>
                <c:pt idx="987">
                  <c:v>46101</c:v>
                </c:pt>
                <c:pt idx="988">
                  <c:v>46101</c:v>
                </c:pt>
                <c:pt idx="989">
                  <c:v>46101</c:v>
                </c:pt>
                <c:pt idx="990">
                  <c:v>46101</c:v>
                </c:pt>
                <c:pt idx="991">
                  <c:v>46101</c:v>
                </c:pt>
                <c:pt idx="992">
                  <c:v>46101</c:v>
                </c:pt>
                <c:pt idx="993">
                  <c:v>46101</c:v>
                </c:pt>
                <c:pt idx="994">
                  <c:v>46101</c:v>
                </c:pt>
                <c:pt idx="995">
                  <c:v>46088</c:v>
                </c:pt>
                <c:pt idx="996">
                  <c:v>46104</c:v>
                </c:pt>
                <c:pt idx="997">
                  <c:v>46106</c:v>
                </c:pt>
                <c:pt idx="998">
                  <c:v>46106</c:v>
                </c:pt>
                <c:pt idx="999">
                  <c:v>46106</c:v>
                </c:pt>
                <c:pt idx="1000">
                  <c:v>46104</c:v>
                </c:pt>
                <c:pt idx="1001">
                  <c:v>46104</c:v>
                </c:pt>
                <c:pt idx="1002">
                  <c:v>46108</c:v>
                </c:pt>
                <c:pt idx="1003">
                  <c:v>46105</c:v>
                </c:pt>
                <c:pt idx="1004">
                  <c:v>46105</c:v>
                </c:pt>
                <c:pt idx="1005">
                  <c:v>46108</c:v>
                </c:pt>
                <c:pt idx="1006">
                  <c:v>46105</c:v>
                </c:pt>
                <c:pt idx="1007">
                  <c:v>46108</c:v>
                </c:pt>
                <c:pt idx="1008">
                  <c:v>46105</c:v>
                </c:pt>
                <c:pt idx="1009">
                  <c:v>46108</c:v>
                </c:pt>
                <c:pt idx="1010">
                  <c:v>46105</c:v>
                </c:pt>
                <c:pt idx="1011">
                  <c:v>46105</c:v>
                </c:pt>
                <c:pt idx="1012">
                  <c:v>46105</c:v>
                </c:pt>
                <c:pt idx="1013">
                  <c:v>46108</c:v>
                </c:pt>
                <c:pt idx="1014">
                  <c:v>46112</c:v>
                </c:pt>
                <c:pt idx="1015">
                  <c:v>46105</c:v>
                </c:pt>
                <c:pt idx="1016">
                  <c:v>46128</c:v>
                </c:pt>
                <c:pt idx="1017">
                  <c:v>46108</c:v>
                </c:pt>
                <c:pt idx="1018">
                  <c:v>46105</c:v>
                </c:pt>
                <c:pt idx="1019">
                  <c:v>46127</c:v>
                </c:pt>
                <c:pt idx="1020">
                  <c:v>46127</c:v>
                </c:pt>
                <c:pt idx="1021">
                  <c:v>46126</c:v>
                </c:pt>
                <c:pt idx="1022">
                  <c:v>46107</c:v>
                </c:pt>
                <c:pt idx="1023">
                  <c:v>46105</c:v>
                </c:pt>
                <c:pt idx="1024">
                  <c:v>46107</c:v>
                </c:pt>
                <c:pt idx="1025">
                  <c:v>46107</c:v>
                </c:pt>
                <c:pt idx="1026">
                  <c:v>46105</c:v>
                </c:pt>
                <c:pt idx="1027">
                  <c:v>46111</c:v>
                </c:pt>
                <c:pt idx="1028">
                  <c:v>46107</c:v>
                </c:pt>
                <c:pt idx="1029">
                  <c:v>46111</c:v>
                </c:pt>
                <c:pt idx="1030">
                  <c:v>46112</c:v>
                </c:pt>
                <c:pt idx="1031">
                  <c:v>46106</c:v>
                </c:pt>
                <c:pt idx="1032">
                  <c:v>46108</c:v>
                </c:pt>
                <c:pt idx="1033">
                  <c:v>46098</c:v>
                </c:pt>
                <c:pt idx="1034">
                  <c:v>46106</c:v>
                </c:pt>
                <c:pt idx="1035">
                  <c:v>46106</c:v>
                </c:pt>
                <c:pt idx="1036">
                  <c:v>46106</c:v>
                </c:pt>
                <c:pt idx="1037">
                  <c:v>46111</c:v>
                </c:pt>
                <c:pt idx="1038">
                  <c:v>46106</c:v>
                </c:pt>
                <c:pt idx="1039">
                  <c:v>46106</c:v>
                </c:pt>
                <c:pt idx="1040">
                  <c:v>46106</c:v>
                </c:pt>
                <c:pt idx="1041">
                  <c:v>46111</c:v>
                </c:pt>
                <c:pt idx="1042">
                  <c:v>46107</c:v>
                </c:pt>
                <c:pt idx="1043">
                  <c:v>46107</c:v>
                </c:pt>
                <c:pt idx="1044">
                  <c:v>46107</c:v>
                </c:pt>
                <c:pt idx="1045">
                  <c:v>46107</c:v>
                </c:pt>
                <c:pt idx="1046">
                  <c:v>46107</c:v>
                </c:pt>
                <c:pt idx="1047">
                  <c:v>46108</c:v>
                </c:pt>
                <c:pt idx="1048">
                  <c:v>46107</c:v>
                </c:pt>
                <c:pt idx="1049">
                  <c:v>46107</c:v>
                </c:pt>
                <c:pt idx="1050">
                  <c:v>46108</c:v>
                </c:pt>
                <c:pt idx="1051">
                  <c:v>46108</c:v>
                </c:pt>
                <c:pt idx="1052">
                  <c:v>46108</c:v>
                </c:pt>
                <c:pt idx="1053">
                  <c:v>46113</c:v>
                </c:pt>
                <c:pt idx="1054">
                  <c:v>46118</c:v>
                </c:pt>
                <c:pt idx="1055">
                  <c:v>46108</c:v>
                </c:pt>
                <c:pt idx="1056">
                  <c:v>46108</c:v>
                </c:pt>
                <c:pt idx="1057">
                  <c:v>46112</c:v>
                </c:pt>
                <c:pt idx="1058">
                  <c:v>46111</c:v>
                </c:pt>
                <c:pt idx="1059">
                  <c:v>46108</c:v>
                </c:pt>
                <c:pt idx="1060">
                  <c:v>46088</c:v>
                </c:pt>
                <c:pt idx="1061">
                  <c:v>46111</c:v>
                </c:pt>
                <c:pt idx="1062">
                  <c:v>46109</c:v>
                </c:pt>
                <c:pt idx="1063">
                  <c:v>46111</c:v>
                </c:pt>
                <c:pt idx="1064">
                  <c:v>46111</c:v>
                </c:pt>
                <c:pt idx="1065">
                  <c:v>46111</c:v>
                </c:pt>
                <c:pt idx="1066">
                  <c:v>46111</c:v>
                </c:pt>
                <c:pt idx="1067">
                  <c:v>46111</c:v>
                </c:pt>
                <c:pt idx="1068">
                  <c:v>46111</c:v>
                </c:pt>
                <c:pt idx="1069">
                  <c:v>46112</c:v>
                </c:pt>
                <c:pt idx="1070">
                  <c:v>46087</c:v>
                </c:pt>
                <c:pt idx="1071">
                  <c:v>46118</c:v>
                </c:pt>
                <c:pt idx="1072">
                  <c:v>46112</c:v>
                </c:pt>
                <c:pt idx="1073">
                  <c:v>46112</c:v>
                </c:pt>
                <c:pt idx="1074">
                  <c:v>46112</c:v>
                </c:pt>
                <c:pt idx="1075">
                  <c:v>46120</c:v>
                </c:pt>
                <c:pt idx="1076">
                  <c:v>46141</c:v>
                </c:pt>
                <c:pt idx="1077">
                  <c:v>46112</c:v>
                </c:pt>
                <c:pt idx="1078">
                  <c:v>46112</c:v>
                </c:pt>
                <c:pt idx="1079">
                  <c:v>46112</c:v>
                </c:pt>
                <c:pt idx="1080">
                  <c:v>46118</c:v>
                </c:pt>
                <c:pt idx="1081">
                  <c:v>46118</c:v>
                </c:pt>
                <c:pt idx="1082">
                  <c:v>46119</c:v>
                </c:pt>
                <c:pt idx="1083">
                  <c:v>46119</c:v>
                </c:pt>
                <c:pt idx="1084">
                  <c:v>46113</c:v>
                </c:pt>
                <c:pt idx="1085">
                  <c:v>46120</c:v>
                </c:pt>
                <c:pt idx="1086">
                  <c:v>46113</c:v>
                </c:pt>
                <c:pt idx="1087">
                  <c:v>46113</c:v>
                </c:pt>
                <c:pt idx="1088">
                  <c:v>46113</c:v>
                </c:pt>
                <c:pt idx="1089">
                  <c:v>46135</c:v>
                </c:pt>
                <c:pt idx="1090">
                  <c:v>46113</c:v>
                </c:pt>
                <c:pt idx="1091">
                  <c:v>46113</c:v>
                </c:pt>
                <c:pt idx="1092">
                  <c:v>46125</c:v>
                </c:pt>
                <c:pt idx="1093">
                  <c:v>46113</c:v>
                </c:pt>
                <c:pt idx="1094">
                  <c:v>46121</c:v>
                </c:pt>
                <c:pt idx="1095">
                  <c:v>46118</c:v>
                </c:pt>
                <c:pt idx="1096">
                  <c:v>46118</c:v>
                </c:pt>
                <c:pt idx="1097">
                  <c:v>46118</c:v>
                </c:pt>
                <c:pt idx="1098">
                  <c:v>46118</c:v>
                </c:pt>
                <c:pt idx="1099">
                  <c:v>46125</c:v>
                </c:pt>
                <c:pt idx="1100">
                  <c:v>46118</c:v>
                </c:pt>
                <c:pt idx="1101">
                  <c:v>46120</c:v>
                </c:pt>
                <c:pt idx="1102">
                  <c:v>46118</c:v>
                </c:pt>
                <c:pt idx="1103">
                  <c:v>46118</c:v>
                </c:pt>
                <c:pt idx="1104">
                  <c:v>46118</c:v>
                </c:pt>
                <c:pt idx="1105">
                  <c:v>46119</c:v>
                </c:pt>
                <c:pt idx="1106">
                  <c:v>46121</c:v>
                </c:pt>
                <c:pt idx="1107">
                  <c:v>46119</c:v>
                </c:pt>
                <c:pt idx="1108">
                  <c:v>46126</c:v>
                </c:pt>
                <c:pt idx="1109">
                  <c:v>46126</c:v>
                </c:pt>
                <c:pt idx="1110">
                  <c:v>46119</c:v>
                </c:pt>
                <c:pt idx="1111">
                  <c:v>46119</c:v>
                </c:pt>
                <c:pt idx="1112">
                  <c:v>46119</c:v>
                </c:pt>
                <c:pt idx="1113">
                  <c:v>46119</c:v>
                </c:pt>
                <c:pt idx="1114">
                  <c:v>46119</c:v>
                </c:pt>
                <c:pt idx="1115">
                  <c:v>46119</c:v>
                </c:pt>
                <c:pt idx="1116">
                  <c:v>46119</c:v>
                </c:pt>
                <c:pt idx="1117">
                  <c:v>46119</c:v>
                </c:pt>
                <c:pt idx="1118">
                  <c:v>46119</c:v>
                </c:pt>
                <c:pt idx="1119">
                  <c:v>46119</c:v>
                </c:pt>
                <c:pt idx="1120">
                  <c:v>46119</c:v>
                </c:pt>
                <c:pt idx="1121">
                  <c:v>46119</c:v>
                </c:pt>
                <c:pt idx="1122">
                  <c:v>46119</c:v>
                </c:pt>
                <c:pt idx="1123">
                  <c:v>46119</c:v>
                </c:pt>
                <c:pt idx="1124">
                  <c:v>46119</c:v>
                </c:pt>
                <c:pt idx="1125">
                  <c:v>46119</c:v>
                </c:pt>
                <c:pt idx="1126">
                  <c:v>0</c:v>
                </c:pt>
                <c:pt idx="1127">
                  <c:v>46119</c:v>
                </c:pt>
                <c:pt idx="1128">
                  <c:v>46119</c:v>
                </c:pt>
                <c:pt idx="1129">
                  <c:v>46119</c:v>
                </c:pt>
                <c:pt idx="1130">
                  <c:v>46119</c:v>
                </c:pt>
                <c:pt idx="1131">
                  <c:v>46119</c:v>
                </c:pt>
                <c:pt idx="1132">
                  <c:v>46119</c:v>
                </c:pt>
                <c:pt idx="1133">
                  <c:v>46119</c:v>
                </c:pt>
                <c:pt idx="1134">
                  <c:v>46119</c:v>
                </c:pt>
                <c:pt idx="1135">
                  <c:v>46119</c:v>
                </c:pt>
                <c:pt idx="1136">
                  <c:v>46119</c:v>
                </c:pt>
                <c:pt idx="1137">
                  <c:v>46119</c:v>
                </c:pt>
                <c:pt idx="1138">
                  <c:v>46119</c:v>
                </c:pt>
                <c:pt idx="1139">
                  <c:v>46119</c:v>
                </c:pt>
                <c:pt idx="1140">
                  <c:v>46125</c:v>
                </c:pt>
                <c:pt idx="1141">
                  <c:v>46119</c:v>
                </c:pt>
                <c:pt idx="1142">
                  <c:v>46119</c:v>
                </c:pt>
                <c:pt idx="1143">
                  <c:v>46119</c:v>
                </c:pt>
                <c:pt idx="1144">
                  <c:v>46119</c:v>
                </c:pt>
                <c:pt idx="1145">
                  <c:v>46125</c:v>
                </c:pt>
                <c:pt idx="1146">
                  <c:v>46119</c:v>
                </c:pt>
                <c:pt idx="1147">
                  <c:v>46119</c:v>
                </c:pt>
                <c:pt idx="1148">
                  <c:v>46120</c:v>
                </c:pt>
                <c:pt idx="1149">
                  <c:v>46120</c:v>
                </c:pt>
                <c:pt idx="1150">
                  <c:v>46120</c:v>
                </c:pt>
                <c:pt idx="1151">
                  <c:v>46120</c:v>
                </c:pt>
                <c:pt idx="1152">
                  <c:v>46120</c:v>
                </c:pt>
                <c:pt idx="1153">
                  <c:v>46120</c:v>
                </c:pt>
                <c:pt idx="1154">
                  <c:v>46127</c:v>
                </c:pt>
                <c:pt idx="1155">
                  <c:v>46127</c:v>
                </c:pt>
                <c:pt idx="1156">
                  <c:v>46127</c:v>
                </c:pt>
                <c:pt idx="1157">
                  <c:v>46127</c:v>
                </c:pt>
                <c:pt idx="1158">
                  <c:v>46127</c:v>
                </c:pt>
                <c:pt idx="1159">
                  <c:v>46120</c:v>
                </c:pt>
                <c:pt idx="1160">
                  <c:v>46120</c:v>
                </c:pt>
                <c:pt idx="1161">
                  <c:v>46120</c:v>
                </c:pt>
                <c:pt idx="1162">
                  <c:v>46120</c:v>
                </c:pt>
                <c:pt idx="1163">
                  <c:v>46120</c:v>
                </c:pt>
                <c:pt idx="1164">
                  <c:v>46120</c:v>
                </c:pt>
                <c:pt idx="1165">
                  <c:v>46120</c:v>
                </c:pt>
                <c:pt idx="1166">
                  <c:v>46120</c:v>
                </c:pt>
                <c:pt idx="1167">
                  <c:v>46120</c:v>
                </c:pt>
                <c:pt idx="1168">
                  <c:v>46120</c:v>
                </c:pt>
                <c:pt idx="1169">
                  <c:v>46120</c:v>
                </c:pt>
                <c:pt idx="1170">
                  <c:v>46125</c:v>
                </c:pt>
                <c:pt idx="1171">
                  <c:v>46120</c:v>
                </c:pt>
                <c:pt idx="1172">
                  <c:v>46120</c:v>
                </c:pt>
                <c:pt idx="1173">
                  <c:v>46120</c:v>
                </c:pt>
                <c:pt idx="1174">
                  <c:v>46127</c:v>
                </c:pt>
                <c:pt idx="1175">
                  <c:v>46127</c:v>
                </c:pt>
                <c:pt idx="1176">
                  <c:v>46127</c:v>
                </c:pt>
                <c:pt idx="1177">
                  <c:v>46126</c:v>
                </c:pt>
                <c:pt idx="1178">
                  <c:v>46120</c:v>
                </c:pt>
                <c:pt idx="1179">
                  <c:v>46126</c:v>
                </c:pt>
                <c:pt idx="1180">
                  <c:v>46121</c:v>
                </c:pt>
                <c:pt idx="1181">
                  <c:v>46120</c:v>
                </c:pt>
                <c:pt idx="1182">
                  <c:v>46120</c:v>
                </c:pt>
                <c:pt idx="1183">
                  <c:v>46120</c:v>
                </c:pt>
                <c:pt idx="1184">
                  <c:v>46120</c:v>
                </c:pt>
                <c:pt idx="1185">
                  <c:v>46120</c:v>
                </c:pt>
                <c:pt idx="1186">
                  <c:v>46126</c:v>
                </c:pt>
                <c:pt idx="1187">
                  <c:v>46127</c:v>
                </c:pt>
                <c:pt idx="1188">
                  <c:v>46126</c:v>
                </c:pt>
                <c:pt idx="1189">
                  <c:v>46126</c:v>
                </c:pt>
                <c:pt idx="1190">
                  <c:v>46125</c:v>
                </c:pt>
                <c:pt idx="1191">
                  <c:v>46120</c:v>
                </c:pt>
                <c:pt idx="1192">
                  <c:v>46120</c:v>
                </c:pt>
                <c:pt idx="1193">
                  <c:v>46126</c:v>
                </c:pt>
                <c:pt idx="1194">
                  <c:v>46127</c:v>
                </c:pt>
                <c:pt idx="1195">
                  <c:v>46120</c:v>
                </c:pt>
                <c:pt idx="1196">
                  <c:v>46127</c:v>
                </c:pt>
                <c:pt idx="1197">
                  <c:v>46120</c:v>
                </c:pt>
                <c:pt idx="1198">
                  <c:v>46120</c:v>
                </c:pt>
                <c:pt idx="1199">
                  <c:v>46120</c:v>
                </c:pt>
                <c:pt idx="1200">
                  <c:v>46125</c:v>
                </c:pt>
                <c:pt idx="1201">
                  <c:v>46120</c:v>
                </c:pt>
                <c:pt idx="1202">
                  <c:v>46125</c:v>
                </c:pt>
                <c:pt idx="1203">
                  <c:v>46120</c:v>
                </c:pt>
                <c:pt idx="1204">
                  <c:v>46120</c:v>
                </c:pt>
                <c:pt idx="1205">
                  <c:v>46140</c:v>
                </c:pt>
                <c:pt idx="1206">
                  <c:v>46120</c:v>
                </c:pt>
                <c:pt idx="1207">
                  <c:v>46120</c:v>
                </c:pt>
                <c:pt idx="1208">
                  <c:v>46120</c:v>
                </c:pt>
                <c:pt idx="1209">
                  <c:v>46120</c:v>
                </c:pt>
                <c:pt idx="1210">
                  <c:v>46120</c:v>
                </c:pt>
                <c:pt idx="1211">
                  <c:v>46120</c:v>
                </c:pt>
                <c:pt idx="1212">
                  <c:v>46121</c:v>
                </c:pt>
                <c:pt idx="1213">
                  <c:v>46121</c:v>
                </c:pt>
                <c:pt idx="1214">
                  <c:v>46121</c:v>
                </c:pt>
                <c:pt idx="1215">
                  <c:v>46121</c:v>
                </c:pt>
                <c:pt idx="1216">
                  <c:v>46127</c:v>
                </c:pt>
                <c:pt idx="1217">
                  <c:v>46121</c:v>
                </c:pt>
                <c:pt idx="1218">
                  <c:v>46128</c:v>
                </c:pt>
                <c:pt idx="1219">
                  <c:v>46121</c:v>
                </c:pt>
                <c:pt idx="1220">
                  <c:v>46129</c:v>
                </c:pt>
                <c:pt idx="1221">
                  <c:v>46127</c:v>
                </c:pt>
                <c:pt idx="1222">
                  <c:v>46126</c:v>
                </c:pt>
                <c:pt idx="1223">
                  <c:v>46121</c:v>
                </c:pt>
                <c:pt idx="1224">
                  <c:v>46127</c:v>
                </c:pt>
                <c:pt idx="1225">
                  <c:v>46121</c:v>
                </c:pt>
                <c:pt idx="1226">
                  <c:v>46126</c:v>
                </c:pt>
                <c:pt idx="1227">
                  <c:v>46121</c:v>
                </c:pt>
                <c:pt idx="1228">
                  <c:v>46121</c:v>
                </c:pt>
                <c:pt idx="1229">
                  <c:v>46126</c:v>
                </c:pt>
                <c:pt idx="1230">
                  <c:v>46129</c:v>
                </c:pt>
                <c:pt idx="1231">
                  <c:v>46121</c:v>
                </c:pt>
                <c:pt idx="1232">
                  <c:v>46121</c:v>
                </c:pt>
                <c:pt idx="1233">
                  <c:v>46121</c:v>
                </c:pt>
                <c:pt idx="1234">
                  <c:v>46121</c:v>
                </c:pt>
                <c:pt idx="1235">
                  <c:v>46125</c:v>
                </c:pt>
                <c:pt idx="1236">
                  <c:v>46122</c:v>
                </c:pt>
                <c:pt idx="1237">
                  <c:v>46122</c:v>
                </c:pt>
                <c:pt idx="1238">
                  <c:v>46122</c:v>
                </c:pt>
                <c:pt idx="1239">
                  <c:v>46122</c:v>
                </c:pt>
                <c:pt idx="1240">
                  <c:v>46122</c:v>
                </c:pt>
                <c:pt idx="1241">
                  <c:v>46122</c:v>
                </c:pt>
                <c:pt idx="1242">
                  <c:v>46128</c:v>
                </c:pt>
                <c:pt idx="1243">
                  <c:v>46122</c:v>
                </c:pt>
                <c:pt idx="1244">
                  <c:v>46122</c:v>
                </c:pt>
                <c:pt idx="1245">
                  <c:v>46122</c:v>
                </c:pt>
                <c:pt idx="1246">
                  <c:v>46122</c:v>
                </c:pt>
                <c:pt idx="1247">
                  <c:v>46122</c:v>
                </c:pt>
                <c:pt idx="1248">
                  <c:v>46122</c:v>
                </c:pt>
                <c:pt idx="1249">
                  <c:v>46122</c:v>
                </c:pt>
                <c:pt idx="1250">
                  <c:v>46136</c:v>
                </c:pt>
                <c:pt idx="1251">
                  <c:v>46122</c:v>
                </c:pt>
                <c:pt idx="1252">
                  <c:v>46122</c:v>
                </c:pt>
                <c:pt idx="1253">
                  <c:v>46122</c:v>
                </c:pt>
                <c:pt idx="1254">
                  <c:v>46156</c:v>
                </c:pt>
                <c:pt idx="1255">
                  <c:v>46122</c:v>
                </c:pt>
                <c:pt idx="1256">
                  <c:v>46135</c:v>
                </c:pt>
                <c:pt idx="1257">
                  <c:v>46136</c:v>
                </c:pt>
                <c:pt idx="1258">
                  <c:v>46135</c:v>
                </c:pt>
                <c:pt idx="1259">
                  <c:v>46135</c:v>
                </c:pt>
                <c:pt idx="1260">
                  <c:v>46122</c:v>
                </c:pt>
                <c:pt idx="1261">
                  <c:v>46122</c:v>
                </c:pt>
                <c:pt idx="1262">
                  <c:v>46128</c:v>
                </c:pt>
                <c:pt idx="1263">
                  <c:v>46122</c:v>
                </c:pt>
                <c:pt idx="1264">
                  <c:v>46122</c:v>
                </c:pt>
                <c:pt idx="1265">
                  <c:v>46122</c:v>
                </c:pt>
                <c:pt idx="1266">
                  <c:v>46127</c:v>
                </c:pt>
                <c:pt idx="1267">
                  <c:v>46129</c:v>
                </c:pt>
                <c:pt idx="1268">
                  <c:v>46122</c:v>
                </c:pt>
                <c:pt idx="1269">
                  <c:v>46127</c:v>
                </c:pt>
                <c:pt idx="1270">
                  <c:v>46127</c:v>
                </c:pt>
                <c:pt idx="1271">
                  <c:v>46134</c:v>
                </c:pt>
                <c:pt idx="1272">
                  <c:v>46122</c:v>
                </c:pt>
                <c:pt idx="1273">
                  <c:v>46128</c:v>
                </c:pt>
                <c:pt idx="1274">
                  <c:v>46122</c:v>
                </c:pt>
                <c:pt idx="1275">
                  <c:v>46122</c:v>
                </c:pt>
                <c:pt idx="1276">
                  <c:v>46122</c:v>
                </c:pt>
                <c:pt idx="1277">
                  <c:v>46122</c:v>
                </c:pt>
                <c:pt idx="1278">
                  <c:v>46125</c:v>
                </c:pt>
                <c:pt idx="1279">
                  <c:v>46125</c:v>
                </c:pt>
                <c:pt idx="1280">
                  <c:v>46125</c:v>
                </c:pt>
                <c:pt idx="1281">
                  <c:v>46125</c:v>
                </c:pt>
                <c:pt idx="1282">
                  <c:v>46135</c:v>
                </c:pt>
                <c:pt idx="1283">
                  <c:v>46125</c:v>
                </c:pt>
                <c:pt idx="1284">
                  <c:v>46125</c:v>
                </c:pt>
                <c:pt idx="1285">
                  <c:v>46125</c:v>
                </c:pt>
                <c:pt idx="1286">
                  <c:v>46125</c:v>
                </c:pt>
                <c:pt idx="1287">
                  <c:v>46125</c:v>
                </c:pt>
                <c:pt idx="1288">
                  <c:v>46125</c:v>
                </c:pt>
                <c:pt idx="1289">
                  <c:v>46125</c:v>
                </c:pt>
                <c:pt idx="1290">
                  <c:v>46129</c:v>
                </c:pt>
                <c:pt idx="1291">
                  <c:v>46125</c:v>
                </c:pt>
                <c:pt idx="1292">
                  <c:v>46125</c:v>
                </c:pt>
                <c:pt idx="1293">
                  <c:v>46125</c:v>
                </c:pt>
                <c:pt idx="1294">
                  <c:v>46125</c:v>
                </c:pt>
                <c:pt idx="1295">
                  <c:v>46125</c:v>
                </c:pt>
                <c:pt idx="1296">
                  <c:v>46125</c:v>
                </c:pt>
                <c:pt idx="1297">
                  <c:v>46129</c:v>
                </c:pt>
                <c:pt idx="1298">
                  <c:v>46125</c:v>
                </c:pt>
                <c:pt idx="1299">
                  <c:v>46125</c:v>
                </c:pt>
                <c:pt idx="1300">
                  <c:v>46125</c:v>
                </c:pt>
                <c:pt idx="1301">
                  <c:v>46125</c:v>
                </c:pt>
                <c:pt idx="1302">
                  <c:v>46125</c:v>
                </c:pt>
                <c:pt idx="1303">
                  <c:v>46125</c:v>
                </c:pt>
                <c:pt idx="1304">
                  <c:v>46125</c:v>
                </c:pt>
                <c:pt idx="1305">
                  <c:v>46125</c:v>
                </c:pt>
                <c:pt idx="1306">
                  <c:v>46125</c:v>
                </c:pt>
                <c:pt idx="1307">
                  <c:v>46157</c:v>
                </c:pt>
                <c:pt idx="1308">
                  <c:v>46125</c:v>
                </c:pt>
                <c:pt idx="1309">
                  <c:v>46125</c:v>
                </c:pt>
                <c:pt idx="1310">
                  <c:v>46125</c:v>
                </c:pt>
                <c:pt idx="1311">
                  <c:v>46125</c:v>
                </c:pt>
                <c:pt idx="1312">
                  <c:v>46125</c:v>
                </c:pt>
                <c:pt idx="1313">
                  <c:v>46126</c:v>
                </c:pt>
                <c:pt idx="1314">
                  <c:v>46126</c:v>
                </c:pt>
                <c:pt idx="1315">
                  <c:v>46129</c:v>
                </c:pt>
                <c:pt idx="1316">
                  <c:v>46126</c:v>
                </c:pt>
                <c:pt idx="1318">
                  <c:v>46126</c:v>
                </c:pt>
                <c:pt idx="1319">
                  <c:v>46126</c:v>
                </c:pt>
                <c:pt idx="1320">
                  <c:v>46129</c:v>
                </c:pt>
                <c:pt idx="1321">
                  <c:v>46126</c:v>
                </c:pt>
                <c:pt idx="1322">
                  <c:v>46135</c:v>
                </c:pt>
                <c:pt idx="1323">
                  <c:v>46126</c:v>
                </c:pt>
                <c:pt idx="1324">
                  <c:v>46126</c:v>
                </c:pt>
                <c:pt idx="1325">
                  <c:v>46126</c:v>
                </c:pt>
                <c:pt idx="1326">
                  <c:v>46126</c:v>
                </c:pt>
                <c:pt idx="1327">
                  <c:v>46129</c:v>
                </c:pt>
                <c:pt idx="1328">
                  <c:v>46127</c:v>
                </c:pt>
                <c:pt idx="1329">
                  <c:v>46126</c:v>
                </c:pt>
                <c:pt idx="1330">
                  <c:v>46126</c:v>
                </c:pt>
                <c:pt idx="1331">
                  <c:v>46129</c:v>
                </c:pt>
                <c:pt idx="1332">
                  <c:v>46129</c:v>
                </c:pt>
                <c:pt idx="1333">
                  <c:v>46160</c:v>
                </c:pt>
                <c:pt idx="1334">
                  <c:v>46126</c:v>
                </c:pt>
                <c:pt idx="1335">
                  <c:v>46139</c:v>
                </c:pt>
                <c:pt idx="1336">
                  <c:v>46126</c:v>
                </c:pt>
                <c:pt idx="1337">
                  <c:v>46126</c:v>
                </c:pt>
                <c:pt idx="1338">
                  <c:v>46126</c:v>
                </c:pt>
                <c:pt idx="1339">
                  <c:v>46127</c:v>
                </c:pt>
                <c:pt idx="1340">
                  <c:v>46127</c:v>
                </c:pt>
                <c:pt idx="1341">
                  <c:v>46127</c:v>
                </c:pt>
                <c:pt idx="1342">
                  <c:v>46127</c:v>
                </c:pt>
                <c:pt idx="1343">
                  <c:v>46136</c:v>
                </c:pt>
                <c:pt idx="1344">
                  <c:v>46128</c:v>
                </c:pt>
                <c:pt idx="1345">
                  <c:v>46127</c:v>
                </c:pt>
                <c:pt idx="1346">
                  <c:v>46127</c:v>
                </c:pt>
                <c:pt idx="1347">
                  <c:v>46129</c:v>
                </c:pt>
                <c:pt idx="1348">
                  <c:v>46127</c:v>
                </c:pt>
                <c:pt idx="1349">
                  <c:v>46127</c:v>
                </c:pt>
                <c:pt idx="1350">
                  <c:v>46127</c:v>
                </c:pt>
                <c:pt idx="1351">
                  <c:v>46127</c:v>
                </c:pt>
                <c:pt idx="1352">
                  <c:v>46141</c:v>
                </c:pt>
                <c:pt idx="1353">
                  <c:v>46141</c:v>
                </c:pt>
                <c:pt idx="1354">
                  <c:v>46127</c:v>
                </c:pt>
                <c:pt idx="1355">
                  <c:v>46127</c:v>
                </c:pt>
                <c:pt idx="1356">
                  <c:v>46135</c:v>
                </c:pt>
                <c:pt idx="1357">
                  <c:v>46127</c:v>
                </c:pt>
                <c:pt idx="1358">
                  <c:v>46127</c:v>
                </c:pt>
                <c:pt idx="1359">
                  <c:v>46153</c:v>
                </c:pt>
                <c:pt idx="1360">
                  <c:v>46127</c:v>
                </c:pt>
                <c:pt idx="1361">
                  <c:v>46127</c:v>
                </c:pt>
                <c:pt idx="1362">
                  <c:v>46127</c:v>
                </c:pt>
                <c:pt idx="1363">
                  <c:v>46140</c:v>
                </c:pt>
                <c:pt idx="1364">
                  <c:v>46127</c:v>
                </c:pt>
                <c:pt idx="1365">
                  <c:v>46127</c:v>
                </c:pt>
                <c:pt idx="1366">
                  <c:v>46127</c:v>
                </c:pt>
                <c:pt idx="1367">
                  <c:v>46141</c:v>
                </c:pt>
                <c:pt idx="1368">
                  <c:v>46127</c:v>
                </c:pt>
                <c:pt idx="1369">
                  <c:v>46127</c:v>
                </c:pt>
                <c:pt idx="1370">
                  <c:v>46128</c:v>
                </c:pt>
                <c:pt idx="1371">
                  <c:v>46128</c:v>
                </c:pt>
                <c:pt idx="1372">
                  <c:v>46146</c:v>
                </c:pt>
                <c:pt idx="1373">
                  <c:v>46128</c:v>
                </c:pt>
                <c:pt idx="1374">
                  <c:v>46141</c:v>
                </c:pt>
                <c:pt idx="1375">
                  <c:v>46128</c:v>
                </c:pt>
                <c:pt idx="1376">
                  <c:v>46128</c:v>
                </c:pt>
                <c:pt idx="1377">
                  <c:v>46146</c:v>
                </c:pt>
                <c:pt idx="1378">
                  <c:v>46140</c:v>
                </c:pt>
                <c:pt idx="1379">
                  <c:v>46128</c:v>
                </c:pt>
                <c:pt idx="1380">
                  <c:v>46128</c:v>
                </c:pt>
                <c:pt idx="1381">
                  <c:v>46128</c:v>
                </c:pt>
                <c:pt idx="1382">
                  <c:v>46148</c:v>
                </c:pt>
                <c:pt idx="1383">
                  <c:v>46128</c:v>
                </c:pt>
                <c:pt idx="1384">
                  <c:v>46140</c:v>
                </c:pt>
                <c:pt idx="1385">
                  <c:v>46128</c:v>
                </c:pt>
                <c:pt idx="1386">
                  <c:v>46128</c:v>
                </c:pt>
                <c:pt idx="1387">
                  <c:v>46128</c:v>
                </c:pt>
                <c:pt idx="1388">
                  <c:v>46128</c:v>
                </c:pt>
                <c:pt idx="1389">
                  <c:v>46128</c:v>
                </c:pt>
                <c:pt idx="1390">
                  <c:v>46128</c:v>
                </c:pt>
                <c:pt idx="1391">
                  <c:v>46128</c:v>
                </c:pt>
                <c:pt idx="1392">
                  <c:v>46142</c:v>
                </c:pt>
                <c:pt idx="1393">
                  <c:v>46136</c:v>
                </c:pt>
                <c:pt idx="1394">
                  <c:v>46129</c:v>
                </c:pt>
                <c:pt idx="1395">
                  <c:v>46129</c:v>
                </c:pt>
                <c:pt idx="1396">
                  <c:v>46140</c:v>
                </c:pt>
                <c:pt idx="1397">
                  <c:v>46139</c:v>
                </c:pt>
                <c:pt idx="1398">
                  <c:v>46129</c:v>
                </c:pt>
                <c:pt idx="1399">
                  <c:v>46141</c:v>
                </c:pt>
                <c:pt idx="1400">
                  <c:v>46136</c:v>
                </c:pt>
                <c:pt idx="1401">
                  <c:v>46141</c:v>
                </c:pt>
                <c:pt idx="1402">
                  <c:v>46140</c:v>
                </c:pt>
                <c:pt idx="1403">
                  <c:v>46134</c:v>
                </c:pt>
                <c:pt idx="1404">
                  <c:v>46142</c:v>
                </c:pt>
                <c:pt idx="1405">
                  <c:v>46141</c:v>
                </c:pt>
                <c:pt idx="1406">
                  <c:v>46134</c:v>
                </c:pt>
                <c:pt idx="1407">
                  <c:v>46134</c:v>
                </c:pt>
                <c:pt idx="1408">
                  <c:v>46134</c:v>
                </c:pt>
                <c:pt idx="1409">
                  <c:v>46134</c:v>
                </c:pt>
                <c:pt idx="1410">
                  <c:v>46134</c:v>
                </c:pt>
                <c:pt idx="1411">
                  <c:v>46134</c:v>
                </c:pt>
                <c:pt idx="1412">
                  <c:v>46141</c:v>
                </c:pt>
                <c:pt idx="1413">
                  <c:v>46135</c:v>
                </c:pt>
                <c:pt idx="1414">
                  <c:v>46135</c:v>
                </c:pt>
                <c:pt idx="1415">
                  <c:v>46135</c:v>
                </c:pt>
                <c:pt idx="1416">
                  <c:v>46135</c:v>
                </c:pt>
                <c:pt idx="1417">
                  <c:v>46135</c:v>
                </c:pt>
                <c:pt idx="1418">
                  <c:v>46135</c:v>
                </c:pt>
                <c:pt idx="1419">
                  <c:v>46135</c:v>
                </c:pt>
                <c:pt idx="1420">
                  <c:v>46141</c:v>
                </c:pt>
                <c:pt idx="1421">
                  <c:v>46142</c:v>
                </c:pt>
                <c:pt idx="1422">
                  <c:v>46136</c:v>
                </c:pt>
                <c:pt idx="1423">
                  <c:v>46135</c:v>
                </c:pt>
                <c:pt idx="1424">
                  <c:v>46135</c:v>
                </c:pt>
                <c:pt idx="1425">
                  <c:v>46150</c:v>
                </c:pt>
                <c:pt idx="1426">
                  <c:v>46146</c:v>
                </c:pt>
                <c:pt idx="1427">
                  <c:v>46135</c:v>
                </c:pt>
                <c:pt idx="1428">
                  <c:v>46141</c:v>
                </c:pt>
                <c:pt idx="1429">
                  <c:v>46135</c:v>
                </c:pt>
                <c:pt idx="1430">
                  <c:v>46135</c:v>
                </c:pt>
                <c:pt idx="1431">
                  <c:v>46141</c:v>
                </c:pt>
                <c:pt idx="1432">
                  <c:v>46149</c:v>
                </c:pt>
                <c:pt idx="1433">
                  <c:v>46136</c:v>
                </c:pt>
                <c:pt idx="1434">
                  <c:v>46136</c:v>
                </c:pt>
                <c:pt idx="1435">
                  <c:v>46136</c:v>
                </c:pt>
                <c:pt idx="1436">
                  <c:v>46136</c:v>
                </c:pt>
                <c:pt idx="1437">
                  <c:v>46141</c:v>
                </c:pt>
                <c:pt idx="1438">
                  <c:v>46141</c:v>
                </c:pt>
                <c:pt idx="1439">
                  <c:v>46136</c:v>
                </c:pt>
                <c:pt idx="1440">
                  <c:v>46141</c:v>
                </c:pt>
                <c:pt idx="1441">
                  <c:v>46141</c:v>
                </c:pt>
                <c:pt idx="1442">
                  <c:v>46153</c:v>
                </c:pt>
                <c:pt idx="1443">
                  <c:v>46147</c:v>
                </c:pt>
                <c:pt idx="1444">
                  <c:v>46147</c:v>
                </c:pt>
                <c:pt idx="1445">
                  <c:v>46147</c:v>
                </c:pt>
                <c:pt idx="1446">
                  <c:v>46141</c:v>
                </c:pt>
                <c:pt idx="1447">
                  <c:v>46140</c:v>
                </c:pt>
                <c:pt idx="1448">
                  <c:v>46141</c:v>
                </c:pt>
                <c:pt idx="1449">
                  <c:v>46146</c:v>
                </c:pt>
                <c:pt idx="1450">
                  <c:v>46147</c:v>
                </c:pt>
                <c:pt idx="1451">
                  <c:v>46146</c:v>
                </c:pt>
                <c:pt idx="1452">
                  <c:v>46136</c:v>
                </c:pt>
                <c:pt idx="1453">
                  <c:v>46142</c:v>
                </c:pt>
                <c:pt idx="1454">
                  <c:v>46136</c:v>
                </c:pt>
                <c:pt idx="1455">
                  <c:v>46136</c:v>
                </c:pt>
                <c:pt idx="1456">
                  <c:v>46136</c:v>
                </c:pt>
                <c:pt idx="1457">
                  <c:v>46136</c:v>
                </c:pt>
                <c:pt idx="1458">
                  <c:v>46136</c:v>
                </c:pt>
                <c:pt idx="1459">
                  <c:v>46136</c:v>
                </c:pt>
                <c:pt idx="1460">
                  <c:v>46136</c:v>
                </c:pt>
                <c:pt idx="1461">
                  <c:v>46136</c:v>
                </c:pt>
                <c:pt idx="1462">
                  <c:v>46146</c:v>
                </c:pt>
                <c:pt idx="1463">
                  <c:v>46146</c:v>
                </c:pt>
                <c:pt idx="1464">
                  <c:v>46146</c:v>
                </c:pt>
                <c:pt idx="1465">
                  <c:v>46146</c:v>
                </c:pt>
                <c:pt idx="1466">
                  <c:v>46146</c:v>
                </c:pt>
                <c:pt idx="1467">
                  <c:v>46141</c:v>
                </c:pt>
                <c:pt idx="1468">
                  <c:v>46136</c:v>
                </c:pt>
                <c:pt idx="1469">
                  <c:v>46139</c:v>
                </c:pt>
                <c:pt idx="1470">
                  <c:v>46140</c:v>
                </c:pt>
                <c:pt idx="1471">
                  <c:v>46140</c:v>
                </c:pt>
                <c:pt idx="1472">
                  <c:v>46140</c:v>
                </c:pt>
                <c:pt idx="1473">
                  <c:v>46139</c:v>
                </c:pt>
                <c:pt idx="1474">
                  <c:v>46140</c:v>
                </c:pt>
                <c:pt idx="1475">
                  <c:v>46139</c:v>
                </c:pt>
                <c:pt idx="1476">
                  <c:v>46141</c:v>
                </c:pt>
                <c:pt idx="1477">
                  <c:v>46139</c:v>
                </c:pt>
                <c:pt idx="1478">
                  <c:v>46139</c:v>
                </c:pt>
                <c:pt idx="1479">
                  <c:v>46147</c:v>
                </c:pt>
                <c:pt idx="1480">
                  <c:v>46140</c:v>
                </c:pt>
                <c:pt idx="1481">
                  <c:v>46146</c:v>
                </c:pt>
                <c:pt idx="1482">
                  <c:v>46141</c:v>
                </c:pt>
                <c:pt idx="1483">
                  <c:v>46154</c:v>
                </c:pt>
                <c:pt idx="1484">
                  <c:v>46154</c:v>
                </c:pt>
                <c:pt idx="1485">
                  <c:v>46141</c:v>
                </c:pt>
                <c:pt idx="1486">
                  <c:v>46160</c:v>
                </c:pt>
                <c:pt idx="1487">
                  <c:v>46140</c:v>
                </c:pt>
                <c:pt idx="1488">
                  <c:v>46140</c:v>
                </c:pt>
                <c:pt idx="1489">
                  <c:v>46140</c:v>
                </c:pt>
                <c:pt idx="1490">
                  <c:v>46140</c:v>
                </c:pt>
                <c:pt idx="1491">
                  <c:v>46141</c:v>
                </c:pt>
                <c:pt idx="1492">
                  <c:v>46147</c:v>
                </c:pt>
                <c:pt idx="1493">
                  <c:v>46141</c:v>
                </c:pt>
                <c:pt idx="1494">
                  <c:v>46142</c:v>
                </c:pt>
                <c:pt idx="1495">
                  <c:v>46141</c:v>
                </c:pt>
                <c:pt idx="1496">
                  <c:v>46141</c:v>
                </c:pt>
                <c:pt idx="1497">
                  <c:v>46141</c:v>
                </c:pt>
                <c:pt idx="1498">
                  <c:v>46141</c:v>
                </c:pt>
                <c:pt idx="1499">
                  <c:v>46147</c:v>
                </c:pt>
                <c:pt idx="1500">
                  <c:v>46141</c:v>
                </c:pt>
                <c:pt idx="1501">
                  <c:v>46141</c:v>
                </c:pt>
                <c:pt idx="1502">
                  <c:v>46141</c:v>
                </c:pt>
                <c:pt idx="1503">
                  <c:v>46154</c:v>
                </c:pt>
                <c:pt idx="1504">
                  <c:v>46141</c:v>
                </c:pt>
                <c:pt idx="1505">
                  <c:v>46141</c:v>
                </c:pt>
                <c:pt idx="1506">
                  <c:v>46141</c:v>
                </c:pt>
                <c:pt idx="1507">
                  <c:v>46141</c:v>
                </c:pt>
                <c:pt idx="1508">
                  <c:v>46141</c:v>
                </c:pt>
                <c:pt idx="1509">
                  <c:v>46147</c:v>
                </c:pt>
                <c:pt idx="1510">
                  <c:v>46147</c:v>
                </c:pt>
                <c:pt idx="1511">
                  <c:v>46141</c:v>
                </c:pt>
                <c:pt idx="1512">
                  <c:v>46141</c:v>
                </c:pt>
                <c:pt idx="1513">
                  <c:v>46150</c:v>
                </c:pt>
                <c:pt idx="1514">
                  <c:v>46141</c:v>
                </c:pt>
                <c:pt idx="1515">
                  <c:v>46147</c:v>
                </c:pt>
                <c:pt idx="1516">
                  <c:v>46141</c:v>
                </c:pt>
                <c:pt idx="1517">
                  <c:v>46141</c:v>
                </c:pt>
                <c:pt idx="1518">
                  <c:v>46149</c:v>
                </c:pt>
                <c:pt idx="1519">
                  <c:v>46153</c:v>
                </c:pt>
                <c:pt idx="1520">
                  <c:v>46150</c:v>
                </c:pt>
                <c:pt idx="1521">
                  <c:v>46153</c:v>
                </c:pt>
                <c:pt idx="1522">
                  <c:v>46142</c:v>
                </c:pt>
                <c:pt idx="1523">
                  <c:v>46153</c:v>
                </c:pt>
                <c:pt idx="1524">
                  <c:v>46149</c:v>
                </c:pt>
                <c:pt idx="1525">
                  <c:v>46142</c:v>
                </c:pt>
                <c:pt idx="1526">
                  <c:v>46146</c:v>
                </c:pt>
                <c:pt idx="1527">
                  <c:v>46146</c:v>
                </c:pt>
                <c:pt idx="1528">
                  <c:v>46148</c:v>
                </c:pt>
                <c:pt idx="1529">
                  <c:v>46146</c:v>
                </c:pt>
                <c:pt idx="1530">
                  <c:v>46148</c:v>
                </c:pt>
                <c:pt idx="1531">
                  <c:v>46146</c:v>
                </c:pt>
                <c:pt idx="1532">
                  <c:v>46147</c:v>
                </c:pt>
                <c:pt idx="1533">
                  <c:v>46146</c:v>
                </c:pt>
                <c:pt idx="1534">
                  <c:v>46146</c:v>
                </c:pt>
                <c:pt idx="1535">
                  <c:v>46148</c:v>
                </c:pt>
                <c:pt idx="1536">
                  <c:v>46146</c:v>
                </c:pt>
                <c:pt idx="1537">
                  <c:v>46153</c:v>
                </c:pt>
                <c:pt idx="1538">
                  <c:v>46154</c:v>
                </c:pt>
                <c:pt idx="1539">
                  <c:v>46153</c:v>
                </c:pt>
                <c:pt idx="1540">
                  <c:v>46153</c:v>
                </c:pt>
                <c:pt idx="1541">
                  <c:v>46147</c:v>
                </c:pt>
                <c:pt idx="1542">
                  <c:v>46150</c:v>
                </c:pt>
                <c:pt idx="1543">
                  <c:v>46153</c:v>
                </c:pt>
                <c:pt idx="1544">
                  <c:v>46147</c:v>
                </c:pt>
                <c:pt idx="1545">
                  <c:v>46147</c:v>
                </c:pt>
                <c:pt idx="1546">
                  <c:v>46147</c:v>
                </c:pt>
                <c:pt idx="1547">
                  <c:v>46149</c:v>
                </c:pt>
                <c:pt idx="1548">
                  <c:v>46149</c:v>
                </c:pt>
                <c:pt idx="1549">
                  <c:v>46147</c:v>
                </c:pt>
                <c:pt idx="1550">
                  <c:v>46149</c:v>
                </c:pt>
                <c:pt idx="1551">
                  <c:v>46147</c:v>
                </c:pt>
                <c:pt idx="1552">
                  <c:v>46150</c:v>
                </c:pt>
                <c:pt idx="1553">
                  <c:v>46153</c:v>
                </c:pt>
                <c:pt idx="1554">
                  <c:v>46150</c:v>
                </c:pt>
                <c:pt idx="1555">
                  <c:v>46153</c:v>
                </c:pt>
                <c:pt idx="1556">
                  <c:v>46150</c:v>
                </c:pt>
                <c:pt idx="1557">
                  <c:v>46150</c:v>
                </c:pt>
                <c:pt idx="1558">
                  <c:v>46153</c:v>
                </c:pt>
                <c:pt idx="1559">
                  <c:v>46148</c:v>
                </c:pt>
                <c:pt idx="1560">
                  <c:v>46147</c:v>
                </c:pt>
                <c:pt idx="1561">
                  <c:v>46147</c:v>
                </c:pt>
                <c:pt idx="1562">
                  <c:v>46153</c:v>
                </c:pt>
                <c:pt idx="1563">
                  <c:v>46153</c:v>
                </c:pt>
                <c:pt idx="1564">
                  <c:v>46153</c:v>
                </c:pt>
                <c:pt idx="1565">
                  <c:v>46153</c:v>
                </c:pt>
                <c:pt idx="1566">
                  <c:v>46153</c:v>
                </c:pt>
                <c:pt idx="1567">
                  <c:v>46153</c:v>
                </c:pt>
                <c:pt idx="1568">
                  <c:v>46153</c:v>
                </c:pt>
                <c:pt idx="1569">
                  <c:v>46147</c:v>
                </c:pt>
                <c:pt idx="1570">
                  <c:v>46147</c:v>
                </c:pt>
                <c:pt idx="1571">
                  <c:v>46147</c:v>
                </c:pt>
                <c:pt idx="1572">
                  <c:v>46147</c:v>
                </c:pt>
                <c:pt idx="1573">
                  <c:v>46147</c:v>
                </c:pt>
                <c:pt idx="1574">
                  <c:v>46153</c:v>
                </c:pt>
                <c:pt idx="1575">
                  <c:v>46147</c:v>
                </c:pt>
                <c:pt idx="1576">
                  <c:v>46147</c:v>
                </c:pt>
                <c:pt idx="1577">
                  <c:v>46150</c:v>
                </c:pt>
                <c:pt idx="1578">
                  <c:v>46154</c:v>
                </c:pt>
                <c:pt idx="1579">
                  <c:v>46147</c:v>
                </c:pt>
                <c:pt idx="1580">
                  <c:v>46153</c:v>
                </c:pt>
                <c:pt idx="1581">
                  <c:v>46147</c:v>
                </c:pt>
                <c:pt idx="1582">
                  <c:v>46147</c:v>
                </c:pt>
                <c:pt idx="1583">
                  <c:v>46147</c:v>
                </c:pt>
                <c:pt idx="1584">
                  <c:v>46153</c:v>
                </c:pt>
                <c:pt idx="1585">
                  <c:v>46153</c:v>
                </c:pt>
                <c:pt idx="1586">
                  <c:v>46147</c:v>
                </c:pt>
                <c:pt idx="1587">
                  <c:v>46147</c:v>
                </c:pt>
                <c:pt idx="1588">
                  <c:v>46147</c:v>
                </c:pt>
                <c:pt idx="1589">
                  <c:v>46147</c:v>
                </c:pt>
                <c:pt idx="1590">
                  <c:v>46147</c:v>
                </c:pt>
                <c:pt idx="1591">
                  <c:v>46147</c:v>
                </c:pt>
                <c:pt idx="1592">
                  <c:v>46147</c:v>
                </c:pt>
                <c:pt idx="1593">
                  <c:v>46147</c:v>
                </c:pt>
                <c:pt idx="1594">
                  <c:v>46147</c:v>
                </c:pt>
                <c:pt idx="1595">
                  <c:v>46147</c:v>
                </c:pt>
                <c:pt idx="1596">
                  <c:v>46147</c:v>
                </c:pt>
                <c:pt idx="1597">
                  <c:v>46147</c:v>
                </c:pt>
                <c:pt idx="1598">
                  <c:v>46147</c:v>
                </c:pt>
                <c:pt idx="1599">
                  <c:v>46147</c:v>
                </c:pt>
                <c:pt idx="1600">
                  <c:v>46154</c:v>
                </c:pt>
                <c:pt idx="1601">
                  <c:v>46154</c:v>
                </c:pt>
                <c:pt idx="1602">
                  <c:v>46147</c:v>
                </c:pt>
                <c:pt idx="1603">
                  <c:v>46147</c:v>
                </c:pt>
                <c:pt idx="1604">
                  <c:v>46147</c:v>
                </c:pt>
                <c:pt idx="1605">
                  <c:v>46148</c:v>
                </c:pt>
                <c:pt idx="1606">
                  <c:v>46154</c:v>
                </c:pt>
                <c:pt idx="1607">
                  <c:v>46148</c:v>
                </c:pt>
                <c:pt idx="1608">
                  <c:v>46148</c:v>
                </c:pt>
                <c:pt idx="1609">
                  <c:v>46148</c:v>
                </c:pt>
                <c:pt idx="1610">
                  <c:v>46148</c:v>
                </c:pt>
                <c:pt idx="1611">
                  <c:v>46150</c:v>
                </c:pt>
                <c:pt idx="1612">
                  <c:v>46148</c:v>
                </c:pt>
                <c:pt idx="1613">
                  <c:v>46153</c:v>
                </c:pt>
                <c:pt idx="1614">
                  <c:v>46153</c:v>
                </c:pt>
                <c:pt idx="1615">
                  <c:v>46148</c:v>
                </c:pt>
                <c:pt idx="1616">
                  <c:v>46150</c:v>
                </c:pt>
                <c:pt idx="1617">
                  <c:v>46148</c:v>
                </c:pt>
                <c:pt idx="1618">
                  <c:v>46153</c:v>
                </c:pt>
                <c:pt idx="1619">
                  <c:v>46153</c:v>
                </c:pt>
                <c:pt idx="1620">
                  <c:v>46148</c:v>
                </c:pt>
                <c:pt idx="1621">
                  <c:v>46148</c:v>
                </c:pt>
                <c:pt idx="1622">
                  <c:v>46153</c:v>
                </c:pt>
                <c:pt idx="1623">
                  <c:v>46154</c:v>
                </c:pt>
                <c:pt idx="1624">
                  <c:v>46148</c:v>
                </c:pt>
                <c:pt idx="1625">
                  <c:v>46148</c:v>
                </c:pt>
                <c:pt idx="1626">
                  <c:v>46148</c:v>
                </c:pt>
                <c:pt idx="1627">
                  <c:v>46148</c:v>
                </c:pt>
                <c:pt idx="1628">
                  <c:v>46154</c:v>
                </c:pt>
                <c:pt idx="1629">
                  <c:v>46148</c:v>
                </c:pt>
                <c:pt idx="1630">
                  <c:v>46148</c:v>
                </c:pt>
                <c:pt idx="1631">
                  <c:v>46148</c:v>
                </c:pt>
                <c:pt idx="1632">
                  <c:v>46148</c:v>
                </c:pt>
                <c:pt idx="1633">
                  <c:v>46153</c:v>
                </c:pt>
                <c:pt idx="1634">
                  <c:v>46148</c:v>
                </c:pt>
                <c:pt idx="1635">
                  <c:v>46148</c:v>
                </c:pt>
                <c:pt idx="1636">
                  <c:v>46148</c:v>
                </c:pt>
                <c:pt idx="1637">
                  <c:v>46149</c:v>
                </c:pt>
                <c:pt idx="1638">
                  <c:v>46154</c:v>
                </c:pt>
                <c:pt idx="1639">
                  <c:v>46154</c:v>
                </c:pt>
                <c:pt idx="1640">
                  <c:v>46149</c:v>
                </c:pt>
                <c:pt idx="1641">
                  <c:v>46149</c:v>
                </c:pt>
                <c:pt idx="1642">
                  <c:v>46149</c:v>
                </c:pt>
                <c:pt idx="1643">
                  <c:v>46149</c:v>
                </c:pt>
                <c:pt idx="1644">
                  <c:v>46154</c:v>
                </c:pt>
                <c:pt idx="1645">
                  <c:v>46149</c:v>
                </c:pt>
                <c:pt idx="1646">
                  <c:v>46149</c:v>
                </c:pt>
                <c:pt idx="1647">
                  <c:v>46149</c:v>
                </c:pt>
                <c:pt idx="1648">
                  <c:v>46154</c:v>
                </c:pt>
                <c:pt idx="1649">
                  <c:v>46149</c:v>
                </c:pt>
                <c:pt idx="1650">
                  <c:v>46149</c:v>
                </c:pt>
                <c:pt idx="1651">
                  <c:v>46149</c:v>
                </c:pt>
                <c:pt idx="1652">
                  <c:v>46149</c:v>
                </c:pt>
                <c:pt idx="1653">
                  <c:v>46149</c:v>
                </c:pt>
                <c:pt idx="1654">
                  <c:v>46154</c:v>
                </c:pt>
                <c:pt idx="1655">
                  <c:v>46149</c:v>
                </c:pt>
                <c:pt idx="1656">
                  <c:v>46149</c:v>
                </c:pt>
                <c:pt idx="1657">
                  <c:v>46149</c:v>
                </c:pt>
                <c:pt idx="1658">
                  <c:v>46149</c:v>
                </c:pt>
                <c:pt idx="1659">
                  <c:v>46149</c:v>
                </c:pt>
                <c:pt idx="1660">
                  <c:v>46149</c:v>
                </c:pt>
                <c:pt idx="1661">
                  <c:v>46149</c:v>
                </c:pt>
                <c:pt idx="1662">
                  <c:v>46149</c:v>
                </c:pt>
                <c:pt idx="1663">
                  <c:v>46149</c:v>
                </c:pt>
                <c:pt idx="1664">
                  <c:v>46149</c:v>
                </c:pt>
                <c:pt idx="1665">
                  <c:v>46149</c:v>
                </c:pt>
                <c:pt idx="1666">
                  <c:v>46153</c:v>
                </c:pt>
                <c:pt idx="1667">
                  <c:v>46154</c:v>
                </c:pt>
                <c:pt idx="1668">
                  <c:v>46149</c:v>
                </c:pt>
                <c:pt idx="1669">
                  <c:v>46149</c:v>
                </c:pt>
                <c:pt idx="1670">
                  <c:v>46150</c:v>
                </c:pt>
                <c:pt idx="1671">
                  <c:v>46150</c:v>
                </c:pt>
                <c:pt idx="1672">
                  <c:v>46150</c:v>
                </c:pt>
                <c:pt idx="1673">
                  <c:v>46150</c:v>
                </c:pt>
                <c:pt idx="1674">
                  <c:v>46150</c:v>
                </c:pt>
                <c:pt idx="1675">
                  <c:v>46150</c:v>
                </c:pt>
                <c:pt idx="1676">
                  <c:v>46150</c:v>
                </c:pt>
                <c:pt idx="1677">
                  <c:v>46150</c:v>
                </c:pt>
                <c:pt idx="1678">
                  <c:v>46154</c:v>
                </c:pt>
                <c:pt idx="1679">
                  <c:v>46156</c:v>
                </c:pt>
                <c:pt idx="1680">
                  <c:v>46161</c:v>
                </c:pt>
                <c:pt idx="1681">
                  <c:v>46161</c:v>
                </c:pt>
                <c:pt idx="1682">
                  <c:v>46156</c:v>
                </c:pt>
                <c:pt idx="1683">
                  <c:v>46155</c:v>
                </c:pt>
                <c:pt idx="1684">
                  <c:v>46150</c:v>
                </c:pt>
                <c:pt idx="1685">
                  <c:v>46150</c:v>
                </c:pt>
                <c:pt idx="1686">
                  <c:v>46154</c:v>
                </c:pt>
                <c:pt idx="1687">
                  <c:v>46153</c:v>
                </c:pt>
                <c:pt idx="1688">
                  <c:v>46150</c:v>
                </c:pt>
                <c:pt idx="1689">
                  <c:v>46150</c:v>
                </c:pt>
                <c:pt idx="1690">
                  <c:v>46150</c:v>
                </c:pt>
                <c:pt idx="1691">
                  <c:v>46155</c:v>
                </c:pt>
                <c:pt idx="1692">
                  <c:v>46154</c:v>
                </c:pt>
                <c:pt idx="1693">
                  <c:v>46156</c:v>
                </c:pt>
                <c:pt idx="1694">
                  <c:v>46150</c:v>
                </c:pt>
                <c:pt idx="1695">
                  <c:v>46156</c:v>
                </c:pt>
                <c:pt idx="1696">
                  <c:v>46157</c:v>
                </c:pt>
                <c:pt idx="1697">
                  <c:v>46155</c:v>
                </c:pt>
                <c:pt idx="1698">
                  <c:v>46153</c:v>
                </c:pt>
                <c:pt idx="1699">
                  <c:v>46153</c:v>
                </c:pt>
                <c:pt idx="1700">
                  <c:v>46153</c:v>
                </c:pt>
                <c:pt idx="1701">
                  <c:v>46156</c:v>
                </c:pt>
                <c:pt idx="1702">
                  <c:v>46153</c:v>
                </c:pt>
                <c:pt idx="1703">
                  <c:v>46153</c:v>
                </c:pt>
                <c:pt idx="1704">
                  <c:v>46153</c:v>
                </c:pt>
                <c:pt idx="1705">
                  <c:v>46153</c:v>
                </c:pt>
                <c:pt idx="1706">
                  <c:v>46155</c:v>
                </c:pt>
                <c:pt idx="1707">
                  <c:v>46153</c:v>
                </c:pt>
                <c:pt idx="1708">
                  <c:v>46156</c:v>
                </c:pt>
                <c:pt idx="1709">
                  <c:v>46153</c:v>
                </c:pt>
                <c:pt idx="1710">
                  <c:v>46157</c:v>
                </c:pt>
                <c:pt idx="1711">
                  <c:v>46156</c:v>
                </c:pt>
                <c:pt idx="1712">
                  <c:v>46153</c:v>
                </c:pt>
                <c:pt idx="1713">
                  <c:v>46156</c:v>
                </c:pt>
                <c:pt idx="1714">
                  <c:v>46160</c:v>
                </c:pt>
                <c:pt idx="1715">
                  <c:v>46160</c:v>
                </c:pt>
                <c:pt idx="1716">
                  <c:v>46156</c:v>
                </c:pt>
                <c:pt idx="1717">
                  <c:v>46154</c:v>
                </c:pt>
                <c:pt idx="1718">
                  <c:v>46160</c:v>
                </c:pt>
                <c:pt idx="1719">
                  <c:v>46160</c:v>
                </c:pt>
                <c:pt idx="1720">
                  <c:v>46160</c:v>
                </c:pt>
                <c:pt idx="1721">
                  <c:v>46160</c:v>
                </c:pt>
                <c:pt idx="1722">
                  <c:v>46161</c:v>
                </c:pt>
                <c:pt idx="1723">
                  <c:v>46154</c:v>
                </c:pt>
                <c:pt idx="1724">
                  <c:v>46161</c:v>
                </c:pt>
                <c:pt idx="1725">
                  <c:v>46156</c:v>
                </c:pt>
                <c:pt idx="1726">
                  <c:v>46154</c:v>
                </c:pt>
                <c:pt idx="1727">
                  <c:v>46161</c:v>
                </c:pt>
                <c:pt idx="1728">
                  <c:v>46160</c:v>
                </c:pt>
                <c:pt idx="1729">
                  <c:v>46154</c:v>
                </c:pt>
                <c:pt idx="1730">
                  <c:v>46154</c:v>
                </c:pt>
                <c:pt idx="1731">
                  <c:v>46156</c:v>
                </c:pt>
                <c:pt idx="1732">
                  <c:v>46154</c:v>
                </c:pt>
                <c:pt idx="1733">
                  <c:v>46156</c:v>
                </c:pt>
                <c:pt idx="1734">
                  <c:v>46154</c:v>
                </c:pt>
                <c:pt idx="1735">
                  <c:v>46154</c:v>
                </c:pt>
                <c:pt idx="1736">
                  <c:v>46155</c:v>
                </c:pt>
                <c:pt idx="1737">
                  <c:v>46154</c:v>
                </c:pt>
                <c:pt idx="1738">
                  <c:v>46154</c:v>
                </c:pt>
                <c:pt idx="1739">
                  <c:v>46161</c:v>
                </c:pt>
                <c:pt idx="1740">
                  <c:v>46160</c:v>
                </c:pt>
                <c:pt idx="1741">
                  <c:v>46154</c:v>
                </c:pt>
                <c:pt idx="1742">
                  <c:v>46154</c:v>
                </c:pt>
                <c:pt idx="1743">
                  <c:v>46154</c:v>
                </c:pt>
                <c:pt idx="1744">
                  <c:v>46154</c:v>
                </c:pt>
                <c:pt idx="1745">
                  <c:v>46154</c:v>
                </c:pt>
                <c:pt idx="1746">
                  <c:v>46154</c:v>
                </c:pt>
                <c:pt idx="1747">
                  <c:v>46154</c:v>
                </c:pt>
                <c:pt idx="1748">
                  <c:v>46154</c:v>
                </c:pt>
                <c:pt idx="1749">
                  <c:v>46154</c:v>
                </c:pt>
                <c:pt idx="1750">
                  <c:v>46155</c:v>
                </c:pt>
                <c:pt idx="1751">
                  <c:v>46161</c:v>
                </c:pt>
                <c:pt idx="1752">
                  <c:v>46154</c:v>
                </c:pt>
                <c:pt idx="1753">
                  <c:v>46154</c:v>
                </c:pt>
                <c:pt idx="1754">
                  <c:v>46154</c:v>
                </c:pt>
                <c:pt idx="1755">
                  <c:v>46154</c:v>
                </c:pt>
                <c:pt idx="1756">
                  <c:v>46154</c:v>
                </c:pt>
                <c:pt idx="1757">
                  <c:v>46154</c:v>
                </c:pt>
                <c:pt idx="1758">
                  <c:v>46154</c:v>
                </c:pt>
                <c:pt idx="1759">
                  <c:v>46161</c:v>
                </c:pt>
                <c:pt idx="1760">
                  <c:v>46154</c:v>
                </c:pt>
                <c:pt idx="1761">
                  <c:v>46160</c:v>
                </c:pt>
                <c:pt idx="1762">
                  <c:v>46154</c:v>
                </c:pt>
                <c:pt idx="1763">
                  <c:v>46161</c:v>
                </c:pt>
                <c:pt idx="1764">
                  <c:v>46161</c:v>
                </c:pt>
                <c:pt idx="1765">
                  <c:v>46155</c:v>
                </c:pt>
                <c:pt idx="1766">
                  <c:v>46155</c:v>
                </c:pt>
                <c:pt idx="1767">
                  <c:v>46155</c:v>
                </c:pt>
                <c:pt idx="1768">
                  <c:v>46160</c:v>
                </c:pt>
                <c:pt idx="1769">
                  <c:v>46160</c:v>
                </c:pt>
                <c:pt idx="1770">
                  <c:v>46157</c:v>
                </c:pt>
                <c:pt idx="1771">
                  <c:v>46157</c:v>
                </c:pt>
                <c:pt idx="1772">
                  <c:v>46157</c:v>
                </c:pt>
                <c:pt idx="1773">
                  <c:v>46155</c:v>
                </c:pt>
                <c:pt idx="1774">
                  <c:v>46155</c:v>
                </c:pt>
                <c:pt idx="1775">
                  <c:v>46161</c:v>
                </c:pt>
                <c:pt idx="1776">
                  <c:v>46155</c:v>
                </c:pt>
                <c:pt idx="1777">
                  <c:v>46157</c:v>
                </c:pt>
                <c:pt idx="1778">
                  <c:v>46155</c:v>
                </c:pt>
                <c:pt idx="1779">
                  <c:v>46155</c:v>
                </c:pt>
                <c:pt idx="1780">
                  <c:v>46155</c:v>
                </c:pt>
                <c:pt idx="1781">
                  <c:v>46155</c:v>
                </c:pt>
                <c:pt idx="1782">
                  <c:v>46155</c:v>
                </c:pt>
                <c:pt idx="1783">
                  <c:v>46156</c:v>
                </c:pt>
                <c:pt idx="1784">
                  <c:v>46161</c:v>
                </c:pt>
                <c:pt idx="1785">
                  <c:v>46155</c:v>
                </c:pt>
                <c:pt idx="1786">
                  <c:v>46155</c:v>
                </c:pt>
                <c:pt idx="1787">
                  <c:v>46157</c:v>
                </c:pt>
                <c:pt idx="1788">
                  <c:v>46156</c:v>
                </c:pt>
                <c:pt idx="1789">
                  <c:v>46156</c:v>
                </c:pt>
                <c:pt idx="1790">
                  <c:v>46156</c:v>
                </c:pt>
                <c:pt idx="1791">
                  <c:v>46156</c:v>
                </c:pt>
                <c:pt idx="1792">
                  <c:v>46160</c:v>
                </c:pt>
                <c:pt idx="1793">
                  <c:v>46156</c:v>
                </c:pt>
                <c:pt idx="1794">
                  <c:v>46156</c:v>
                </c:pt>
                <c:pt idx="1795">
                  <c:v>46156</c:v>
                </c:pt>
                <c:pt idx="1796">
                  <c:v>46157</c:v>
                </c:pt>
                <c:pt idx="1797">
                  <c:v>46157</c:v>
                </c:pt>
                <c:pt idx="1798">
                  <c:v>46157</c:v>
                </c:pt>
                <c:pt idx="1799">
                  <c:v>46157</c:v>
                </c:pt>
                <c:pt idx="1800">
                  <c:v>46157</c:v>
                </c:pt>
                <c:pt idx="1801">
                  <c:v>46157</c:v>
                </c:pt>
                <c:pt idx="1802">
                  <c:v>46157</c:v>
                </c:pt>
                <c:pt idx="1803">
                  <c:v>46157</c:v>
                </c:pt>
                <c:pt idx="1804">
                  <c:v>46157</c:v>
                </c:pt>
                <c:pt idx="1805">
                  <c:v>46157</c:v>
                </c:pt>
                <c:pt idx="1806">
                  <c:v>46157</c:v>
                </c:pt>
                <c:pt idx="1807">
                  <c:v>46157</c:v>
                </c:pt>
                <c:pt idx="1808">
                  <c:v>46157</c:v>
                </c:pt>
                <c:pt idx="1809">
                  <c:v>46157</c:v>
                </c:pt>
                <c:pt idx="1810">
                  <c:v>46157</c:v>
                </c:pt>
                <c:pt idx="1811">
                  <c:v>46157</c:v>
                </c:pt>
                <c:pt idx="1812">
                  <c:v>46157</c:v>
                </c:pt>
                <c:pt idx="1813">
                  <c:v>46157</c:v>
                </c:pt>
                <c:pt idx="1814">
                  <c:v>46160</c:v>
                </c:pt>
                <c:pt idx="1815">
                  <c:v>46160</c:v>
                </c:pt>
                <c:pt idx="1816">
                  <c:v>46160</c:v>
                </c:pt>
                <c:pt idx="1817">
                  <c:v>46160</c:v>
                </c:pt>
                <c:pt idx="1818">
                  <c:v>46160</c:v>
                </c:pt>
                <c:pt idx="1819">
                  <c:v>46160</c:v>
                </c:pt>
                <c:pt idx="1820">
                  <c:v>46160</c:v>
                </c:pt>
                <c:pt idx="1821">
                  <c:v>46160</c:v>
                </c:pt>
                <c:pt idx="1822">
                  <c:v>46160</c:v>
                </c:pt>
                <c:pt idx="1823">
                  <c:v>46160</c:v>
                </c:pt>
                <c:pt idx="1824">
                  <c:v>46160</c:v>
                </c:pt>
                <c:pt idx="1825">
                  <c:v>46160</c:v>
                </c:pt>
                <c:pt idx="1826">
                  <c:v>46160</c:v>
                </c:pt>
                <c:pt idx="1827">
                  <c:v>46160</c:v>
                </c:pt>
                <c:pt idx="1828">
                  <c:v>46160</c:v>
                </c:pt>
                <c:pt idx="1829">
                  <c:v>46160</c:v>
                </c:pt>
                <c:pt idx="1830">
                  <c:v>46160</c:v>
                </c:pt>
                <c:pt idx="1831">
                  <c:v>46160</c:v>
                </c:pt>
                <c:pt idx="1832">
                  <c:v>46160</c:v>
                </c:pt>
                <c:pt idx="1833">
                  <c:v>46160</c:v>
                </c:pt>
                <c:pt idx="1834">
                  <c:v>46160</c:v>
                </c:pt>
                <c:pt idx="1835">
                  <c:v>46160</c:v>
                </c:pt>
                <c:pt idx="1836">
                  <c:v>46160</c:v>
                </c:pt>
                <c:pt idx="1837">
                  <c:v>46160</c:v>
                </c:pt>
                <c:pt idx="1838">
                  <c:v>46160</c:v>
                </c:pt>
                <c:pt idx="1839">
                  <c:v>46160</c:v>
                </c:pt>
                <c:pt idx="1840">
                  <c:v>46160</c:v>
                </c:pt>
                <c:pt idx="1841">
                  <c:v>46160</c:v>
                </c:pt>
                <c:pt idx="1842">
                  <c:v>46160</c:v>
                </c:pt>
                <c:pt idx="1843">
                  <c:v>46160</c:v>
                </c:pt>
                <c:pt idx="1844">
                  <c:v>46160</c:v>
                </c:pt>
                <c:pt idx="1845">
                  <c:v>46160</c:v>
                </c:pt>
                <c:pt idx="1846">
                  <c:v>46160</c:v>
                </c:pt>
                <c:pt idx="1847">
                  <c:v>46160</c:v>
                </c:pt>
                <c:pt idx="1848">
                  <c:v>46160</c:v>
                </c:pt>
                <c:pt idx="1849">
                  <c:v>46160</c:v>
                </c:pt>
                <c:pt idx="1850">
                  <c:v>46160</c:v>
                </c:pt>
                <c:pt idx="1851">
                  <c:v>46160</c:v>
                </c:pt>
                <c:pt idx="1852">
                  <c:v>46160</c:v>
                </c:pt>
                <c:pt idx="1853">
                  <c:v>46160</c:v>
                </c:pt>
                <c:pt idx="1854">
                  <c:v>46160</c:v>
                </c:pt>
                <c:pt idx="1855">
                  <c:v>46160</c:v>
                </c:pt>
                <c:pt idx="1856">
                  <c:v>46161</c:v>
                </c:pt>
                <c:pt idx="1857">
                  <c:v>46161</c:v>
                </c:pt>
                <c:pt idx="1858">
                  <c:v>46161</c:v>
                </c:pt>
                <c:pt idx="1859">
                  <c:v>46161</c:v>
                </c:pt>
                <c:pt idx="1860">
                  <c:v>46161</c:v>
                </c:pt>
                <c:pt idx="1861">
                  <c:v>46161</c:v>
                </c:pt>
                <c:pt idx="1862">
                  <c:v>46161</c:v>
                </c:pt>
                <c:pt idx="1863">
                  <c:v>46161</c:v>
                </c:pt>
                <c:pt idx="1864">
                  <c:v>46161</c:v>
                </c:pt>
                <c:pt idx="1865">
                  <c:v>46161</c:v>
                </c:pt>
                <c:pt idx="1866">
                  <c:v>46161</c:v>
                </c:pt>
                <c:pt idx="1867">
                  <c:v>46161</c:v>
                </c:pt>
                <c:pt idx="1868">
                  <c:v>46161</c:v>
                </c:pt>
                <c:pt idx="1869">
                  <c:v>46161</c:v>
                </c:pt>
                <c:pt idx="1870">
                  <c:v>46161</c:v>
                </c:pt>
                <c:pt idx="1871">
                  <c:v>46161</c:v>
                </c:pt>
                <c:pt idx="1872">
                  <c:v>46161</c:v>
                </c:pt>
                <c:pt idx="1873">
                  <c:v>46161</c:v>
                </c:pt>
                <c:pt idx="1874">
                  <c:v>46161</c:v>
                </c:pt>
                <c:pt idx="1875">
                  <c:v>46161</c:v>
                </c:pt>
                <c:pt idx="1876">
                  <c:v>46161</c:v>
                </c:pt>
                <c:pt idx="1877">
                  <c:v>46161</c:v>
                </c:pt>
                <c:pt idx="1878">
                  <c:v>46161</c:v>
                </c:pt>
                <c:pt idx="1879">
                  <c:v>46161</c:v>
                </c:pt>
                <c:pt idx="1880">
                  <c:v>46161</c:v>
                </c:pt>
                <c:pt idx="1881">
                  <c:v>46161</c:v>
                </c:pt>
                <c:pt idx="1882">
                  <c:v>46161</c:v>
                </c:pt>
                <c:pt idx="1883">
                  <c:v>46161</c:v>
                </c:pt>
                <c:pt idx="1884">
                  <c:v>46161</c:v>
                </c:pt>
                <c:pt idx="1885">
                  <c:v>46161</c:v>
                </c:pt>
                <c:pt idx="1886">
                  <c:v>46161</c:v>
                </c:pt>
                <c:pt idx="1887">
                  <c:v>46162</c:v>
                </c:pt>
                <c:pt idx="1888">
                  <c:v>46162</c:v>
                </c:pt>
                <c:pt idx="1889">
                  <c:v>46162</c:v>
                </c:pt>
                <c:pt idx="1890">
                  <c:v>46162</c:v>
                </c:pt>
                <c:pt idx="1891">
                  <c:v>46162</c:v>
                </c:pt>
                <c:pt idx="1892">
                  <c:v>46162</c:v>
                </c:pt>
                <c:pt idx="1893">
                  <c:v>46162</c:v>
                </c:pt>
                <c:pt idx="1894">
                  <c:v>46162</c:v>
                </c:pt>
                <c:pt idx="1895">
                  <c:v>46162</c:v>
                </c:pt>
                <c:pt idx="1896">
                  <c:v>46162</c:v>
                </c:pt>
                <c:pt idx="1897">
                  <c:v>46162</c:v>
                </c:pt>
                <c:pt idx="1898">
                  <c:v>46162</c:v>
                </c:pt>
                <c:pt idx="1899">
                  <c:v>46162</c:v>
                </c:pt>
                <c:pt idx="1900">
                  <c:v>46162</c:v>
                </c:pt>
                <c:pt idx="1901">
                  <c:v>46162</c:v>
                </c:pt>
                <c:pt idx="1902">
                  <c:v>46162</c:v>
                </c:pt>
                <c:pt idx="1903">
                  <c:v>46162</c:v>
                </c:pt>
                <c:pt idx="1904">
                  <c:v>46162</c:v>
                </c:pt>
                <c:pt idx="1905">
                  <c:v>46162</c:v>
                </c:pt>
                <c:pt idx="1906">
                  <c:v>46162</c:v>
                </c:pt>
                <c:pt idx="1907">
                  <c:v>46162</c:v>
                </c:pt>
                <c:pt idx="1908">
                  <c:v>46162</c:v>
                </c:pt>
                <c:pt idx="1909">
                  <c:v>46162</c:v>
                </c:pt>
                <c:pt idx="1910">
                  <c:v>46162</c:v>
                </c:pt>
                <c:pt idx="1911">
                  <c:v>46162</c:v>
                </c:pt>
                <c:pt idx="1912">
                  <c:v>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79-4229-B512-91E511F75732}"/>
            </c:ext>
          </c:extLst>
        </c:ser>
        <c:ser>
          <c:idx val="4"/>
          <c:order val="4"/>
          <c:tx>
            <c:strRef>
              <c:f>'INVENTÁRIO 2026'!$D$2</c:f>
              <c:strCache>
                <c:ptCount val="1"/>
                <c:pt idx="0">
                  <c:v>NÚMERO DE PROTOCOLO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'INVENTÁRIO 2026'!$D$3:$D$11811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 formatCode="m/d/yyyy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 formatCode="mmm\-yy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 formatCode="mmm\-yy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 formatCode="mmm\-yy">
                  <c:v>0</c:v>
                </c:pt>
                <c:pt idx="499" formatCode="m/d/yyyy">
                  <c:v>0</c:v>
                </c:pt>
                <c:pt idx="500" formatCode="m/d/yyyy">
                  <c:v>0</c:v>
                </c:pt>
                <c:pt idx="501" formatCode="m/d/yyyy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 formatCode="m/d/yyyy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79-4229-B512-91E511F75732}"/>
            </c:ext>
          </c:extLst>
        </c:ser>
        <c:ser>
          <c:idx val="5"/>
          <c:order val="5"/>
          <c:tx>
            <c:strRef>
              <c:f>'INVENTÁRIO 2026'!$E$2</c:f>
              <c:strCache>
                <c:ptCount val="1"/>
                <c:pt idx="0">
                  <c:v>ÓRGÃO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'INVENTÁRIO 2026'!$E$3:$E$11811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79-4229-B512-91E511F75732}"/>
            </c:ext>
          </c:extLst>
        </c:ser>
        <c:ser>
          <c:idx val="6"/>
          <c:order val="6"/>
          <c:tx>
            <c:strRef>
              <c:f>'INVENTÁRIO 2026'!$F$2</c:f>
              <c:strCache>
                <c:ptCount val="1"/>
                <c:pt idx="0">
                  <c:v>COMPETÊNCIA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2026'!$F$3:$F$11811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17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79-4229-B512-91E511F75732}"/>
            </c:ext>
          </c:extLst>
        </c:ser>
        <c:ser>
          <c:idx val="7"/>
          <c:order val="7"/>
          <c:tx>
            <c:strRef>
              <c:f>'INVENTÁRIO 2026'!$G$2</c:f>
              <c:strCache>
                <c:ptCount val="1"/>
                <c:pt idx="0">
                  <c:v>TIPO DE PROCESSO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2026'!$G$3:$G$11811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79-4229-B512-91E511F75732}"/>
            </c:ext>
          </c:extLst>
        </c:ser>
        <c:ser>
          <c:idx val="8"/>
          <c:order val="8"/>
          <c:tx>
            <c:strRef>
              <c:f>'INVENTÁRIO 2026'!$H$2</c:f>
              <c:strCache>
                <c:ptCount val="1"/>
                <c:pt idx="0">
                  <c:v>NOTA/FATURA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2026'!$H$3:$H$11811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573</c:v>
                </c:pt>
                <c:pt idx="16">
                  <c:v>347</c:v>
                </c:pt>
                <c:pt idx="17">
                  <c:v>4728</c:v>
                </c:pt>
                <c:pt idx="18">
                  <c:v>1383</c:v>
                </c:pt>
                <c:pt idx="19">
                  <c:v>229</c:v>
                </c:pt>
                <c:pt idx="20">
                  <c:v>79</c:v>
                </c:pt>
                <c:pt idx="21">
                  <c:v>996</c:v>
                </c:pt>
                <c:pt idx="22">
                  <c:v>825</c:v>
                </c:pt>
                <c:pt idx="23">
                  <c:v>3321</c:v>
                </c:pt>
                <c:pt idx="24">
                  <c:v>13</c:v>
                </c:pt>
                <c:pt idx="25">
                  <c:v>1648</c:v>
                </c:pt>
                <c:pt idx="26">
                  <c:v>209</c:v>
                </c:pt>
                <c:pt idx="27">
                  <c:v>216</c:v>
                </c:pt>
                <c:pt idx="28">
                  <c:v>110</c:v>
                </c:pt>
                <c:pt idx="29">
                  <c:v>97</c:v>
                </c:pt>
                <c:pt idx="30">
                  <c:v>2631</c:v>
                </c:pt>
                <c:pt idx="31">
                  <c:v>83</c:v>
                </c:pt>
                <c:pt idx="32">
                  <c:v>234</c:v>
                </c:pt>
                <c:pt idx="33">
                  <c:v>621</c:v>
                </c:pt>
                <c:pt idx="34">
                  <c:v>2</c:v>
                </c:pt>
                <c:pt idx="35">
                  <c:v>289</c:v>
                </c:pt>
                <c:pt idx="36">
                  <c:v>1033</c:v>
                </c:pt>
                <c:pt idx="37">
                  <c:v>199</c:v>
                </c:pt>
                <c:pt idx="38">
                  <c:v>327</c:v>
                </c:pt>
                <c:pt idx="39">
                  <c:v>721</c:v>
                </c:pt>
                <c:pt idx="40">
                  <c:v>952</c:v>
                </c:pt>
                <c:pt idx="41">
                  <c:v>424</c:v>
                </c:pt>
                <c:pt idx="42">
                  <c:v>610047433768</c:v>
                </c:pt>
                <c:pt idx="43">
                  <c:v>0</c:v>
                </c:pt>
                <c:pt idx="44">
                  <c:v>13415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839</c:v>
                </c:pt>
                <c:pt idx="55">
                  <c:v>87</c:v>
                </c:pt>
                <c:pt idx="56">
                  <c:v>40</c:v>
                </c:pt>
                <c:pt idx="57">
                  <c:v>0</c:v>
                </c:pt>
                <c:pt idx="58">
                  <c:v>35957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167</c:v>
                </c:pt>
                <c:pt idx="67">
                  <c:v>260</c:v>
                </c:pt>
                <c:pt idx="68">
                  <c:v>2344</c:v>
                </c:pt>
                <c:pt idx="69">
                  <c:v>2343</c:v>
                </c:pt>
                <c:pt idx="70">
                  <c:v>0</c:v>
                </c:pt>
                <c:pt idx="71">
                  <c:v>0</c:v>
                </c:pt>
                <c:pt idx="72">
                  <c:v>36040</c:v>
                </c:pt>
                <c:pt idx="73">
                  <c:v>6928</c:v>
                </c:pt>
                <c:pt idx="74">
                  <c:v>253998</c:v>
                </c:pt>
                <c:pt idx="75">
                  <c:v>682</c:v>
                </c:pt>
                <c:pt idx="76">
                  <c:v>1048</c:v>
                </c:pt>
                <c:pt idx="77">
                  <c:v>943</c:v>
                </c:pt>
                <c:pt idx="78">
                  <c:v>523193</c:v>
                </c:pt>
                <c:pt idx="79">
                  <c:v>185889</c:v>
                </c:pt>
                <c:pt idx="80">
                  <c:v>18659</c:v>
                </c:pt>
                <c:pt idx="81">
                  <c:v>185505</c:v>
                </c:pt>
                <c:pt idx="82">
                  <c:v>4618</c:v>
                </c:pt>
                <c:pt idx="83">
                  <c:v>20922607</c:v>
                </c:pt>
                <c:pt idx="84">
                  <c:v>680</c:v>
                </c:pt>
                <c:pt idx="85">
                  <c:v>2092490</c:v>
                </c:pt>
                <c:pt idx="86">
                  <c:v>684</c:v>
                </c:pt>
                <c:pt idx="87">
                  <c:v>64958</c:v>
                </c:pt>
                <c:pt idx="88">
                  <c:v>344565</c:v>
                </c:pt>
                <c:pt idx="89">
                  <c:v>9653</c:v>
                </c:pt>
                <c:pt idx="90">
                  <c:v>0</c:v>
                </c:pt>
                <c:pt idx="91">
                  <c:v>184473</c:v>
                </c:pt>
                <c:pt idx="92">
                  <c:v>184752</c:v>
                </c:pt>
                <c:pt idx="93">
                  <c:v>64950</c:v>
                </c:pt>
                <c:pt idx="94">
                  <c:v>185263</c:v>
                </c:pt>
                <c:pt idx="95">
                  <c:v>185237</c:v>
                </c:pt>
                <c:pt idx="96">
                  <c:v>1302104</c:v>
                </c:pt>
                <c:pt idx="97">
                  <c:v>29381</c:v>
                </c:pt>
                <c:pt idx="98">
                  <c:v>178009</c:v>
                </c:pt>
                <c:pt idx="99">
                  <c:v>178010</c:v>
                </c:pt>
                <c:pt idx="100">
                  <c:v>4302</c:v>
                </c:pt>
                <c:pt idx="101">
                  <c:v>4303</c:v>
                </c:pt>
                <c:pt idx="102">
                  <c:v>1480735</c:v>
                </c:pt>
                <c:pt idx="103">
                  <c:v>2092557</c:v>
                </c:pt>
                <c:pt idx="104">
                  <c:v>148453</c:v>
                </c:pt>
                <c:pt idx="105">
                  <c:v>181780</c:v>
                </c:pt>
                <c:pt idx="106">
                  <c:v>184474</c:v>
                </c:pt>
                <c:pt idx="107">
                  <c:v>184475</c:v>
                </c:pt>
                <c:pt idx="108">
                  <c:v>184579</c:v>
                </c:pt>
                <c:pt idx="109">
                  <c:v>1476149</c:v>
                </c:pt>
                <c:pt idx="110">
                  <c:v>1476143</c:v>
                </c:pt>
                <c:pt idx="111">
                  <c:v>1484908</c:v>
                </c:pt>
                <c:pt idx="112">
                  <c:v>28447</c:v>
                </c:pt>
                <c:pt idx="113">
                  <c:v>185169</c:v>
                </c:pt>
                <c:pt idx="114">
                  <c:v>184417</c:v>
                </c:pt>
                <c:pt idx="115">
                  <c:v>184523</c:v>
                </c:pt>
                <c:pt idx="116">
                  <c:v>184685</c:v>
                </c:pt>
                <c:pt idx="117">
                  <c:v>185392</c:v>
                </c:pt>
                <c:pt idx="118">
                  <c:v>184478</c:v>
                </c:pt>
                <c:pt idx="119">
                  <c:v>184671</c:v>
                </c:pt>
                <c:pt idx="120">
                  <c:v>766</c:v>
                </c:pt>
                <c:pt idx="121">
                  <c:v>29476</c:v>
                </c:pt>
                <c:pt idx="122">
                  <c:v>185413</c:v>
                </c:pt>
                <c:pt idx="123">
                  <c:v>54754</c:v>
                </c:pt>
                <c:pt idx="124">
                  <c:v>184662</c:v>
                </c:pt>
                <c:pt idx="125">
                  <c:v>4301</c:v>
                </c:pt>
                <c:pt idx="126">
                  <c:v>184844</c:v>
                </c:pt>
                <c:pt idx="127">
                  <c:v>1476376</c:v>
                </c:pt>
                <c:pt idx="128">
                  <c:v>184470</c:v>
                </c:pt>
                <c:pt idx="129">
                  <c:v>1477027</c:v>
                </c:pt>
                <c:pt idx="130">
                  <c:v>29491</c:v>
                </c:pt>
                <c:pt idx="131">
                  <c:v>1476262</c:v>
                </c:pt>
                <c:pt idx="132">
                  <c:v>1476237</c:v>
                </c:pt>
                <c:pt idx="133">
                  <c:v>29449</c:v>
                </c:pt>
                <c:pt idx="134">
                  <c:v>54</c:v>
                </c:pt>
                <c:pt idx="135">
                  <c:v>187722</c:v>
                </c:pt>
                <c:pt idx="136">
                  <c:v>9799</c:v>
                </c:pt>
                <c:pt idx="137">
                  <c:v>183</c:v>
                </c:pt>
                <c:pt idx="138">
                  <c:v>9990</c:v>
                </c:pt>
                <c:pt idx="139">
                  <c:v>806</c:v>
                </c:pt>
                <c:pt idx="140">
                  <c:v>805</c:v>
                </c:pt>
                <c:pt idx="141">
                  <c:v>21833</c:v>
                </c:pt>
                <c:pt idx="142">
                  <c:v>185893</c:v>
                </c:pt>
                <c:pt idx="143">
                  <c:v>448268</c:v>
                </c:pt>
                <c:pt idx="144">
                  <c:v>9647</c:v>
                </c:pt>
                <c:pt idx="145">
                  <c:v>185844</c:v>
                </c:pt>
                <c:pt idx="146">
                  <c:v>9988</c:v>
                </c:pt>
                <c:pt idx="147">
                  <c:v>178578</c:v>
                </c:pt>
                <c:pt idx="148">
                  <c:v>9823</c:v>
                </c:pt>
                <c:pt idx="149">
                  <c:v>804</c:v>
                </c:pt>
                <c:pt idx="150">
                  <c:v>110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2467</c:v>
                </c:pt>
                <c:pt idx="161">
                  <c:v>2467</c:v>
                </c:pt>
                <c:pt idx="162">
                  <c:v>17427</c:v>
                </c:pt>
                <c:pt idx="163">
                  <c:v>359</c:v>
                </c:pt>
                <c:pt idx="164">
                  <c:v>408</c:v>
                </c:pt>
                <c:pt idx="165">
                  <c:v>185966</c:v>
                </c:pt>
                <c:pt idx="166">
                  <c:v>1726880</c:v>
                </c:pt>
                <c:pt idx="167">
                  <c:v>185996</c:v>
                </c:pt>
                <c:pt idx="168">
                  <c:v>186004</c:v>
                </c:pt>
                <c:pt idx="169">
                  <c:v>186150</c:v>
                </c:pt>
                <c:pt idx="170">
                  <c:v>0</c:v>
                </c:pt>
                <c:pt idx="171">
                  <c:v>0</c:v>
                </c:pt>
                <c:pt idx="172">
                  <c:v>4436</c:v>
                </c:pt>
                <c:pt idx="173">
                  <c:v>4436</c:v>
                </c:pt>
                <c:pt idx="174">
                  <c:v>29864</c:v>
                </c:pt>
                <c:pt idx="175">
                  <c:v>42149</c:v>
                </c:pt>
                <c:pt idx="176">
                  <c:v>29858</c:v>
                </c:pt>
                <c:pt idx="177">
                  <c:v>0</c:v>
                </c:pt>
                <c:pt idx="178">
                  <c:v>3454</c:v>
                </c:pt>
                <c:pt idx="179">
                  <c:v>0</c:v>
                </c:pt>
                <c:pt idx="180">
                  <c:v>6</c:v>
                </c:pt>
                <c:pt idx="181">
                  <c:v>335</c:v>
                </c:pt>
                <c:pt idx="182">
                  <c:v>7</c:v>
                </c:pt>
                <c:pt idx="183">
                  <c:v>2</c:v>
                </c:pt>
                <c:pt idx="184">
                  <c:v>2026492</c:v>
                </c:pt>
                <c:pt idx="185">
                  <c:v>0</c:v>
                </c:pt>
                <c:pt idx="186">
                  <c:v>4433</c:v>
                </c:pt>
                <c:pt idx="187">
                  <c:v>1055</c:v>
                </c:pt>
                <c:pt idx="188">
                  <c:v>1620</c:v>
                </c:pt>
                <c:pt idx="189">
                  <c:v>463</c:v>
                </c:pt>
                <c:pt idx="190">
                  <c:v>8090</c:v>
                </c:pt>
                <c:pt idx="191">
                  <c:v>0</c:v>
                </c:pt>
                <c:pt idx="192">
                  <c:v>1300</c:v>
                </c:pt>
                <c:pt idx="193">
                  <c:v>1365</c:v>
                </c:pt>
                <c:pt idx="194">
                  <c:v>1298</c:v>
                </c:pt>
                <c:pt idx="195">
                  <c:v>685</c:v>
                </c:pt>
                <c:pt idx="196">
                  <c:v>191</c:v>
                </c:pt>
                <c:pt idx="197">
                  <c:v>685</c:v>
                </c:pt>
                <c:pt idx="198">
                  <c:v>651</c:v>
                </c:pt>
                <c:pt idx="199">
                  <c:v>1365</c:v>
                </c:pt>
                <c:pt idx="200">
                  <c:v>238756</c:v>
                </c:pt>
                <c:pt idx="201">
                  <c:v>0</c:v>
                </c:pt>
                <c:pt idx="202">
                  <c:v>118382</c:v>
                </c:pt>
                <c:pt idx="203">
                  <c:v>2720607</c:v>
                </c:pt>
                <c:pt idx="204">
                  <c:v>465</c:v>
                </c:pt>
                <c:pt idx="205">
                  <c:v>2720620</c:v>
                </c:pt>
                <c:pt idx="206">
                  <c:v>2720610</c:v>
                </c:pt>
                <c:pt idx="207">
                  <c:v>0</c:v>
                </c:pt>
                <c:pt idx="208">
                  <c:v>2720608</c:v>
                </c:pt>
                <c:pt idx="209">
                  <c:v>11083</c:v>
                </c:pt>
                <c:pt idx="210">
                  <c:v>17424</c:v>
                </c:pt>
                <c:pt idx="211">
                  <c:v>409</c:v>
                </c:pt>
                <c:pt idx="212">
                  <c:v>1253</c:v>
                </c:pt>
                <c:pt idx="213">
                  <c:v>20613</c:v>
                </c:pt>
                <c:pt idx="214">
                  <c:v>44680</c:v>
                </c:pt>
                <c:pt idx="215">
                  <c:v>2720611</c:v>
                </c:pt>
                <c:pt idx="216">
                  <c:v>2720616</c:v>
                </c:pt>
                <c:pt idx="217">
                  <c:v>2720619</c:v>
                </c:pt>
                <c:pt idx="218">
                  <c:v>44679</c:v>
                </c:pt>
                <c:pt idx="219">
                  <c:v>2720609</c:v>
                </c:pt>
                <c:pt idx="220">
                  <c:v>2720618</c:v>
                </c:pt>
                <c:pt idx="221">
                  <c:v>2720615</c:v>
                </c:pt>
                <c:pt idx="222">
                  <c:v>2720621</c:v>
                </c:pt>
                <c:pt idx="223">
                  <c:v>121</c:v>
                </c:pt>
                <c:pt idx="224">
                  <c:v>3328</c:v>
                </c:pt>
                <c:pt idx="225">
                  <c:v>3325</c:v>
                </c:pt>
                <c:pt idx="226">
                  <c:v>3326</c:v>
                </c:pt>
                <c:pt idx="227">
                  <c:v>3327</c:v>
                </c:pt>
                <c:pt idx="228">
                  <c:v>0</c:v>
                </c:pt>
                <c:pt idx="229">
                  <c:v>0</c:v>
                </c:pt>
                <c:pt idx="230">
                  <c:v>189</c:v>
                </c:pt>
                <c:pt idx="231">
                  <c:v>1251</c:v>
                </c:pt>
                <c:pt idx="232">
                  <c:v>1252</c:v>
                </c:pt>
                <c:pt idx="233">
                  <c:v>20252297</c:v>
                </c:pt>
                <c:pt idx="234">
                  <c:v>0</c:v>
                </c:pt>
                <c:pt idx="235">
                  <c:v>940</c:v>
                </c:pt>
                <c:pt idx="236">
                  <c:v>482</c:v>
                </c:pt>
                <c:pt idx="237">
                  <c:v>203</c:v>
                </c:pt>
                <c:pt idx="238">
                  <c:v>140</c:v>
                </c:pt>
                <c:pt idx="239">
                  <c:v>204</c:v>
                </c:pt>
                <c:pt idx="240">
                  <c:v>407</c:v>
                </c:pt>
                <c:pt idx="241">
                  <c:v>2644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91101</c:v>
                </c:pt>
                <c:pt idx="246">
                  <c:v>0</c:v>
                </c:pt>
                <c:pt idx="247">
                  <c:v>0</c:v>
                </c:pt>
                <c:pt idx="248">
                  <c:v>4438</c:v>
                </c:pt>
                <c:pt idx="249">
                  <c:v>4435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5667</c:v>
                </c:pt>
                <c:pt idx="259">
                  <c:v>5630</c:v>
                </c:pt>
                <c:pt idx="260">
                  <c:v>20875</c:v>
                </c:pt>
                <c:pt idx="261">
                  <c:v>143</c:v>
                </c:pt>
                <c:pt idx="262">
                  <c:v>1839</c:v>
                </c:pt>
                <c:pt idx="263">
                  <c:v>1837</c:v>
                </c:pt>
                <c:pt idx="264">
                  <c:v>1837</c:v>
                </c:pt>
                <c:pt idx="265">
                  <c:v>3329</c:v>
                </c:pt>
                <c:pt idx="266">
                  <c:v>3329</c:v>
                </c:pt>
                <c:pt idx="267">
                  <c:v>26</c:v>
                </c:pt>
                <c:pt idx="268">
                  <c:v>1831</c:v>
                </c:pt>
                <c:pt idx="269">
                  <c:v>1829</c:v>
                </c:pt>
                <c:pt idx="270">
                  <c:v>1830</c:v>
                </c:pt>
                <c:pt idx="271">
                  <c:v>1836</c:v>
                </c:pt>
                <c:pt idx="272">
                  <c:v>1835</c:v>
                </c:pt>
                <c:pt idx="273">
                  <c:v>1832</c:v>
                </c:pt>
                <c:pt idx="274">
                  <c:v>0</c:v>
                </c:pt>
                <c:pt idx="275">
                  <c:v>0</c:v>
                </c:pt>
                <c:pt idx="276">
                  <c:v>397</c:v>
                </c:pt>
                <c:pt idx="277">
                  <c:v>39801</c:v>
                </c:pt>
                <c:pt idx="278">
                  <c:v>0</c:v>
                </c:pt>
                <c:pt idx="279">
                  <c:v>39801</c:v>
                </c:pt>
                <c:pt idx="280">
                  <c:v>397</c:v>
                </c:pt>
                <c:pt idx="281">
                  <c:v>1489427</c:v>
                </c:pt>
                <c:pt idx="282">
                  <c:v>1488734</c:v>
                </c:pt>
                <c:pt idx="283">
                  <c:v>11082</c:v>
                </c:pt>
                <c:pt idx="284">
                  <c:v>5047</c:v>
                </c:pt>
                <c:pt idx="285">
                  <c:v>0</c:v>
                </c:pt>
                <c:pt idx="286">
                  <c:v>17425</c:v>
                </c:pt>
                <c:pt idx="287">
                  <c:v>11088</c:v>
                </c:pt>
                <c:pt idx="288">
                  <c:v>11088</c:v>
                </c:pt>
                <c:pt idx="289">
                  <c:v>11088</c:v>
                </c:pt>
                <c:pt idx="290">
                  <c:v>11088</c:v>
                </c:pt>
                <c:pt idx="291">
                  <c:v>17468</c:v>
                </c:pt>
                <c:pt idx="292">
                  <c:v>17650</c:v>
                </c:pt>
                <c:pt idx="293">
                  <c:v>17469</c:v>
                </c:pt>
                <c:pt idx="294">
                  <c:v>1834</c:v>
                </c:pt>
                <c:pt idx="295">
                  <c:v>1833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73460699</c:v>
                </c:pt>
                <c:pt idx="300">
                  <c:v>73643521</c:v>
                </c:pt>
                <c:pt idx="301">
                  <c:v>178857</c:v>
                </c:pt>
                <c:pt idx="302">
                  <c:v>178858</c:v>
                </c:pt>
                <c:pt idx="303">
                  <c:v>59</c:v>
                </c:pt>
                <c:pt idx="304">
                  <c:v>42216</c:v>
                </c:pt>
                <c:pt idx="305">
                  <c:v>2106462</c:v>
                </c:pt>
                <c:pt idx="306">
                  <c:v>0</c:v>
                </c:pt>
                <c:pt idx="307">
                  <c:v>0</c:v>
                </c:pt>
                <c:pt idx="308">
                  <c:v>933602384</c:v>
                </c:pt>
                <c:pt idx="309">
                  <c:v>0</c:v>
                </c:pt>
                <c:pt idx="310">
                  <c:v>1465</c:v>
                </c:pt>
                <c:pt idx="311">
                  <c:v>115586646</c:v>
                </c:pt>
                <c:pt idx="312">
                  <c:v>2108741</c:v>
                </c:pt>
                <c:pt idx="313">
                  <c:v>1895</c:v>
                </c:pt>
                <c:pt idx="314">
                  <c:v>0</c:v>
                </c:pt>
                <c:pt idx="315">
                  <c:v>178942</c:v>
                </c:pt>
                <c:pt idx="316">
                  <c:v>0</c:v>
                </c:pt>
                <c:pt idx="317">
                  <c:v>0</c:v>
                </c:pt>
                <c:pt idx="318">
                  <c:v>341</c:v>
                </c:pt>
                <c:pt idx="319">
                  <c:v>466</c:v>
                </c:pt>
                <c:pt idx="320">
                  <c:v>271</c:v>
                </c:pt>
                <c:pt idx="321">
                  <c:v>880750</c:v>
                </c:pt>
                <c:pt idx="322">
                  <c:v>104</c:v>
                </c:pt>
                <c:pt idx="323">
                  <c:v>866</c:v>
                </c:pt>
                <c:pt idx="324">
                  <c:v>2720603</c:v>
                </c:pt>
                <c:pt idx="325">
                  <c:v>0</c:v>
                </c:pt>
                <c:pt idx="326">
                  <c:v>897473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88</c:v>
                </c:pt>
                <c:pt idx="331">
                  <c:v>1877</c:v>
                </c:pt>
                <c:pt idx="332">
                  <c:v>41</c:v>
                </c:pt>
                <c:pt idx="333">
                  <c:v>185</c:v>
                </c:pt>
                <c:pt idx="334">
                  <c:v>79253</c:v>
                </c:pt>
                <c:pt idx="335">
                  <c:v>0</c:v>
                </c:pt>
                <c:pt idx="336">
                  <c:v>103</c:v>
                </c:pt>
                <c:pt idx="337">
                  <c:v>200</c:v>
                </c:pt>
                <c:pt idx="338">
                  <c:v>1422</c:v>
                </c:pt>
                <c:pt idx="339">
                  <c:v>67</c:v>
                </c:pt>
                <c:pt idx="340">
                  <c:v>68</c:v>
                </c:pt>
                <c:pt idx="341">
                  <c:v>5621</c:v>
                </c:pt>
                <c:pt idx="342">
                  <c:v>2158</c:v>
                </c:pt>
                <c:pt idx="343">
                  <c:v>2161</c:v>
                </c:pt>
                <c:pt idx="344">
                  <c:v>2162</c:v>
                </c:pt>
                <c:pt idx="345">
                  <c:v>2159</c:v>
                </c:pt>
                <c:pt idx="346">
                  <c:v>2163</c:v>
                </c:pt>
                <c:pt idx="347">
                  <c:v>2160</c:v>
                </c:pt>
                <c:pt idx="348">
                  <c:v>0</c:v>
                </c:pt>
                <c:pt idx="349">
                  <c:v>880748</c:v>
                </c:pt>
                <c:pt idx="350">
                  <c:v>1372</c:v>
                </c:pt>
                <c:pt idx="351">
                  <c:v>0</c:v>
                </c:pt>
                <c:pt idx="352">
                  <c:v>0</c:v>
                </c:pt>
                <c:pt idx="353">
                  <c:v>935248038</c:v>
                </c:pt>
                <c:pt idx="354">
                  <c:v>0</c:v>
                </c:pt>
                <c:pt idx="355">
                  <c:v>590</c:v>
                </c:pt>
                <c:pt idx="356">
                  <c:v>0</c:v>
                </c:pt>
                <c:pt idx="357">
                  <c:v>833</c:v>
                </c:pt>
                <c:pt idx="358">
                  <c:v>1657</c:v>
                </c:pt>
                <c:pt idx="359">
                  <c:v>0</c:v>
                </c:pt>
                <c:pt idx="360">
                  <c:v>6</c:v>
                </c:pt>
                <c:pt idx="361">
                  <c:v>225.82</c:v>
                </c:pt>
                <c:pt idx="362">
                  <c:v>73506982</c:v>
                </c:pt>
                <c:pt idx="363">
                  <c:v>73506311</c:v>
                </c:pt>
                <c:pt idx="364">
                  <c:v>184608767</c:v>
                </c:pt>
                <c:pt idx="365">
                  <c:v>0</c:v>
                </c:pt>
                <c:pt idx="366">
                  <c:v>0</c:v>
                </c:pt>
                <c:pt idx="367">
                  <c:v>62</c:v>
                </c:pt>
                <c:pt idx="368">
                  <c:v>193</c:v>
                </c:pt>
                <c:pt idx="369">
                  <c:v>1313</c:v>
                </c:pt>
                <c:pt idx="370">
                  <c:v>168</c:v>
                </c:pt>
                <c:pt idx="371">
                  <c:v>0</c:v>
                </c:pt>
                <c:pt idx="372">
                  <c:v>0</c:v>
                </c:pt>
                <c:pt idx="373">
                  <c:v>25</c:v>
                </c:pt>
                <c:pt idx="374">
                  <c:v>0</c:v>
                </c:pt>
                <c:pt idx="375">
                  <c:v>84</c:v>
                </c:pt>
                <c:pt idx="376">
                  <c:v>1037</c:v>
                </c:pt>
                <c:pt idx="377">
                  <c:v>3361</c:v>
                </c:pt>
                <c:pt idx="378">
                  <c:v>291</c:v>
                </c:pt>
                <c:pt idx="379">
                  <c:v>263</c:v>
                </c:pt>
                <c:pt idx="380">
                  <c:v>0</c:v>
                </c:pt>
                <c:pt idx="381">
                  <c:v>0</c:v>
                </c:pt>
                <c:pt idx="382">
                  <c:v>216</c:v>
                </c:pt>
                <c:pt idx="383">
                  <c:v>726</c:v>
                </c:pt>
                <c:pt idx="384">
                  <c:v>357</c:v>
                </c:pt>
                <c:pt idx="385">
                  <c:v>4743</c:v>
                </c:pt>
                <c:pt idx="386">
                  <c:v>203</c:v>
                </c:pt>
                <c:pt idx="387">
                  <c:v>1</c:v>
                </c:pt>
                <c:pt idx="388">
                  <c:v>100</c:v>
                </c:pt>
                <c:pt idx="389">
                  <c:v>2647</c:v>
                </c:pt>
                <c:pt idx="390">
                  <c:v>1021</c:v>
                </c:pt>
                <c:pt idx="391">
                  <c:v>236</c:v>
                </c:pt>
                <c:pt idx="392">
                  <c:v>217</c:v>
                </c:pt>
                <c:pt idx="393">
                  <c:v>88</c:v>
                </c:pt>
                <c:pt idx="394">
                  <c:v>628</c:v>
                </c:pt>
                <c:pt idx="395">
                  <c:v>231</c:v>
                </c:pt>
                <c:pt idx="396">
                  <c:v>11</c:v>
                </c:pt>
                <c:pt idx="397">
                  <c:v>954</c:v>
                </c:pt>
                <c:pt idx="398">
                  <c:v>334</c:v>
                </c:pt>
                <c:pt idx="399">
                  <c:v>470</c:v>
                </c:pt>
                <c:pt idx="400">
                  <c:v>1624</c:v>
                </c:pt>
                <c:pt idx="401">
                  <c:v>0</c:v>
                </c:pt>
                <c:pt idx="402">
                  <c:v>401</c:v>
                </c:pt>
                <c:pt idx="403">
                  <c:v>8148</c:v>
                </c:pt>
                <c:pt idx="404">
                  <c:v>944</c:v>
                </c:pt>
                <c:pt idx="405">
                  <c:v>0</c:v>
                </c:pt>
                <c:pt idx="406">
                  <c:v>149002211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169590</c:v>
                </c:pt>
                <c:pt idx="411">
                  <c:v>2782356</c:v>
                </c:pt>
                <c:pt idx="412">
                  <c:v>950</c:v>
                </c:pt>
                <c:pt idx="413">
                  <c:v>3</c:v>
                </c:pt>
                <c:pt idx="414">
                  <c:v>0</c:v>
                </c:pt>
                <c:pt idx="415">
                  <c:v>607</c:v>
                </c:pt>
                <c:pt idx="416">
                  <c:v>0</c:v>
                </c:pt>
                <c:pt idx="417">
                  <c:v>195</c:v>
                </c:pt>
                <c:pt idx="418">
                  <c:v>0</c:v>
                </c:pt>
                <c:pt idx="419">
                  <c:v>2383</c:v>
                </c:pt>
                <c:pt idx="420">
                  <c:v>2382</c:v>
                </c:pt>
                <c:pt idx="421">
                  <c:v>57</c:v>
                </c:pt>
                <c:pt idx="422">
                  <c:v>548</c:v>
                </c:pt>
                <c:pt idx="423">
                  <c:v>115</c:v>
                </c:pt>
                <c:pt idx="424">
                  <c:v>0</c:v>
                </c:pt>
                <c:pt idx="425">
                  <c:v>0</c:v>
                </c:pt>
                <c:pt idx="426">
                  <c:v>931518298</c:v>
                </c:pt>
                <c:pt idx="427">
                  <c:v>34</c:v>
                </c:pt>
                <c:pt idx="428">
                  <c:v>469</c:v>
                </c:pt>
                <c:pt idx="430">
                  <c:v>2498</c:v>
                </c:pt>
                <c:pt idx="431">
                  <c:v>0</c:v>
                </c:pt>
                <c:pt idx="432">
                  <c:v>2782354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349</c:v>
                </c:pt>
                <c:pt idx="437">
                  <c:v>116</c:v>
                </c:pt>
                <c:pt idx="438">
                  <c:v>5077</c:v>
                </c:pt>
                <c:pt idx="439">
                  <c:v>1069</c:v>
                </c:pt>
                <c:pt idx="440">
                  <c:v>11</c:v>
                </c:pt>
                <c:pt idx="441">
                  <c:v>258</c:v>
                </c:pt>
                <c:pt idx="442">
                  <c:v>79253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2164</c:v>
                </c:pt>
                <c:pt idx="448">
                  <c:v>20262334</c:v>
                </c:pt>
                <c:pt idx="449">
                  <c:v>2157</c:v>
                </c:pt>
                <c:pt idx="450">
                  <c:v>2196</c:v>
                </c:pt>
                <c:pt idx="451">
                  <c:v>2194</c:v>
                </c:pt>
                <c:pt idx="452">
                  <c:v>2195</c:v>
                </c:pt>
                <c:pt idx="453">
                  <c:v>2193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4735</c:v>
                </c:pt>
                <c:pt idx="458">
                  <c:v>1216</c:v>
                </c:pt>
                <c:pt idx="459">
                  <c:v>264</c:v>
                </c:pt>
                <c:pt idx="460">
                  <c:v>3415</c:v>
                </c:pt>
                <c:pt idx="461">
                  <c:v>6956</c:v>
                </c:pt>
                <c:pt idx="462">
                  <c:v>0</c:v>
                </c:pt>
                <c:pt idx="463">
                  <c:v>0</c:v>
                </c:pt>
                <c:pt idx="464">
                  <c:v>4457</c:v>
                </c:pt>
                <c:pt idx="465">
                  <c:v>4460</c:v>
                </c:pt>
                <c:pt idx="466">
                  <c:v>4458</c:v>
                </c:pt>
                <c:pt idx="467">
                  <c:v>2199</c:v>
                </c:pt>
                <c:pt idx="468">
                  <c:v>2205</c:v>
                </c:pt>
                <c:pt idx="469">
                  <c:v>2198</c:v>
                </c:pt>
                <c:pt idx="470">
                  <c:v>2201</c:v>
                </c:pt>
                <c:pt idx="471">
                  <c:v>2783112</c:v>
                </c:pt>
                <c:pt idx="472">
                  <c:v>2782381</c:v>
                </c:pt>
                <c:pt idx="473">
                  <c:v>2782383</c:v>
                </c:pt>
                <c:pt idx="474">
                  <c:v>2782379</c:v>
                </c:pt>
                <c:pt idx="475">
                  <c:v>2782380</c:v>
                </c:pt>
                <c:pt idx="476">
                  <c:v>0</c:v>
                </c:pt>
                <c:pt idx="477">
                  <c:v>471</c:v>
                </c:pt>
                <c:pt idx="478">
                  <c:v>2203</c:v>
                </c:pt>
                <c:pt idx="479">
                  <c:v>2200</c:v>
                </c:pt>
                <c:pt idx="480">
                  <c:v>0</c:v>
                </c:pt>
                <c:pt idx="481">
                  <c:v>4454</c:v>
                </c:pt>
                <c:pt idx="482">
                  <c:v>4453</c:v>
                </c:pt>
                <c:pt idx="483">
                  <c:v>4454</c:v>
                </c:pt>
                <c:pt idx="484">
                  <c:v>178858</c:v>
                </c:pt>
                <c:pt idx="485">
                  <c:v>122</c:v>
                </c:pt>
                <c:pt idx="486">
                  <c:v>42263</c:v>
                </c:pt>
                <c:pt idx="487">
                  <c:v>20262334</c:v>
                </c:pt>
                <c:pt idx="488">
                  <c:v>70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2025909</c:v>
                </c:pt>
                <c:pt idx="496">
                  <c:v>4995</c:v>
                </c:pt>
                <c:pt idx="497">
                  <c:v>4888</c:v>
                </c:pt>
                <c:pt idx="498">
                  <c:v>0</c:v>
                </c:pt>
                <c:pt idx="499">
                  <c:v>750</c:v>
                </c:pt>
                <c:pt idx="500">
                  <c:v>573</c:v>
                </c:pt>
                <c:pt idx="501">
                  <c:v>63</c:v>
                </c:pt>
                <c:pt idx="502">
                  <c:v>73604364</c:v>
                </c:pt>
                <c:pt idx="503">
                  <c:v>352</c:v>
                </c:pt>
                <c:pt idx="504">
                  <c:v>0</c:v>
                </c:pt>
                <c:pt idx="505">
                  <c:v>7346060</c:v>
                </c:pt>
                <c:pt idx="506">
                  <c:v>44948</c:v>
                </c:pt>
                <c:pt idx="507">
                  <c:v>17469</c:v>
                </c:pt>
                <c:pt idx="508">
                  <c:v>0</c:v>
                </c:pt>
                <c:pt idx="509">
                  <c:v>11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935250262</c:v>
                </c:pt>
                <c:pt idx="515">
                  <c:v>935250263</c:v>
                </c:pt>
                <c:pt idx="516">
                  <c:v>935250261</c:v>
                </c:pt>
                <c:pt idx="517">
                  <c:v>935250308</c:v>
                </c:pt>
                <c:pt idx="518">
                  <c:v>935369313</c:v>
                </c:pt>
                <c:pt idx="519">
                  <c:v>17467</c:v>
                </c:pt>
                <c:pt idx="520">
                  <c:v>72</c:v>
                </c:pt>
                <c:pt idx="521">
                  <c:v>105</c:v>
                </c:pt>
                <c:pt idx="522">
                  <c:v>527441</c:v>
                </c:pt>
                <c:pt idx="523">
                  <c:v>187445</c:v>
                </c:pt>
                <c:pt idx="524">
                  <c:v>5368</c:v>
                </c:pt>
                <c:pt idx="525">
                  <c:v>157</c:v>
                </c:pt>
                <c:pt idx="526">
                  <c:v>352319</c:v>
                </c:pt>
                <c:pt idx="527">
                  <c:v>875</c:v>
                </c:pt>
                <c:pt idx="528">
                  <c:v>791</c:v>
                </c:pt>
                <c:pt idx="529">
                  <c:v>792</c:v>
                </c:pt>
                <c:pt idx="530">
                  <c:v>4461</c:v>
                </c:pt>
                <c:pt idx="531">
                  <c:v>4462</c:v>
                </c:pt>
                <c:pt idx="532">
                  <c:v>4463</c:v>
                </c:pt>
                <c:pt idx="533">
                  <c:v>2782382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366</c:v>
                </c:pt>
                <c:pt idx="538">
                  <c:v>366</c:v>
                </c:pt>
                <c:pt idx="539">
                  <c:v>366</c:v>
                </c:pt>
                <c:pt idx="540">
                  <c:v>0</c:v>
                </c:pt>
                <c:pt idx="541">
                  <c:v>540500</c:v>
                </c:pt>
                <c:pt idx="542">
                  <c:v>30409</c:v>
                </c:pt>
                <c:pt idx="543">
                  <c:v>572</c:v>
                </c:pt>
                <c:pt idx="544">
                  <c:v>0</c:v>
                </c:pt>
                <c:pt idx="545">
                  <c:v>4509</c:v>
                </c:pt>
                <c:pt idx="546">
                  <c:v>44943</c:v>
                </c:pt>
                <c:pt idx="547">
                  <c:v>2496</c:v>
                </c:pt>
                <c:pt idx="548">
                  <c:v>2497</c:v>
                </c:pt>
                <c:pt idx="549">
                  <c:v>0</c:v>
                </c:pt>
                <c:pt idx="550">
                  <c:v>0</c:v>
                </c:pt>
                <c:pt idx="551">
                  <c:v>367</c:v>
                </c:pt>
                <c:pt idx="552">
                  <c:v>729</c:v>
                </c:pt>
                <c:pt idx="553">
                  <c:v>0</c:v>
                </c:pt>
                <c:pt idx="554">
                  <c:v>703</c:v>
                </c:pt>
                <c:pt idx="555">
                  <c:v>5624</c:v>
                </c:pt>
                <c:pt idx="556">
                  <c:v>278287</c:v>
                </c:pt>
                <c:pt idx="557">
                  <c:v>0</c:v>
                </c:pt>
                <c:pt idx="558">
                  <c:v>0</c:v>
                </c:pt>
                <c:pt idx="559">
                  <c:v>22300</c:v>
                </c:pt>
                <c:pt idx="560">
                  <c:v>2783648</c:v>
                </c:pt>
                <c:pt idx="561">
                  <c:v>1</c:v>
                </c:pt>
                <c:pt idx="562">
                  <c:v>2782392</c:v>
                </c:pt>
                <c:pt idx="563">
                  <c:v>2782390</c:v>
                </c:pt>
                <c:pt idx="564">
                  <c:v>0</c:v>
                </c:pt>
                <c:pt idx="565">
                  <c:v>2782389</c:v>
                </c:pt>
                <c:pt idx="566">
                  <c:v>2782389</c:v>
                </c:pt>
                <c:pt idx="567">
                  <c:v>2782385</c:v>
                </c:pt>
                <c:pt idx="568">
                  <c:v>2782391</c:v>
                </c:pt>
                <c:pt idx="569">
                  <c:v>2782388</c:v>
                </c:pt>
                <c:pt idx="570">
                  <c:v>941177315</c:v>
                </c:pt>
                <c:pt idx="571">
                  <c:v>0</c:v>
                </c:pt>
                <c:pt idx="572">
                  <c:v>197</c:v>
                </c:pt>
                <c:pt idx="573">
                  <c:v>192</c:v>
                </c:pt>
                <c:pt idx="574">
                  <c:v>196</c:v>
                </c:pt>
                <c:pt idx="575">
                  <c:v>1322</c:v>
                </c:pt>
                <c:pt idx="576">
                  <c:v>0</c:v>
                </c:pt>
                <c:pt idx="579">
                  <c:v>44944</c:v>
                </c:pt>
                <c:pt idx="580">
                  <c:v>0</c:v>
                </c:pt>
                <c:pt idx="581">
                  <c:v>91833</c:v>
                </c:pt>
                <c:pt idx="582">
                  <c:v>119015</c:v>
                </c:pt>
                <c:pt idx="583">
                  <c:v>365</c:v>
                </c:pt>
                <c:pt idx="584">
                  <c:v>26</c:v>
                </c:pt>
                <c:pt idx="585">
                  <c:v>7739</c:v>
                </c:pt>
                <c:pt idx="586">
                  <c:v>0</c:v>
                </c:pt>
                <c:pt idx="587">
                  <c:v>5610</c:v>
                </c:pt>
                <c:pt idx="588">
                  <c:v>5609</c:v>
                </c:pt>
                <c:pt idx="589">
                  <c:v>26</c:v>
                </c:pt>
                <c:pt idx="590">
                  <c:v>925940</c:v>
                </c:pt>
                <c:pt idx="591">
                  <c:v>0</c:v>
                </c:pt>
                <c:pt idx="592">
                  <c:v>1872</c:v>
                </c:pt>
                <c:pt idx="593">
                  <c:v>17466</c:v>
                </c:pt>
                <c:pt idx="595">
                  <c:v>2796</c:v>
                </c:pt>
                <c:pt idx="596">
                  <c:v>849</c:v>
                </c:pt>
                <c:pt idx="597">
                  <c:v>5607</c:v>
                </c:pt>
                <c:pt idx="598">
                  <c:v>0</c:v>
                </c:pt>
                <c:pt idx="599">
                  <c:v>5608</c:v>
                </c:pt>
                <c:pt idx="600">
                  <c:v>766</c:v>
                </c:pt>
                <c:pt idx="601">
                  <c:v>0</c:v>
                </c:pt>
                <c:pt idx="602">
                  <c:v>5606</c:v>
                </c:pt>
                <c:pt idx="603">
                  <c:v>36357</c:v>
                </c:pt>
                <c:pt idx="604">
                  <c:v>11599</c:v>
                </c:pt>
                <c:pt idx="605">
                  <c:v>185</c:v>
                </c:pt>
                <c:pt idx="606">
                  <c:v>0</c:v>
                </c:pt>
                <c:pt idx="607">
                  <c:v>207</c:v>
                </c:pt>
                <c:pt idx="608">
                  <c:v>548</c:v>
                </c:pt>
                <c:pt idx="609">
                  <c:v>57</c:v>
                </c:pt>
                <c:pt idx="610">
                  <c:v>2797</c:v>
                </c:pt>
                <c:pt idx="611">
                  <c:v>106</c:v>
                </c:pt>
                <c:pt idx="612">
                  <c:v>3410</c:v>
                </c:pt>
                <c:pt idx="613">
                  <c:v>0</c:v>
                </c:pt>
                <c:pt idx="614">
                  <c:v>11590</c:v>
                </c:pt>
                <c:pt idx="615">
                  <c:v>17896</c:v>
                </c:pt>
                <c:pt idx="616">
                  <c:v>5608</c:v>
                </c:pt>
                <c:pt idx="617">
                  <c:v>1258</c:v>
                </c:pt>
                <c:pt idx="618">
                  <c:v>1259</c:v>
                </c:pt>
                <c:pt idx="619">
                  <c:v>1257</c:v>
                </c:pt>
                <c:pt idx="620">
                  <c:v>8127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5373</c:v>
                </c:pt>
                <c:pt idx="629">
                  <c:v>1675</c:v>
                </c:pt>
                <c:pt idx="630">
                  <c:v>841</c:v>
                </c:pt>
                <c:pt idx="631">
                  <c:v>294</c:v>
                </c:pt>
                <c:pt idx="632">
                  <c:v>10</c:v>
                </c:pt>
                <c:pt idx="633">
                  <c:v>634</c:v>
                </c:pt>
                <c:pt idx="634">
                  <c:v>73</c:v>
                </c:pt>
                <c:pt idx="635">
                  <c:v>241</c:v>
                </c:pt>
                <c:pt idx="636">
                  <c:v>732</c:v>
                </c:pt>
                <c:pt idx="637">
                  <c:v>606</c:v>
                </c:pt>
                <c:pt idx="638">
                  <c:v>171</c:v>
                </c:pt>
                <c:pt idx="639">
                  <c:v>27</c:v>
                </c:pt>
                <c:pt idx="640">
                  <c:v>3405</c:v>
                </c:pt>
                <c:pt idx="641">
                  <c:v>2657</c:v>
                </c:pt>
                <c:pt idx="642">
                  <c:v>88</c:v>
                </c:pt>
                <c:pt idx="643">
                  <c:v>957</c:v>
                </c:pt>
                <c:pt idx="644">
                  <c:v>357</c:v>
                </c:pt>
                <c:pt idx="645">
                  <c:v>1049</c:v>
                </c:pt>
                <c:pt idx="646">
                  <c:v>19</c:v>
                </c:pt>
                <c:pt idx="647">
                  <c:v>218</c:v>
                </c:pt>
                <c:pt idx="648">
                  <c:v>1380</c:v>
                </c:pt>
                <c:pt idx="649">
                  <c:v>472</c:v>
                </c:pt>
                <c:pt idx="650">
                  <c:v>116</c:v>
                </c:pt>
                <c:pt idx="651">
                  <c:v>1632</c:v>
                </c:pt>
                <c:pt idx="652">
                  <c:v>1878</c:v>
                </c:pt>
                <c:pt idx="653">
                  <c:v>1877</c:v>
                </c:pt>
                <c:pt idx="654">
                  <c:v>190609</c:v>
                </c:pt>
                <c:pt idx="655">
                  <c:v>190609</c:v>
                </c:pt>
                <c:pt idx="656">
                  <c:v>11591</c:v>
                </c:pt>
                <c:pt idx="657">
                  <c:v>969</c:v>
                </c:pt>
                <c:pt idx="658">
                  <c:v>242508</c:v>
                </c:pt>
                <c:pt idx="659">
                  <c:v>1879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1411</c:v>
                </c:pt>
                <c:pt idx="664">
                  <c:v>0</c:v>
                </c:pt>
                <c:pt idx="665">
                  <c:v>491</c:v>
                </c:pt>
                <c:pt idx="666">
                  <c:v>0</c:v>
                </c:pt>
                <c:pt idx="667">
                  <c:v>2407</c:v>
                </c:pt>
                <c:pt idx="668">
                  <c:v>73506982</c:v>
                </c:pt>
                <c:pt idx="669">
                  <c:v>73502960</c:v>
                </c:pt>
                <c:pt idx="670">
                  <c:v>73506311</c:v>
                </c:pt>
                <c:pt idx="671">
                  <c:v>17542</c:v>
                </c:pt>
                <c:pt idx="672">
                  <c:v>0</c:v>
                </c:pt>
                <c:pt idx="673">
                  <c:v>233</c:v>
                </c:pt>
                <c:pt idx="674">
                  <c:v>119</c:v>
                </c:pt>
                <c:pt idx="675">
                  <c:v>26</c:v>
                </c:pt>
                <c:pt idx="676">
                  <c:v>1042</c:v>
                </c:pt>
                <c:pt idx="677">
                  <c:v>0</c:v>
                </c:pt>
                <c:pt idx="678">
                  <c:v>0</c:v>
                </c:pt>
                <c:pt idx="679">
                  <c:v>1025</c:v>
                </c:pt>
                <c:pt idx="680">
                  <c:v>90</c:v>
                </c:pt>
                <c:pt idx="681">
                  <c:v>0</c:v>
                </c:pt>
                <c:pt idx="682">
                  <c:v>476</c:v>
                </c:pt>
                <c:pt idx="683">
                  <c:v>0</c:v>
                </c:pt>
                <c:pt idx="684">
                  <c:v>184608767</c:v>
                </c:pt>
                <c:pt idx="685">
                  <c:v>11596</c:v>
                </c:pt>
                <c:pt idx="686">
                  <c:v>11596</c:v>
                </c:pt>
                <c:pt idx="687">
                  <c:v>11596</c:v>
                </c:pt>
                <c:pt idx="688">
                  <c:v>11596</c:v>
                </c:pt>
                <c:pt idx="689">
                  <c:v>119666</c:v>
                </c:pt>
                <c:pt idx="690">
                  <c:v>0</c:v>
                </c:pt>
                <c:pt idx="691">
                  <c:v>935368008</c:v>
                </c:pt>
                <c:pt idx="692" formatCode="m/d/yyyy">
                  <c:v>935248070</c:v>
                </c:pt>
                <c:pt idx="693">
                  <c:v>2388</c:v>
                </c:pt>
                <c:pt idx="694">
                  <c:v>1845</c:v>
                </c:pt>
                <c:pt idx="695">
                  <c:v>1843</c:v>
                </c:pt>
                <c:pt idx="696">
                  <c:v>1844</c:v>
                </c:pt>
                <c:pt idx="697">
                  <c:v>1846</c:v>
                </c:pt>
                <c:pt idx="698">
                  <c:v>3336</c:v>
                </c:pt>
                <c:pt idx="699">
                  <c:v>3337</c:v>
                </c:pt>
                <c:pt idx="700">
                  <c:v>3338</c:v>
                </c:pt>
                <c:pt idx="701">
                  <c:v>3339</c:v>
                </c:pt>
                <c:pt idx="702">
                  <c:v>19</c:v>
                </c:pt>
                <c:pt idx="703">
                  <c:v>1850</c:v>
                </c:pt>
                <c:pt idx="704">
                  <c:v>19</c:v>
                </c:pt>
                <c:pt idx="705">
                  <c:v>478</c:v>
                </c:pt>
                <c:pt idx="706">
                  <c:v>7</c:v>
                </c:pt>
                <c:pt idx="707">
                  <c:v>1849</c:v>
                </c:pt>
                <c:pt idx="708">
                  <c:v>1847</c:v>
                </c:pt>
                <c:pt idx="709">
                  <c:v>0</c:v>
                </c:pt>
                <c:pt idx="710">
                  <c:v>0</c:v>
                </c:pt>
                <c:pt idx="711">
                  <c:v>222</c:v>
                </c:pt>
                <c:pt idx="712">
                  <c:v>0</c:v>
                </c:pt>
                <c:pt idx="713">
                  <c:v>90</c:v>
                </c:pt>
                <c:pt idx="714">
                  <c:v>2</c:v>
                </c:pt>
                <c:pt idx="715">
                  <c:v>2797105</c:v>
                </c:pt>
                <c:pt idx="716">
                  <c:v>2796375</c:v>
                </c:pt>
                <c:pt idx="717">
                  <c:v>2796373</c:v>
                </c:pt>
                <c:pt idx="718">
                  <c:v>2796377</c:v>
                </c:pt>
                <c:pt idx="719">
                  <c:v>2796376</c:v>
                </c:pt>
                <c:pt idx="720">
                  <c:v>477</c:v>
                </c:pt>
                <c:pt idx="721">
                  <c:v>1848</c:v>
                </c:pt>
                <c:pt idx="722">
                  <c:v>2796345</c:v>
                </c:pt>
                <c:pt idx="723">
                  <c:v>1324</c:v>
                </c:pt>
                <c:pt idx="724">
                  <c:v>17906</c:v>
                </c:pt>
                <c:pt idx="725">
                  <c:v>91916</c:v>
                </c:pt>
                <c:pt idx="726">
                  <c:v>102</c:v>
                </c:pt>
                <c:pt idx="727">
                  <c:v>0</c:v>
                </c:pt>
                <c:pt idx="728">
                  <c:v>2411</c:v>
                </c:pt>
                <c:pt idx="729">
                  <c:v>2409</c:v>
                </c:pt>
                <c:pt idx="730">
                  <c:v>475</c:v>
                </c:pt>
                <c:pt idx="731">
                  <c:v>0</c:v>
                </c:pt>
                <c:pt idx="732">
                  <c:v>0</c:v>
                </c:pt>
                <c:pt idx="733">
                  <c:v>942953898</c:v>
                </c:pt>
                <c:pt idx="734">
                  <c:v>2793</c:v>
                </c:pt>
                <c:pt idx="735">
                  <c:v>0</c:v>
                </c:pt>
                <c:pt idx="736">
                  <c:v>412</c:v>
                </c:pt>
                <c:pt idx="737">
                  <c:v>0</c:v>
                </c:pt>
                <c:pt idx="738">
                  <c:v>942946546</c:v>
                </c:pt>
                <c:pt idx="739">
                  <c:v>943142618</c:v>
                </c:pt>
                <c:pt idx="740">
                  <c:v>942946589</c:v>
                </c:pt>
                <c:pt idx="741">
                  <c:v>9085</c:v>
                </c:pt>
                <c:pt idx="742">
                  <c:v>199</c:v>
                </c:pt>
                <c:pt idx="743">
                  <c:v>198</c:v>
                </c:pt>
                <c:pt idx="744">
                  <c:v>17515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5108</c:v>
                </c:pt>
                <c:pt idx="751">
                  <c:v>5578</c:v>
                </c:pt>
                <c:pt idx="752">
                  <c:v>0</c:v>
                </c:pt>
                <c:pt idx="753">
                  <c:v>1028</c:v>
                </c:pt>
                <c:pt idx="754">
                  <c:v>2417</c:v>
                </c:pt>
                <c:pt idx="755">
                  <c:v>2261</c:v>
                </c:pt>
                <c:pt idx="756">
                  <c:v>2259</c:v>
                </c:pt>
                <c:pt idx="757">
                  <c:v>2260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2272</c:v>
                </c:pt>
                <c:pt idx="764">
                  <c:v>342</c:v>
                </c:pt>
                <c:pt idx="765">
                  <c:v>2</c:v>
                </c:pt>
                <c:pt idx="766">
                  <c:v>196</c:v>
                </c:pt>
                <c:pt idx="767">
                  <c:v>210</c:v>
                </c:pt>
                <c:pt idx="768">
                  <c:v>0</c:v>
                </c:pt>
                <c:pt idx="769">
                  <c:v>0</c:v>
                </c:pt>
                <c:pt idx="770">
                  <c:v>664</c:v>
                </c:pt>
                <c:pt idx="771">
                  <c:v>45580</c:v>
                </c:pt>
                <c:pt idx="772">
                  <c:v>1027</c:v>
                </c:pt>
                <c:pt idx="773">
                  <c:v>0</c:v>
                </c:pt>
                <c:pt idx="774">
                  <c:v>13620</c:v>
                </c:pt>
                <c:pt idx="775">
                  <c:v>2534</c:v>
                </c:pt>
                <c:pt idx="776">
                  <c:v>2535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1410</c:v>
                </c:pt>
                <c:pt idx="781">
                  <c:v>0</c:v>
                </c:pt>
                <c:pt idx="782">
                  <c:v>1841</c:v>
                </c:pt>
                <c:pt idx="783">
                  <c:v>13533</c:v>
                </c:pt>
                <c:pt idx="784">
                  <c:v>13621</c:v>
                </c:pt>
                <c:pt idx="785">
                  <c:v>1841</c:v>
                </c:pt>
                <c:pt idx="786">
                  <c:v>6984</c:v>
                </c:pt>
                <c:pt idx="787">
                  <c:v>6982</c:v>
                </c:pt>
                <c:pt idx="788">
                  <c:v>169</c:v>
                </c:pt>
                <c:pt idx="789">
                  <c:v>2262</c:v>
                </c:pt>
                <c:pt idx="790">
                  <c:v>2264</c:v>
                </c:pt>
                <c:pt idx="791">
                  <c:v>2265</c:v>
                </c:pt>
                <c:pt idx="792">
                  <c:v>2269</c:v>
                </c:pt>
                <c:pt idx="793">
                  <c:v>2271</c:v>
                </c:pt>
                <c:pt idx="794">
                  <c:v>36102</c:v>
                </c:pt>
                <c:pt idx="795">
                  <c:v>1842</c:v>
                </c:pt>
                <c:pt idx="796">
                  <c:v>1842</c:v>
                </c:pt>
                <c:pt idx="797">
                  <c:v>75</c:v>
                </c:pt>
                <c:pt idx="798">
                  <c:v>0</c:v>
                </c:pt>
                <c:pt idx="799">
                  <c:v>0</c:v>
                </c:pt>
                <c:pt idx="800">
                  <c:v>4775</c:v>
                </c:pt>
                <c:pt idx="801">
                  <c:v>1633</c:v>
                </c:pt>
                <c:pt idx="802">
                  <c:v>0</c:v>
                </c:pt>
                <c:pt idx="803">
                  <c:v>13531</c:v>
                </c:pt>
                <c:pt idx="804">
                  <c:v>13619</c:v>
                </c:pt>
                <c:pt idx="805">
                  <c:v>191</c:v>
                </c:pt>
                <c:pt idx="806">
                  <c:v>89</c:v>
                </c:pt>
                <c:pt idx="807">
                  <c:v>908</c:v>
                </c:pt>
                <c:pt idx="808">
                  <c:v>156</c:v>
                </c:pt>
                <c:pt idx="809">
                  <c:v>157</c:v>
                </c:pt>
                <c:pt idx="810">
                  <c:v>42</c:v>
                </c:pt>
                <c:pt idx="811">
                  <c:v>1026</c:v>
                </c:pt>
                <c:pt idx="812">
                  <c:v>1026</c:v>
                </c:pt>
                <c:pt idx="813">
                  <c:v>1026</c:v>
                </c:pt>
                <c:pt idx="814">
                  <c:v>1026</c:v>
                </c:pt>
                <c:pt idx="815">
                  <c:v>1026</c:v>
                </c:pt>
                <c:pt idx="816">
                  <c:v>11449</c:v>
                </c:pt>
                <c:pt idx="817">
                  <c:v>200</c:v>
                </c:pt>
                <c:pt idx="818">
                  <c:v>1904</c:v>
                </c:pt>
                <c:pt idx="819">
                  <c:v>2300</c:v>
                </c:pt>
                <c:pt idx="820">
                  <c:v>2298</c:v>
                </c:pt>
                <c:pt idx="821">
                  <c:v>2267</c:v>
                </c:pt>
                <c:pt idx="822">
                  <c:v>942919856</c:v>
                </c:pt>
                <c:pt idx="823">
                  <c:v>942919853</c:v>
                </c:pt>
                <c:pt idx="824">
                  <c:v>942919854</c:v>
                </c:pt>
                <c:pt idx="825">
                  <c:v>942919855</c:v>
                </c:pt>
                <c:pt idx="826">
                  <c:v>942919870</c:v>
                </c:pt>
                <c:pt idx="827">
                  <c:v>1423</c:v>
                </c:pt>
                <c:pt idx="828">
                  <c:v>5628</c:v>
                </c:pt>
                <c:pt idx="829">
                  <c:v>0</c:v>
                </c:pt>
                <c:pt idx="830">
                  <c:v>219009</c:v>
                </c:pt>
                <c:pt idx="831">
                  <c:v>17543</c:v>
                </c:pt>
                <c:pt idx="832">
                  <c:v>1078</c:v>
                </c:pt>
                <c:pt idx="833">
                  <c:v>739</c:v>
                </c:pt>
                <c:pt idx="834">
                  <c:v>0</c:v>
                </c:pt>
                <c:pt idx="835">
                  <c:v>942946544</c:v>
                </c:pt>
                <c:pt idx="836">
                  <c:v>942946587</c:v>
                </c:pt>
                <c:pt idx="837">
                  <c:v>65</c:v>
                </c:pt>
                <c:pt idx="838">
                  <c:v>4509</c:v>
                </c:pt>
                <c:pt idx="839">
                  <c:v>4498</c:v>
                </c:pt>
                <c:pt idx="840">
                  <c:v>4499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4484</c:v>
                </c:pt>
                <c:pt idx="846">
                  <c:v>4485</c:v>
                </c:pt>
                <c:pt idx="847">
                  <c:v>4495</c:v>
                </c:pt>
                <c:pt idx="848">
                  <c:v>4489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1910</c:v>
                </c:pt>
                <c:pt idx="854">
                  <c:v>35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2674</c:v>
                </c:pt>
                <c:pt idx="860">
                  <c:v>2675</c:v>
                </c:pt>
                <c:pt idx="861">
                  <c:v>0</c:v>
                </c:pt>
                <c:pt idx="862">
                  <c:v>2307</c:v>
                </c:pt>
                <c:pt idx="863">
                  <c:v>2304</c:v>
                </c:pt>
                <c:pt idx="864">
                  <c:v>2305</c:v>
                </c:pt>
                <c:pt idx="865">
                  <c:v>2303</c:v>
                </c:pt>
                <c:pt idx="866">
                  <c:v>2305</c:v>
                </c:pt>
                <c:pt idx="867">
                  <c:v>11916</c:v>
                </c:pt>
                <c:pt idx="868">
                  <c:v>16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121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243246</c:v>
                </c:pt>
                <c:pt idx="878">
                  <c:v>243206</c:v>
                </c:pt>
                <c:pt idx="879">
                  <c:v>1024</c:v>
                </c:pt>
                <c:pt idx="880">
                  <c:v>5703</c:v>
                </c:pt>
                <c:pt idx="881">
                  <c:v>0</c:v>
                </c:pt>
                <c:pt idx="882">
                  <c:v>2270</c:v>
                </c:pt>
                <c:pt idx="883">
                  <c:v>0</c:v>
                </c:pt>
                <c:pt idx="884">
                  <c:v>11915</c:v>
                </c:pt>
                <c:pt idx="885">
                  <c:v>3656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268</c:v>
                </c:pt>
                <c:pt idx="893">
                  <c:v>704</c:v>
                </c:pt>
                <c:pt idx="894">
                  <c:v>14</c:v>
                </c:pt>
                <c:pt idx="895">
                  <c:v>3478</c:v>
                </c:pt>
                <c:pt idx="896">
                  <c:v>243207</c:v>
                </c:pt>
                <c:pt idx="897">
                  <c:v>0</c:v>
                </c:pt>
                <c:pt idx="898">
                  <c:v>11920</c:v>
                </c:pt>
                <c:pt idx="899">
                  <c:v>11920</c:v>
                </c:pt>
                <c:pt idx="900">
                  <c:v>11920</c:v>
                </c:pt>
                <c:pt idx="901">
                  <c:v>11920</c:v>
                </c:pt>
                <c:pt idx="902">
                  <c:v>3</c:v>
                </c:pt>
                <c:pt idx="903">
                  <c:v>2165</c:v>
                </c:pt>
                <c:pt idx="904">
                  <c:v>2310</c:v>
                </c:pt>
                <c:pt idx="905">
                  <c:v>2026934</c:v>
                </c:pt>
                <c:pt idx="906">
                  <c:v>4500</c:v>
                </c:pt>
                <c:pt idx="907">
                  <c:v>4501</c:v>
                </c:pt>
                <c:pt idx="908">
                  <c:v>4502</c:v>
                </c:pt>
                <c:pt idx="909">
                  <c:v>333</c:v>
                </c:pt>
                <c:pt idx="910">
                  <c:v>1637</c:v>
                </c:pt>
                <c:pt idx="911">
                  <c:v>2574</c:v>
                </c:pt>
                <c:pt idx="912">
                  <c:v>2572</c:v>
                </c:pt>
                <c:pt idx="913">
                  <c:v>6529</c:v>
                </c:pt>
                <c:pt idx="914">
                  <c:v>1635</c:v>
                </c:pt>
                <c:pt idx="915">
                  <c:v>6536</c:v>
                </c:pt>
                <c:pt idx="916">
                  <c:v>754</c:v>
                </c:pt>
                <c:pt idx="917">
                  <c:v>1638</c:v>
                </c:pt>
                <c:pt idx="918">
                  <c:v>63</c:v>
                </c:pt>
                <c:pt idx="919">
                  <c:v>1197</c:v>
                </c:pt>
                <c:pt idx="920">
                  <c:v>64</c:v>
                </c:pt>
                <c:pt idx="921">
                  <c:v>1905</c:v>
                </c:pt>
                <c:pt idx="922">
                  <c:v>854</c:v>
                </c:pt>
                <c:pt idx="923">
                  <c:v>0</c:v>
                </c:pt>
                <c:pt idx="924">
                  <c:v>0</c:v>
                </c:pt>
                <c:pt idx="925">
                  <c:v>331</c:v>
                </c:pt>
                <c:pt idx="926">
                  <c:v>2363</c:v>
                </c:pt>
                <c:pt idx="927">
                  <c:v>2362</c:v>
                </c:pt>
                <c:pt idx="928">
                  <c:v>0</c:v>
                </c:pt>
                <c:pt idx="929">
                  <c:v>2808</c:v>
                </c:pt>
                <c:pt idx="930">
                  <c:v>2806</c:v>
                </c:pt>
                <c:pt idx="931">
                  <c:v>0</c:v>
                </c:pt>
                <c:pt idx="932">
                  <c:v>3334</c:v>
                </c:pt>
                <c:pt idx="933">
                  <c:v>3334</c:v>
                </c:pt>
                <c:pt idx="934">
                  <c:v>84707</c:v>
                </c:pt>
                <c:pt idx="935">
                  <c:v>84706</c:v>
                </c:pt>
                <c:pt idx="936">
                  <c:v>0</c:v>
                </c:pt>
                <c:pt idx="937">
                  <c:v>0</c:v>
                </c:pt>
                <c:pt idx="938">
                  <c:v>2327</c:v>
                </c:pt>
                <c:pt idx="939">
                  <c:v>2328</c:v>
                </c:pt>
                <c:pt idx="940">
                  <c:v>2325</c:v>
                </c:pt>
                <c:pt idx="941">
                  <c:v>655589</c:v>
                </c:pt>
                <c:pt idx="942">
                  <c:v>0</c:v>
                </c:pt>
                <c:pt idx="943">
                  <c:v>237</c:v>
                </c:pt>
                <c:pt idx="944">
                  <c:v>430</c:v>
                </c:pt>
                <c:pt idx="945">
                  <c:v>25</c:v>
                </c:pt>
                <c:pt idx="946">
                  <c:v>11923</c:v>
                </c:pt>
                <c:pt idx="947">
                  <c:v>0</c:v>
                </c:pt>
                <c:pt idx="948">
                  <c:v>13634</c:v>
                </c:pt>
                <c:pt idx="949">
                  <c:v>973</c:v>
                </c:pt>
                <c:pt idx="950">
                  <c:v>4516</c:v>
                </c:pt>
                <c:pt idx="951">
                  <c:v>4515</c:v>
                </c:pt>
                <c:pt idx="952">
                  <c:v>0</c:v>
                </c:pt>
                <c:pt idx="959">
                  <c:v>2312</c:v>
                </c:pt>
                <c:pt idx="960">
                  <c:v>2309</c:v>
                </c:pt>
                <c:pt idx="961">
                  <c:v>2301</c:v>
                </c:pt>
                <c:pt idx="962">
                  <c:v>2302</c:v>
                </c:pt>
                <c:pt idx="966">
                  <c:v>71</c:v>
                </c:pt>
                <c:pt idx="967">
                  <c:v>13</c:v>
                </c:pt>
                <c:pt idx="968">
                  <c:v>5750</c:v>
                </c:pt>
                <c:pt idx="969">
                  <c:v>1957</c:v>
                </c:pt>
                <c:pt idx="970">
                  <c:v>7806</c:v>
                </c:pt>
                <c:pt idx="971">
                  <c:v>6541</c:v>
                </c:pt>
                <c:pt idx="972">
                  <c:v>3706</c:v>
                </c:pt>
                <c:pt idx="973">
                  <c:v>7764</c:v>
                </c:pt>
                <c:pt idx="974">
                  <c:v>1640</c:v>
                </c:pt>
                <c:pt idx="975">
                  <c:v>0</c:v>
                </c:pt>
                <c:pt idx="976">
                  <c:v>0</c:v>
                </c:pt>
                <c:pt idx="977">
                  <c:v>804</c:v>
                </c:pt>
                <c:pt idx="980">
                  <c:v>396</c:v>
                </c:pt>
                <c:pt idx="981">
                  <c:v>0</c:v>
                </c:pt>
                <c:pt idx="982">
                  <c:v>2365</c:v>
                </c:pt>
                <c:pt idx="983">
                  <c:v>2366</c:v>
                </c:pt>
                <c:pt idx="985">
                  <c:v>11916</c:v>
                </c:pt>
                <c:pt idx="986">
                  <c:v>17551</c:v>
                </c:pt>
                <c:pt idx="987" formatCode="#,##0">
                  <c:v>189609</c:v>
                </c:pt>
                <c:pt idx="988" formatCode="#,##0">
                  <c:v>189004</c:v>
                </c:pt>
                <c:pt idx="989">
                  <c:v>76</c:v>
                </c:pt>
                <c:pt idx="990">
                  <c:v>5113</c:v>
                </c:pt>
                <c:pt idx="991">
                  <c:v>16947</c:v>
                </c:pt>
                <c:pt idx="992">
                  <c:v>0</c:v>
                </c:pt>
                <c:pt idx="993">
                  <c:v>1644</c:v>
                </c:pt>
                <c:pt idx="995">
                  <c:v>5730</c:v>
                </c:pt>
                <c:pt idx="996">
                  <c:v>2326</c:v>
                </c:pt>
                <c:pt idx="997">
                  <c:v>335</c:v>
                </c:pt>
                <c:pt idx="998">
                  <c:v>1616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2796379</c:v>
                </c:pt>
                <c:pt idx="1003">
                  <c:v>2796384</c:v>
                </c:pt>
                <c:pt idx="1004">
                  <c:v>2798046</c:v>
                </c:pt>
                <c:pt idx="1005">
                  <c:v>2798048</c:v>
                </c:pt>
                <c:pt idx="1006">
                  <c:v>2796382</c:v>
                </c:pt>
                <c:pt idx="1007">
                  <c:v>2796385</c:v>
                </c:pt>
                <c:pt idx="1008">
                  <c:v>2798047</c:v>
                </c:pt>
                <c:pt idx="1009">
                  <c:v>2796378</c:v>
                </c:pt>
                <c:pt idx="1010">
                  <c:v>2796381</c:v>
                </c:pt>
                <c:pt idx="1011">
                  <c:v>2796380</c:v>
                </c:pt>
                <c:pt idx="1012">
                  <c:v>2796386</c:v>
                </c:pt>
                <c:pt idx="1013">
                  <c:v>2797680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243858</c:v>
                </c:pt>
                <c:pt idx="1020">
                  <c:v>243856</c:v>
                </c:pt>
                <c:pt idx="1021">
                  <c:v>327</c:v>
                </c:pt>
                <c:pt idx="1022">
                  <c:v>0</c:v>
                </c:pt>
                <c:pt idx="1023">
                  <c:v>0</c:v>
                </c:pt>
                <c:pt idx="1024">
                  <c:v>73502960</c:v>
                </c:pt>
                <c:pt idx="1025">
                  <c:v>73643521</c:v>
                </c:pt>
                <c:pt idx="1026">
                  <c:v>0</c:v>
                </c:pt>
                <c:pt idx="1027">
                  <c:v>7659</c:v>
                </c:pt>
                <c:pt idx="1028">
                  <c:v>73506311</c:v>
                </c:pt>
                <c:pt idx="1029">
                  <c:v>225068</c:v>
                </c:pt>
                <c:pt idx="1030">
                  <c:v>363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13</c:v>
                </c:pt>
                <c:pt idx="1035">
                  <c:v>0</c:v>
                </c:pt>
                <c:pt idx="1036">
                  <c:v>1942</c:v>
                </c:pt>
                <c:pt idx="1037">
                  <c:v>8759</c:v>
                </c:pt>
                <c:pt idx="1038">
                  <c:v>0</c:v>
                </c:pt>
                <c:pt idx="1039">
                  <c:v>1109833</c:v>
                </c:pt>
                <c:pt idx="1040">
                  <c:v>277</c:v>
                </c:pt>
                <c:pt idx="1041">
                  <c:v>58847325</c:v>
                </c:pt>
                <c:pt idx="1042">
                  <c:v>0</c:v>
                </c:pt>
                <c:pt idx="1043">
                  <c:v>0</c:v>
                </c:pt>
                <c:pt idx="1045">
                  <c:v>42931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880</c:v>
                </c:pt>
                <c:pt idx="1050">
                  <c:v>78</c:v>
                </c:pt>
                <c:pt idx="1051">
                  <c:v>0</c:v>
                </c:pt>
                <c:pt idx="1052">
                  <c:v>0</c:v>
                </c:pt>
                <c:pt idx="1053">
                  <c:v>962890</c:v>
                </c:pt>
                <c:pt idx="1054">
                  <c:v>2110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1721</c:v>
                </c:pt>
                <c:pt idx="1062">
                  <c:v>196182</c:v>
                </c:pt>
                <c:pt idx="1063">
                  <c:v>16224</c:v>
                </c:pt>
                <c:pt idx="1064">
                  <c:v>0</c:v>
                </c:pt>
                <c:pt idx="1065">
                  <c:v>4</c:v>
                </c:pt>
                <c:pt idx="1066">
                  <c:v>2870</c:v>
                </c:pt>
                <c:pt idx="1067">
                  <c:v>1263</c:v>
                </c:pt>
                <c:pt idx="1068">
                  <c:v>0</c:v>
                </c:pt>
                <c:pt idx="1069">
                  <c:v>1264</c:v>
                </c:pt>
                <c:pt idx="1070">
                  <c:v>76</c:v>
                </c:pt>
                <c:pt idx="1071">
                  <c:v>7719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5239</c:v>
                </c:pt>
                <c:pt idx="1078">
                  <c:v>0</c:v>
                </c:pt>
                <c:pt idx="1079">
                  <c:v>1720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214</c:v>
                </c:pt>
                <c:pt idx="1089">
                  <c:v>103</c:v>
                </c:pt>
                <c:pt idx="1090">
                  <c:v>334</c:v>
                </c:pt>
                <c:pt idx="1091">
                  <c:v>0</c:v>
                </c:pt>
                <c:pt idx="1092">
                  <c:v>5188</c:v>
                </c:pt>
                <c:pt idx="1093">
                  <c:v>215</c:v>
                </c:pt>
                <c:pt idx="1094">
                  <c:v>0</c:v>
                </c:pt>
                <c:pt idx="1095">
                  <c:v>232</c:v>
                </c:pt>
                <c:pt idx="1096">
                  <c:v>26556</c:v>
                </c:pt>
                <c:pt idx="1097">
                  <c:v>225840</c:v>
                </c:pt>
                <c:pt idx="1098">
                  <c:v>92390</c:v>
                </c:pt>
                <c:pt idx="1099">
                  <c:v>0</c:v>
                </c:pt>
                <c:pt idx="1100">
                  <c:v>778</c:v>
                </c:pt>
                <c:pt idx="1101">
                  <c:v>0</c:v>
                </c:pt>
                <c:pt idx="1103">
                  <c:v>484</c:v>
                </c:pt>
                <c:pt idx="1104">
                  <c:v>0</c:v>
                </c:pt>
                <c:pt idx="1105">
                  <c:v>1269</c:v>
                </c:pt>
                <c:pt idx="1106">
                  <c:v>0</c:v>
                </c:pt>
                <c:pt idx="1107">
                  <c:v>119</c:v>
                </c:pt>
                <c:pt idx="1108">
                  <c:v>212</c:v>
                </c:pt>
                <c:pt idx="1109">
                  <c:v>210</c:v>
                </c:pt>
                <c:pt idx="1110">
                  <c:v>36791</c:v>
                </c:pt>
                <c:pt idx="1111">
                  <c:v>497</c:v>
                </c:pt>
                <c:pt idx="1112">
                  <c:v>170</c:v>
                </c:pt>
                <c:pt idx="1113">
                  <c:v>2824</c:v>
                </c:pt>
                <c:pt idx="1114">
                  <c:v>2801</c:v>
                </c:pt>
                <c:pt idx="1115">
                  <c:v>125</c:v>
                </c:pt>
                <c:pt idx="1116">
                  <c:v>172</c:v>
                </c:pt>
                <c:pt idx="1117">
                  <c:v>30</c:v>
                </c:pt>
                <c:pt idx="1118">
                  <c:v>296</c:v>
                </c:pt>
                <c:pt idx="1119">
                  <c:v>93</c:v>
                </c:pt>
                <c:pt idx="1120">
                  <c:v>0</c:v>
                </c:pt>
                <c:pt idx="1121">
                  <c:v>2682</c:v>
                </c:pt>
                <c:pt idx="1122">
                  <c:v>227</c:v>
                </c:pt>
                <c:pt idx="1123">
                  <c:v>3</c:v>
                </c:pt>
                <c:pt idx="1124">
                  <c:v>0</c:v>
                </c:pt>
                <c:pt idx="1125">
                  <c:v>3459</c:v>
                </c:pt>
                <c:pt idx="1126">
                  <c:v>0</c:v>
                </c:pt>
                <c:pt idx="1127">
                  <c:v>42</c:v>
                </c:pt>
                <c:pt idx="1128">
                  <c:v>235</c:v>
                </c:pt>
                <c:pt idx="1129">
                  <c:v>220</c:v>
                </c:pt>
                <c:pt idx="1130">
                  <c:v>3</c:v>
                </c:pt>
                <c:pt idx="1131">
                  <c:v>950395240</c:v>
                </c:pt>
                <c:pt idx="1132">
                  <c:v>950395226</c:v>
                </c:pt>
                <c:pt idx="1133">
                  <c:v>244662</c:v>
                </c:pt>
                <c:pt idx="1134">
                  <c:v>1696</c:v>
                </c:pt>
                <c:pt idx="1135">
                  <c:v>950395199</c:v>
                </c:pt>
                <c:pt idx="1136">
                  <c:v>105</c:v>
                </c:pt>
                <c:pt idx="1137">
                  <c:v>628</c:v>
                </c:pt>
                <c:pt idx="1138">
                  <c:v>0</c:v>
                </c:pt>
                <c:pt idx="1139">
                  <c:v>848</c:v>
                </c:pt>
                <c:pt idx="1140">
                  <c:v>0</c:v>
                </c:pt>
                <c:pt idx="1141">
                  <c:v>960</c:v>
                </c:pt>
                <c:pt idx="1142">
                  <c:v>0</c:v>
                </c:pt>
                <c:pt idx="1143">
                  <c:v>11488</c:v>
                </c:pt>
                <c:pt idx="1144">
                  <c:v>1519</c:v>
                </c:pt>
                <c:pt idx="1145">
                  <c:v>483</c:v>
                </c:pt>
                <c:pt idx="1146">
                  <c:v>0</c:v>
                </c:pt>
                <c:pt idx="1147">
                  <c:v>39</c:v>
                </c:pt>
                <c:pt idx="1148">
                  <c:v>0</c:v>
                </c:pt>
                <c:pt idx="1150">
                  <c:v>1057</c:v>
                </c:pt>
                <c:pt idx="1151">
                  <c:v>0</c:v>
                </c:pt>
                <c:pt idx="1152">
                  <c:v>205</c:v>
                </c:pt>
                <c:pt idx="1153">
                  <c:v>245</c:v>
                </c:pt>
                <c:pt idx="1154">
                  <c:v>0</c:v>
                </c:pt>
                <c:pt idx="1155">
                  <c:v>1692</c:v>
                </c:pt>
                <c:pt idx="1156">
                  <c:v>1692</c:v>
                </c:pt>
                <c:pt idx="1157">
                  <c:v>1692</c:v>
                </c:pt>
                <c:pt idx="1158">
                  <c:v>1692</c:v>
                </c:pt>
                <c:pt idx="1159">
                  <c:v>0</c:v>
                </c:pt>
                <c:pt idx="1160">
                  <c:v>206</c:v>
                </c:pt>
                <c:pt idx="1161">
                  <c:v>0</c:v>
                </c:pt>
                <c:pt idx="1162">
                  <c:v>27</c:v>
                </c:pt>
                <c:pt idx="1163">
                  <c:v>16</c:v>
                </c:pt>
                <c:pt idx="1164">
                  <c:v>736</c:v>
                </c:pt>
                <c:pt idx="1165">
                  <c:v>94</c:v>
                </c:pt>
                <c:pt idx="1166">
                  <c:v>1328</c:v>
                </c:pt>
                <c:pt idx="1167">
                  <c:v>0</c:v>
                </c:pt>
                <c:pt idx="1168">
                  <c:v>2591</c:v>
                </c:pt>
                <c:pt idx="1169">
                  <c:v>9504927</c:v>
                </c:pt>
                <c:pt idx="1170">
                  <c:v>0</c:v>
                </c:pt>
                <c:pt idx="1171">
                  <c:v>950771320</c:v>
                </c:pt>
                <c:pt idx="1172">
                  <c:v>181778890</c:v>
                </c:pt>
                <c:pt idx="1173">
                  <c:v>1695</c:v>
                </c:pt>
                <c:pt idx="1174">
                  <c:v>244664</c:v>
                </c:pt>
                <c:pt idx="1175">
                  <c:v>244663</c:v>
                </c:pt>
                <c:pt idx="1176">
                  <c:v>244901</c:v>
                </c:pt>
                <c:pt idx="1177">
                  <c:v>1392</c:v>
                </c:pt>
                <c:pt idx="1178">
                  <c:v>2449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279864</c:v>
                </c:pt>
                <c:pt idx="1185">
                  <c:v>2450</c:v>
                </c:pt>
                <c:pt idx="1186">
                  <c:v>1079</c:v>
                </c:pt>
                <c:pt idx="1187">
                  <c:v>2451</c:v>
                </c:pt>
                <c:pt idx="1188">
                  <c:v>950594607</c:v>
                </c:pt>
                <c:pt idx="1189">
                  <c:v>485</c:v>
                </c:pt>
                <c:pt idx="1190">
                  <c:v>0</c:v>
                </c:pt>
                <c:pt idx="1191">
                  <c:v>90</c:v>
                </c:pt>
                <c:pt idx="1192">
                  <c:v>0</c:v>
                </c:pt>
                <c:pt idx="1193">
                  <c:v>815</c:v>
                </c:pt>
                <c:pt idx="1194">
                  <c:v>45905</c:v>
                </c:pt>
                <c:pt idx="1195">
                  <c:v>4543</c:v>
                </c:pt>
                <c:pt idx="1196">
                  <c:v>2587</c:v>
                </c:pt>
                <c:pt idx="1197">
                  <c:v>950389106</c:v>
                </c:pt>
                <c:pt idx="1198">
                  <c:v>950594608</c:v>
                </c:pt>
                <c:pt idx="1199">
                  <c:v>120331</c:v>
                </c:pt>
                <c:pt idx="1200">
                  <c:v>0</c:v>
                </c:pt>
                <c:pt idx="1201">
                  <c:v>950389144</c:v>
                </c:pt>
                <c:pt idx="1202">
                  <c:v>0</c:v>
                </c:pt>
                <c:pt idx="1203">
                  <c:v>499</c:v>
                </c:pt>
                <c:pt idx="1204">
                  <c:v>0</c:v>
                </c:pt>
                <c:pt idx="1205">
                  <c:v>45907</c:v>
                </c:pt>
                <c:pt idx="1206">
                  <c:v>1433</c:v>
                </c:pt>
                <c:pt idx="1207">
                  <c:v>13</c:v>
                </c:pt>
                <c:pt idx="1208">
                  <c:v>196</c:v>
                </c:pt>
                <c:pt idx="1209">
                  <c:v>950389105</c:v>
                </c:pt>
                <c:pt idx="1210">
                  <c:v>0</c:v>
                </c:pt>
                <c:pt idx="1211">
                  <c:v>947</c:v>
                </c:pt>
                <c:pt idx="1212">
                  <c:v>49</c:v>
                </c:pt>
                <c:pt idx="1213">
                  <c:v>0</c:v>
                </c:pt>
                <c:pt idx="1214">
                  <c:v>361415</c:v>
                </c:pt>
                <c:pt idx="1215">
                  <c:v>127</c:v>
                </c:pt>
                <c:pt idx="1216">
                  <c:v>17571</c:v>
                </c:pt>
                <c:pt idx="1217">
                  <c:v>778</c:v>
                </c:pt>
                <c:pt idx="1218">
                  <c:v>13723</c:v>
                </c:pt>
                <c:pt idx="1219">
                  <c:v>1261</c:v>
                </c:pt>
                <c:pt idx="1220">
                  <c:v>1073</c:v>
                </c:pt>
                <c:pt idx="1221">
                  <c:v>206</c:v>
                </c:pt>
                <c:pt idx="1223">
                  <c:v>2478</c:v>
                </c:pt>
                <c:pt idx="1224">
                  <c:v>2477</c:v>
                </c:pt>
                <c:pt idx="1225">
                  <c:v>2585</c:v>
                </c:pt>
                <c:pt idx="1226">
                  <c:v>2481</c:v>
                </c:pt>
                <c:pt idx="1227">
                  <c:v>2481</c:v>
                </c:pt>
                <c:pt idx="1229">
                  <c:v>1690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80</c:v>
                </c:pt>
                <c:pt idx="1236">
                  <c:v>77</c:v>
                </c:pt>
                <c:pt idx="1237">
                  <c:v>786</c:v>
                </c:pt>
                <c:pt idx="1238">
                  <c:v>192656</c:v>
                </c:pt>
                <c:pt idx="1239">
                  <c:v>192527</c:v>
                </c:pt>
                <c:pt idx="1240">
                  <c:v>192619</c:v>
                </c:pt>
                <c:pt idx="1241">
                  <c:v>4890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2484</c:v>
                </c:pt>
                <c:pt idx="1247">
                  <c:v>1264</c:v>
                </c:pt>
                <c:pt idx="1248">
                  <c:v>1266</c:v>
                </c:pt>
                <c:pt idx="1249">
                  <c:v>1265</c:v>
                </c:pt>
                <c:pt idx="1250">
                  <c:v>2696</c:v>
                </c:pt>
                <c:pt idx="1251">
                  <c:v>5180</c:v>
                </c:pt>
                <c:pt idx="1252">
                  <c:v>2452</c:v>
                </c:pt>
                <c:pt idx="1253">
                  <c:v>2483</c:v>
                </c:pt>
                <c:pt idx="1254">
                  <c:v>0</c:v>
                </c:pt>
                <c:pt idx="1255">
                  <c:v>2482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2460</c:v>
                </c:pt>
                <c:pt idx="1262">
                  <c:v>2459</c:v>
                </c:pt>
                <c:pt idx="1263">
                  <c:v>418</c:v>
                </c:pt>
                <c:pt idx="1264">
                  <c:v>2485</c:v>
                </c:pt>
                <c:pt idx="1265">
                  <c:v>2486</c:v>
                </c:pt>
                <c:pt idx="1266">
                  <c:v>703</c:v>
                </c:pt>
                <c:pt idx="1267">
                  <c:v>816</c:v>
                </c:pt>
                <c:pt idx="1268">
                  <c:v>45908</c:v>
                </c:pt>
                <c:pt idx="1269">
                  <c:v>37165</c:v>
                </c:pt>
                <c:pt idx="1270">
                  <c:v>1694</c:v>
                </c:pt>
                <c:pt idx="1271">
                  <c:v>0</c:v>
                </c:pt>
                <c:pt idx="1272">
                  <c:v>13724</c:v>
                </c:pt>
                <c:pt idx="1273">
                  <c:v>12399</c:v>
                </c:pt>
                <c:pt idx="1274">
                  <c:v>2026965</c:v>
                </c:pt>
                <c:pt idx="1275">
                  <c:v>2026945</c:v>
                </c:pt>
                <c:pt idx="1276">
                  <c:v>13722</c:v>
                </c:pt>
                <c:pt idx="1277">
                  <c:v>0</c:v>
                </c:pt>
                <c:pt idx="1279">
                  <c:v>1857</c:v>
                </c:pt>
                <c:pt idx="1280">
                  <c:v>0</c:v>
                </c:pt>
                <c:pt idx="1281">
                  <c:v>1859</c:v>
                </c:pt>
                <c:pt idx="1282">
                  <c:v>1860</c:v>
                </c:pt>
                <c:pt idx="1283">
                  <c:v>12303</c:v>
                </c:pt>
                <c:pt idx="1284">
                  <c:v>0</c:v>
                </c:pt>
                <c:pt idx="1285">
                  <c:v>0</c:v>
                </c:pt>
                <c:pt idx="1286">
                  <c:v>1862</c:v>
                </c:pt>
                <c:pt idx="1287">
                  <c:v>1863</c:v>
                </c:pt>
                <c:pt idx="1288">
                  <c:v>1864</c:v>
                </c:pt>
                <c:pt idx="1289">
                  <c:v>0</c:v>
                </c:pt>
                <c:pt idx="1290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1865</c:v>
                </c:pt>
                <c:pt idx="1295">
                  <c:v>0</c:v>
                </c:pt>
                <c:pt idx="1296">
                  <c:v>1646</c:v>
                </c:pt>
                <c:pt idx="1297">
                  <c:v>0</c:v>
                </c:pt>
                <c:pt idx="1298">
                  <c:v>3350</c:v>
                </c:pt>
                <c:pt idx="1299">
                  <c:v>3347</c:v>
                </c:pt>
                <c:pt idx="1300">
                  <c:v>3348</c:v>
                </c:pt>
                <c:pt idx="1301">
                  <c:v>4898</c:v>
                </c:pt>
                <c:pt idx="1302">
                  <c:v>0</c:v>
                </c:pt>
                <c:pt idx="1303">
                  <c:v>0</c:v>
                </c:pt>
                <c:pt idx="1304">
                  <c:v>2697</c:v>
                </c:pt>
                <c:pt idx="1305">
                  <c:v>1623</c:v>
                </c:pt>
                <c:pt idx="1306">
                  <c:v>1624</c:v>
                </c:pt>
                <c:pt idx="1307">
                  <c:v>12392</c:v>
                </c:pt>
                <c:pt idx="1308">
                  <c:v>2489</c:v>
                </c:pt>
                <c:pt idx="1309">
                  <c:v>5775</c:v>
                </c:pt>
                <c:pt idx="1310">
                  <c:v>719</c:v>
                </c:pt>
                <c:pt idx="1311">
                  <c:v>940</c:v>
                </c:pt>
                <c:pt idx="1312">
                  <c:v>0</c:v>
                </c:pt>
                <c:pt idx="1313">
                  <c:v>883</c:v>
                </c:pt>
                <c:pt idx="1314">
                  <c:v>5630</c:v>
                </c:pt>
                <c:pt idx="1315">
                  <c:v>8789</c:v>
                </c:pt>
                <c:pt idx="1316">
                  <c:v>1403</c:v>
                </c:pt>
                <c:pt idx="1318">
                  <c:v>1405</c:v>
                </c:pt>
                <c:pt idx="1319">
                  <c:v>273</c:v>
                </c:pt>
                <c:pt idx="1320">
                  <c:v>272</c:v>
                </c:pt>
                <c:pt idx="1321">
                  <c:v>3540</c:v>
                </c:pt>
                <c:pt idx="1322">
                  <c:v>12390</c:v>
                </c:pt>
                <c:pt idx="1323">
                  <c:v>12396</c:v>
                </c:pt>
                <c:pt idx="1324">
                  <c:v>12396</c:v>
                </c:pt>
                <c:pt idx="1325">
                  <c:v>12396</c:v>
                </c:pt>
                <c:pt idx="1326">
                  <c:v>12396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62</c:v>
                </c:pt>
                <c:pt idx="1331">
                  <c:v>1087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2483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18315</c:v>
                </c:pt>
                <c:pt idx="1340">
                  <c:v>2500</c:v>
                </c:pt>
                <c:pt idx="1341">
                  <c:v>2498</c:v>
                </c:pt>
                <c:pt idx="1342">
                  <c:v>2502</c:v>
                </c:pt>
                <c:pt idx="1343">
                  <c:v>149845</c:v>
                </c:pt>
                <c:pt idx="1344">
                  <c:v>4524</c:v>
                </c:pt>
                <c:pt idx="1345">
                  <c:v>4523</c:v>
                </c:pt>
                <c:pt idx="1346">
                  <c:v>0</c:v>
                </c:pt>
                <c:pt idx="1347">
                  <c:v>0</c:v>
                </c:pt>
                <c:pt idx="1348">
                  <c:v>2506</c:v>
                </c:pt>
                <c:pt idx="1349">
                  <c:v>2504</c:v>
                </c:pt>
                <c:pt idx="1350">
                  <c:v>2131584</c:v>
                </c:pt>
                <c:pt idx="1351">
                  <c:v>47249</c:v>
                </c:pt>
                <c:pt idx="1352">
                  <c:v>1853</c:v>
                </c:pt>
                <c:pt idx="1353">
                  <c:v>1853</c:v>
                </c:pt>
                <c:pt idx="1354">
                  <c:v>193087</c:v>
                </c:pt>
                <c:pt idx="1356">
                  <c:v>0</c:v>
                </c:pt>
                <c:pt idx="1357">
                  <c:v>220</c:v>
                </c:pt>
                <c:pt idx="1358">
                  <c:v>221</c:v>
                </c:pt>
                <c:pt idx="1359">
                  <c:v>0</c:v>
                </c:pt>
                <c:pt idx="1360">
                  <c:v>8386</c:v>
                </c:pt>
                <c:pt idx="1361">
                  <c:v>8392</c:v>
                </c:pt>
                <c:pt idx="1362">
                  <c:v>219</c:v>
                </c:pt>
                <c:pt idx="1363">
                  <c:v>0</c:v>
                </c:pt>
                <c:pt idx="1364">
                  <c:v>950</c:v>
                </c:pt>
                <c:pt idx="1365">
                  <c:v>0</c:v>
                </c:pt>
                <c:pt idx="1366">
                  <c:v>0</c:v>
                </c:pt>
                <c:pt idx="1367">
                  <c:v>4526</c:v>
                </c:pt>
                <c:pt idx="1368">
                  <c:v>0</c:v>
                </c:pt>
                <c:pt idx="1369">
                  <c:v>2523</c:v>
                </c:pt>
                <c:pt idx="1370">
                  <c:v>0</c:v>
                </c:pt>
                <c:pt idx="1371">
                  <c:v>0</c:v>
                </c:pt>
                <c:pt idx="1372">
                  <c:v>1996</c:v>
                </c:pt>
                <c:pt idx="1373">
                  <c:v>3818</c:v>
                </c:pt>
                <c:pt idx="1374">
                  <c:v>2526</c:v>
                </c:pt>
                <c:pt idx="1375">
                  <c:v>2527</c:v>
                </c:pt>
                <c:pt idx="1376">
                  <c:v>2524</c:v>
                </c:pt>
                <c:pt idx="1377">
                  <c:v>6626</c:v>
                </c:pt>
                <c:pt idx="1378">
                  <c:v>43021</c:v>
                </c:pt>
                <c:pt idx="1379">
                  <c:v>7018</c:v>
                </c:pt>
                <c:pt idx="1380">
                  <c:v>2994</c:v>
                </c:pt>
                <c:pt idx="1381">
                  <c:v>7020</c:v>
                </c:pt>
                <c:pt idx="1382">
                  <c:v>10722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2530</c:v>
                </c:pt>
                <c:pt idx="1389">
                  <c:v>2531</c:v>
                </c:pt>
                <c:pt idx="1390">
                  <c:v>2529</c:v>
                </c:pt>
                <c:pt idx="1391">
                  <c:v>2528</c:v>
                </c:pt>
                <c:pt idx="1392">
                  <c:v>943</c:v>
                </c:pt>
                <c:pt idx="1393">
                  <c:v>181850</c:v>
                </c:pt>
                <c:pt idx="1394">
                  <c:v>17320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7027</c:v>
                </c:pt>
                <c:pt idx="1399">
                  <c:v>4163</c:v>
                </c:pt>
                <c:pt idx="1400">
                  <c:v>0</c:v>
                </c:pt>
                <c:pt idx="1401">
                  <c:v>124</c:v>
                </c:pt>
                <c:pt idx="1402">
                  <c:v>1424</c:v>
                </c:pt>
                <c:pt idx="1403">
                  <c:v>0</c:v>
                </c:pt>
                <c:pt idx="1404">
                  <c:v>0</c:v>
                </c:pt>
                <c:pt idx="1405">
                  <c:v>3344</c:v>
                </c:pt>
                <c:pt idx="1406">
                  <c:v>0</c:v>
                </c:pt>
                <c:pt idx="1407">
                  <c:v>1648</c:v>
                </c:pt>
                <c:pt idx="1408">
                  <c:v>1649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81</c:v>
                </c:pt>
                <c:pt idx="1413">
                  <c:v>0</c:v>
                </c:pt>
                <c:pt idx="1414">
                  <c:v>0</c:v>
                </c:pt>
                <c:pt idx="1415">
                  <c:v>1974</c:v>
                </c:pt>
                <c:pt idx="1416">
                  <c:v>0</c:v>
                </c:pt>
                <c:pt idx="1417">
                  <c:v>0</c:v>
                </c:pt>
                <c:pt idx="1418">
                  <c:v>75</c:v>
                </c:pt>
                <c:pt idx="1419">
                  <c:v>104550</c:v>
                </c:pt>
                <c:pt idx="1420">
                  <c:v>1855</c:v>
                </c:pt>
                <c:pt idx="1421">
                  <c:v>1855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163</c:v>
                </c:pt>
                <c:pt idx="1429">
                  <c:v>637</c:v>
                </c:pt>
                <c:pt idx="1430">
                  <c:v>636</c:v>
                </c:pt>
                <c:pt idx="1431">
                  <c:v>167</c:v>
                </c:pt>
                <c:pt idx="1432">
                  <c:v>0</c:v>
                </c:pt>
                <c:pt idx="1433">
                  <c:v>2854367</c:v>
                </c:pt>
                <c:pt idx="1434">
                  <c:v>0</c:v>
                </c:pt>
                <c:pt idx="1435">
                  <c:v>2131624</c:v>
                </c:pt>
                <c:pt idx="1436">
                  <c:v>532366</c:v>
                </c:pt>
                <c:pt idx="1437">
                  <c:v>339292</c:v>
                </c:pt>
                <c:pt idx="1438">
                  <c:v>339285</c:v>
                </c:pt>
                <c:pt idx="1439">
                  <c:v>339326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1066656</c:v>
                </c:pt>
                <c:pt idx="1449">
                  <c:v>1919</c:v>
                </c:pt>
                <c:pt idx="1450">
                  <c:v>17238</c:v>
                </c:pt>
                <c:pt idx="1451">
                  <c:v>97</c:v>
                </c:pt>
                <c:pt idx="1452">
                  <c:v>0</c:v>
                </c:pt>
                <c:pt idx="1453">
                  <c:v>626</c:v>
                </c:pt>
                <c:pt idx="1454">
                  <c:v>0</c:v>
                </c:pt>
                <c:pt idx="1455">
                  <c:v>0</c:v>
                </c:pt>
                <c:pt idx="1456">
                  <c:v>184608767</c:v>
                </c:pt>
                <c:pt idx="1457">
                  <c:v>73502960</c:v>
                </c:pt>
                <c:pt idx="1458">
                  <c:v>73506982</c:v>
                </c:pt>
                <c:pt idx="1459">
                  <c:v>73506311</c:v>
                </c:pt>
                <c:pt idx="1460">
                  <c:v>73460460</c:v>
                </c:pt>
                <c:pt idx="1461">
                  <c:v>73604364</c:v>
                </c:pt>
                <c:pt idx="1462">
                  <c:v>0</c:v>
                </c:pt>
                <c:pt idx="1463">
                  <c:v>2854398</c:v>
                </c:pt>
                <c:pt idx="1464">
                  <c:v>2854401</c:v>
                </c:pt>
                <c:pt idx="1465">
                  <c:v>2854402</c:v>
                </c:pt>
                <c:pt idx="1466">
                  <c:v>2855094</c:v>
                </c:pt>
                <c:pt idx="1467">
                  <c:v>1431</c:v>
                </c:pt>
                <c:pt idx="1468">
                  <c:v>1910</c:v>
                </c:pt>
                <c:pt idx="1469">
                  <c:v>5631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281</c:v>
                </c:pt>
                <c:pt idx="1475">
                  <c:v>5484</c:v>
                </c:pt>
                <c:pt idx="1476">
                  <c:v>3275</c:v>
                </c:pt>
                <c:pt idx="1477">
                  <c:v>5984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181947</c:v>
                </c:pt>
                <c:pt idx="1492">
                  <c:v>18384</c:v>
                </c:pt>
                <c:pt idx="1493">
                  <c:v>182387</c:v>
                </c:pt>
                <c:pt idx="1494">
                  <c:v>3357</c:v>
                </c:pt>
                <c:pt idx="1495">
                  <c:v>182475</c:v>
                </c:pt>
                <c:pt idx="1496">
                  <c:v>155464</c:v>
                </c:pt>
                <c:pt idx="1497">
                  <c:v>182595</c:v>
                </c:pt>
                <c:pt idx="1498">
                  <c:v>73643521</c:v>
                </c:pt>
                <c:pt idx="1499">
                  <c:v>147941539</c:v>
                </c:pt>
                <c:pt idx="1500">
                  <c:v>6315</c:v>
                </c:pt>
                <c:pt idx="1501">
                  <c:v>6316</c:v>
                </c:pt>
                <c:pt idx="1502">
                  <c:v>707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7125</c:v>
                </c:pt>
                <c:pt idx="1510">
                  <c:v>7127</c:v>
                </c:pt>
                <c:pt idx="1511">
                  <c:v>0</c:v>
                </c:pt>
                <c:pt idx="1512">
                  <c:v>0</c:v>
                </c:pt>
                <c:pt idx="1513">
                  <c:v>1569</c:v>
                </c:pt>
                <c:pt idx="1514">
                  <c:v>0</c:v>
                </c:pt>
                <c:pt idx="1515">
                  <c:v>5</c:v>
                </c:pt>
                <c:pt idx="1516">
                  <c:v>5</c:v>
                </c:pt>
                <c:pt idx="1517">
                  <c:v>228</c:v>
                </c:pt>
                <c:pt idx="1518">
                  <c:v>69</c:v>
                </c:pt>
                <c:pt idx="1519">
                  <c:v>182476</c:v>
                </c:pt>
                <c:pt idx="1520">
                  <c:v>5</c:v>
                </c:pt>
                <c:pt idx="1521">
                  <c:v>181946</c:v>
                </c:pt>
                <c:pt idx="1522">
                  <c:v>181939</c:v>
                </c:pt>
                <c:pt idx="1523">
                  <c:v>17277</c:v>
                </c:pt>
                <c:pt idx="1525">
                  <c:v>0</c:v>
                </c:pt>
                <c:pt idx="1526">
                  <c:v>7025</c:v>
                </c:pt>
                <c:pt idx="1527">
                  <c:v>0</c:v>
                </c:pt>
                <c:pt idx="1528">
                  <c:v>0</c:v>
                </c:pt>
                <c:pt idx="1529">
                  <c:v>5343</c:v>
                </c:pt>
                <c:pt idx="1530">
                  <c:v>2502</c:v>
                </c:pt>
                <c:pt idx="1531">
                  <c:v>0</c:v>
                </c:pt>
                <c:pt idx="1532">
                  <c:v>0</c:v>
                </c:pt>
                <c:pt idx="1533">
                  <c:v>8434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2856079</c:v>
                </c:pt>
                <c:pt idx="1538">
                  <c:v>194410</c:v>
                </c:pt>
                <c:pt idx="1539">
                  <c:v>2854403</c:v>
                </c:pt>
                <c:pt idx="1540">
                  <c:v>2854408</c:v>
                </c:pt>
                <c:pt idx="1541">
                  <c:v>534772</c:v>
                </c:pt>
                <c:pt idx="1542">
                  <c:v>193343</c:v>
                </c:pt>
                <c:pt idx="1543">
                  <c:v>2854409</c:v>
                </c:pt>
                <c:pt idx="1544">
                  <c:v>17416</c:v>
                </c:pt>
                <c:pt idx="1545">
                  <c:v>1698</c:v>
                </c:pt>
                <c:pt idx="1546">
                  <c:v>533145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1268</c:v>
                </c:pt>
                <c:pt idx="1554">
                  <c:v>1263</c:v>
                </c:pt>
                <c:pt idx="1555">
                  <c:v>0</c:v>
                </c:pt>
                <c:pt idx="1556">
                  <c:v>1264</c:v>
                </c:pt>
                <c:pt idx="1557">
                  <c:v>1266</c:v>
                </c:pt>
                <c:pt idx="1558">
                  <c:v>1269</c:v>
                </c:pt>
                <c:pt idx="1559">
                  <c:v>7040</c:v>
                </c:pt>
                <c:pt idx="1560">
                  <c:v>0</c:v>
                </c:pt>
                <c:pt idx="1561">
                  <c:v>7023</c:v>
                </c:pt>
                <c:pt idx="1562">
                  <c:v>2854405</c:v>
                </c:pt>
                <c:pt idx="1563">
                  <c:v>2856078</c:v>
                </c:pt>
                <c:pt idx="1564">
                  <c:v>2856076</c:v>
                </c:pt>
                <c:pt idx="1565">
                  <c:v>2854404</c:v>
                </c:pt>
                <c:pt idx="1566">
                  <c:v>2855669</c:v>
                </c:pt>
                <c:pt idx="1567">
                  <c:v>2856077</c:v>
                </c:pt>
                <c:pt idx="1568">
                  <c:v>182534</c:v>
                </c:pt>
                <c:pt idx="1569">
                  <c:v>150375</c:v>
                </c:pt>
                <c:pt idx="1570">
                  <c:v>0</c:v>
                </c:pt>
                <c:pt idx="1571">
                  <c:v>1520349</c:v>
                </c:pt>
                <c:pt idx="1572">
                  <c:v>1520397</c:v>
                </c:pt>
                <c:pt idx="1573">
                  <c:v>1520376</c:v>
                </c:pt>
                <c:pt idx="1574">
                  <c:v>2854407</c:v>
                </c:pt>
                <c:pt idx="1575">
                  <c:v>4896</c:v>
                </c:pt>
                <c:pt idx="1576">
                  <c:v>1696</c:v>
                </c:pt>
                <c:pt idx="1577">
                  <c:v>269</c:v>
                </c:pt>
                <c:pt idx="1578">
                  <c:v>2854406</c:v>
                </c:pt>
                <c:pt idx="1579">
                  <c:v>0</c:v>
                </c:pt>
                <c:pt idx="1580">
                  <c:v>4831</c:v>
                </c:pt>
                <c:pt idx="1581">
                  <c:v>1989</c:v>
                </c:pt>
                <c:pt idx="1582">
                  <c:v>648</c:v>
                </c:pt>
                <c:pt idx="1583">
                  <c:v>53</c:v>
                </c:pt>
                <c:pt idx="1584">
                  <c:v>97</c:v>
                </c:pt>
                <c:pt idx="1585">
                  <c:v>84</c:v>
                </c:pt>
                <c:pt idx="1586">
                  <c:v>130</c:v>
                </c:pt>
                <c:pt idx="1587">
                  <c:v>150</c:v>
                </c:pt>
                <c:pt idx="1588">
                  <c:v>855</c:v>
                </c:pt>
                <c:pt idx="1589">
                  <c:v>3514</c:v>
                </c:pt>
                <c:pt idx="1590">
                  <c:v>232</c:v>
                </c:pt>
                <c:pt idx="1591">
                  <c:v>20</c:v>
                </c:pt>
                <c:pt idx="1592">
                  <c:v>1105</c:v>
                </c:pt>
                <c:pt idx="1593">
                  <c:v>648</c:v>
                </c:pt>
                <c:pt idx="1594">
                  <c:v>223</c:v>
                </c:pt>
                <c:pt idx="1595">
                  <c:v>298</c:v>
                </c:pt>
                <c:pt idx="1596">
                  <c:v>0</c:v>
                </c:pt>
                <c:pt idx="1597">
                  <c:v>963</c:v>
                </c:pt>
                <c:pt idx="1598">
                  <c:v>249</c:v>
                </c:pt>
                <c:pt idx="1599">
                  <c:v>1066</c:v>
                </c:pt>
                <c:pt idx="1600">
                  <c:v>92829</c:v>
                </c:pt>
                <c:pt idx="1601">
                  <c:v>0</c:v>
                </c:pt>
                <c:pt idx="1602">
                  <c:v>19</c:v>
                </c:pt>
                <c:pt idx="1603">
                  <c:v>1410</c:v>
                </c:pt>
                <c:pt idx="1604">
                  <c:v>299</c:v>
                </c:pt>
                <c:pt idx="1605">
                  <c:v>0</c:v>
                </c:pt>
                <c:pt idx="1606">
                  <c:v>17612</c:v>
                </c:pt>
                <c:pt idx="1607">
                  <c:v>2624</c:v>
                </c:pt>
                <c:pt idx="1608">
                  <c:v>2628</c:v>
                </c:pt>
                <c:pt idx="1609">
                  <c:v>1697</c:v>
                </c:pt>
                <c:pt idx="1610">
                  <c:v>0</c:v>
                </c:pt>
                <c:pt idx="1611">
                  <c:v>79</c:v>
                </c:pt>
                <c:pt idx="1612">
                  <c:v>0</c:v>
                </c:pt>
                <c:pt idx="1613">
                  <c:v>1654</c:v>
                </c:pt>
                <c:pt idx="1614">
                  <c:v>1650</c:v>
                </c:pt>
                <c:pt idx="1615">
                  <c:v>1700</c:v>
                </c:pt>
                <c:pt idx="1616">
                  <c:v>0</c:v>
                </c:pt>
                <c:pt idx="1617">
                  <c:v>491</c:v>
                </c:pt>
                <c:pt idx="1618">
                  <c:v>209</c:v>
                </c:pt>
                <c:pt idx="1619">
                  <c:v>210</c:v>
                </c:pt>
                <c:pt idx="1620">
                  <c:v>25</c:v>
                </c:pt>
                <c:pt idx="1621">
                  <c:v>28</c:v>
                </c:pt>
                <c:pt idx="1622">
                  <c:v>741</c:v>
                </c:pt>
                <c:pt idx="1623">
                  <c:v>2701</c:v>
                </c:pt>
                <c:pt idx="1624">
                  <c:v>1700</c:v>
                </c:pt>
                <c:pt idx="1625">
                  <c:v>15</c:v>
                </c:pt>
                <c:pt idx="1626">
                  <c:v>25007</c:v>
                </c:pt>
                <c:pt idx="1627">
                  <c:v>1711</c:v>
                </c:pt>
                <c:pt idx="1628">
                  <c:v>493</c:v>
                </c:pt>
                <c:pt idx="1629">
                  <c:v>46387</c:v>
                </c:pt>
                <c:pt idx="1630">
                  <c:v>0</c:v>
                </c:pt>
                <c:pt idx="1631">
                  <c:v>4570</c:v>
                </c:pt>
                <c:pt idx="1632">
                  <c:v>217</c:v>
                </c:pt>
                <c:pt idx="1633">
                  <c:v>211</c:v>
                </c:pt>
                <c:pt idx="1634">
                  <c:v>1700</c:v>
                </c:pt>
                <c:pt idx="1635">
                  <c:v>1700</c:v>
                </c:pt>
                <c:pt idx="1636">
                  <c:v>1700</c:v>
                </c:pt>
                <c:pt idx="1637">
                  <c:v>2700</c:v>
                </c:pt>
                <c:pt idx="1638">
                  <c:v>331</c:v>
                </c:pt>
                <c:pt idx="1639">
                  <c:v>211</c:v>
                </c:pt>
                <c:pt idx="1640">
                  <c:v>958088477</c:v>
                </c:pt>
                <c:pt idx="1641">
                  <c:v>958088460</c:v>
                </c:pt>
                <c:pt idx="1642">
                  <c:v>958088434</c:v>
                </c:pt>
                <c:pt idx="1643">
                  <c:v>231683</c:v>
                </c:pt>
                <c:pt idx="1644">
                  <c:v>0</c:v>
                </c:pt>
                <c:pt idx="1645">
                  <c:v>207</c:v>
                </c:pt>
                <c:pt idx="1646">
                  <c:v>2604</c:v>
                </c:pt>
                <c:pt idx="1647">
                  <c:v>2605</c:v>
                </c:pt>
                <c:pt idx="1648">
                  <c:v>2603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1876</c:v>
                </c:pt>
                <c:pt idx="1656">
                  <c:v>175</c:v>
                </c:pt>
                <c:pt idx="1657">
                  <c:v>356</c:v>
                </c:pt>
                <c:pt idx="1658">
                  <c:v>98</c:v>
                </c:pt>
                <c:pt idx="1659">
                  <c:v>0</c:v>
                </c:pt>
                <c:pt idx="1660">
                  <c:v>556</c:v>
                </c:pt>
                <c:pt idx="1661">
                  <c:v>205</c:v>
                </c:pt>
                <c:pt idx="1662">
                  <c:v>0</c:v>
                </c:pt>
                <c:pt idx="1663">
                  <c:v>0</c:v>
                </c:pt>
                <c:pt idx="1664">
                  <c:v>2622</c:v>
                </c:pt>
                <c:pt idx="1665">
                  <c:v>2623</c:v>
                </c:pt>
                <c:pt idx="1666">
                  <c:v>337255</c:v>
                </c:pt>
                <c:pt idx="1667">
                  <c:v>1334</c:v>
                </c:pt>
                <c:pt idx="1668">
                  <c:v>1699</c:v>
                </c:pt>
                <c:pt idx="1669">
                  <c:v>335651</c:v>
                </c:pt>
                <c:pt idx="1670">
                  <c:v>27</c:v>
                </c:pt>
                <c:pt idx="1671">
                  <c:v>46390</c:v>
                </c:pt>
                <c:pt idx="1672">
                  <c:v>17616</c:v>
                </c:pt>
                <c:pt idx="1673">
                  <c:v>338729</c:v>
                </c:pt>
                <c:pt idx="1674">
                  <c:v>490</c:v>
                </c:pt>
                <c:pt idx="1675">
                  <c:v>958093612</c:v>
                </c:pt>
                <c:pt idx="1676">
                  <c:v>8241</c:v>
                </c:pt>
                <c:pt idx="1677">
                  <c:v>77</c:v>
                </c:pt>
                <c:pt idx="1678">
                  <c:v>0</c:v>
                </c:pt>
                <c:pt idx="1679">
                  <c:v>1870</c:v>
                </c:pt>
                <c:pt idx="1680">
                  <c:v>3354</c:v>
                </c:pt>
                <c:pt idx="1681">
                  <c:v>1868</c:v>
                </c:pt>
                <c:pt idx="1682">
                  <c:v>1871</c:v>
                </c:pt>
                <c:pt idx="1683">
                  <c:v>17613</c:v>
                </c:pt>
                <c:pt idx="1684">
                  <c:v>349324</c:v>
                </c:pt>
                <c:pt idx="1685">
                  <c:v>0</c:v>
                </c:pt>
                <c:pt idx="1686">
                  <c:v>4554</c:v>
                </c:pt>
                <c:pt idx="1687">
                  <c:v>4555</c:v>
                </c:pt>
                <c:pt idx="1688">
                  <c:v>335298</c:v>
                </c:pt>
                <c:pt idx="1689">
                  <c:v>546191</c:v>
                </c:pt>
                <c:pt idx="1690">
                  <c:v>804</c:v>
                </c:pt>
                <c:pt idx="1691">
                  <c:v>12813</c:v>
                </c:pt>
                <c:pt idx="1692">
                  <c:v>940</c:v>
                </c:pt>
                <c:pt idx="1693">
                  <c:v>0</c:v>
                </c:pt>
                <c:pt idx="1694">
                  <c:v>9041</c:v>
                </c:pt>
                <c:pt idx="1697">
                  <c:v>0</c:v>
                </c:pt>
                <c:pt idx="1698">
                  <c:v>2610000000004</c:v>
                </c:pt>
                <c:pt idx="1699">
                  <c:v>12820</c:v>
                </c:pt>
                <c:pt idx="1700">
                  <c:v>13834</c:v>
                </c:pt>
                <c:pt idx="1701">
                  <c:v>276</c:v>
                </c:pt>
                <c:pt idx="1702">
                  <c:v>13835</c:v>
                </c:pt>
                <c:pt idx="1703">
                  <c:v>0</c:v>
                </c:pt>
                <c:pt idx="1704">
                  <c:v>939</c:v>
                </c:pt>
                <c:pt idx="1705">
                  <c:v>294</c:v>
                </c:pt>
                <c:pt idx="1706">
                  <c:v>1043</c:v>
                </c:pt>
                <c:pt idx="1707">
                  <c:v>2889988</c:v>
                </c:pt>
                <c:pt idx="1708">
                  <c:v>0</c:v>
                </c:pt>
                <c:pt idx="1709">
                  <c:v>0</c:v>
                </c:pt>
                <c:pt idx="1710">
                  <c:v>4551</c:v>
                </c:pt>
                <c:pt idx="1711">
                  <c:v>171</c:v>
                </c:pt>
                <c:pt idx="1712">
                  <c:v>13836</c:v>
                </c:pt>
                <c:pt idx="1713">
                  <c:v>347195</c:v>
                </c:pt>
                <c:pt idx="1714">
                  <c:v>0</c:v>
                </c:pt>
                <c:pt idx="1715">
                  <c:v>0</c:v>
                </c:pt>
                <c:pt idx="1716">
                  <c:v>5633</c:v>
                </c:pt>
                <c:pt idx="1717">
                  <c:v>2890020</c:v>
                </c:pt>
                <c:pt idx="1718">
                  <c:v>2890019</c:v>
                </c:pt>
                <c:pt idx="1719">
                  <c:v>2890681</c:v>
                </c:pt>
                <c:pt idx="1720">
                  <c:v>2890016</c:v>
                </c:pt>
                <c:pt idx="1721">
                  <c:v>2890017</c:v>
                </c:pt>
                <c:pt idx="1722">
                  <c:v>1869</c:v>
                </c:pt>
                <c:pt idx="1723">
                  <c:v>0</c:v>
                </c:pt>
                <c:pt idx="1724">
                  <c:v>3355</c:v>
                </c:pt>
                <c:pt idx="1725">
                  <c:v>3357</c:v>
                </c:pt>
                <c:pt idx="1726">
                  <c:v>227</c:v>
                </c:pt>
                <c:pt idx="1727">
                  <c:v>3356</c:v>
                </c:pt>
                <c:pt idx="1728">
                  <c:v>982</c:v>
                </c:pt>
                <c:pt idx="1729">
                  <c:v>75</c:v>
                </c:pt>
                <c:pt idx="1730">
                  <c:v>108</c:v>
                </c:pt>
                <c:pt idx="1731">
                  <c:v>0</c:v>
                </c:pt>
                <c:pt idx="1732">
                  <c:v>11602</c:v>
                </c:pt>
                <c:pt idx="1733">
                  <c:v>367616</c:v>
                </c:pt>
                <c:pt idx="1734">
                  <c:v>91</c:v>
                </c:pt>
                <c:pt idx="1735">
                  <c:v>50</c:v>
                </c:pt>
                <c:pt idx="1736">
                  <c:v>4558</c:v>
                </c:pt>
                <c:pt idx="1737">
                  <c:v>226</c:v>
                </c:pt>
                <c:pt idx="1738">
                  <c:v>0</c:v>
                </c:pt>
                <c:pt idx="1739">
                  <c:v>5011</c:v>
                </c:pt>
                <c:pt idx="1740">
                  <c:v>1097</c:v>
                </c:pt>
                <c:pt idx="1741">
                  <c:v>463</c:v>
                </c:pt>
                <c:pt idx="1742">
                  <c:v>10006</c:v>
                </c:pt>
                <c:pt idx="1743">
                  <c:v>18540</c:v>
                </c:pt>
                <c:pt idx="1744">
                  <c:v>183187</c:v>
                </c:pt>
                <c:pt idx="1745">
                  <c:v>181944</c:v>
                </c:pt>
                <c:pt idx="1746">
                  <c:v>464</c:v>
                </c:pt>
                <c:pt idx="1747">
                  <c:v>2889985</c:v>
                </c:pt>
                <c:pt idx="1748">
                  <c:v>206</c:v>
                </c:pt>
                <c:pt idx="1749">
                  <c:v>0</c:v>
                </c:pt>
                <c:pt idx="1750">
                  <c:v>4557</c:v>
                </c:pt>
                <c:pt idx="1751">
                  <c:v>182573</c:v>
                </c:pt>
                <c:pt idx="1752">
                  <c:v>0</c:v>
                </c:pt>
                <c:pt idx="1753">
                  <c:v>0</c:v>
                </c:pt>
                <c:pt idx="1754">
                  <c:v>12817</c:v>
                </c:pt>
                <c:pt idx="1755">
                  <c:v>12817</c:v>
                </c:pt>
                <c:pt idx="1756">
                  <c:v>12817</c:v>
                </c:pt>
                <c:pt idx="1757">
                  <c:v>12817</c:v>
                </c:pt>
                <c:pt idx="1758">
                  <c:v>2139656</c:v>
                </c:pt>
                <c:pt idx="1759">
                  <c:v>0</c:v>
                </c:pt>
                <c:pt idx="1760">
                  <c:v>477</c:v>
                </c:pt>
                <c:pt idx="1761">
                  <c:v>7900</c:v>
                </c:pt>
                <c:pt idx="1762">
                  <c:v>288880</c:v>
                </c:pt>
                <c:pt idx="1763">
                  <c:v>0</c:v>
                </c:pt>
                <c:pt idx="1764">
                  <c:v>68950</c:v>
                </c:pt>
                <c:pt idx="1765">
                  <c:v>229</c:v>
                </c:pt>
                <c:pt idx="1766">
                  <c:v>230</c:v>
                </c:pt>
                <c:pt idx="1767">
                  <c:v>194953</c:v>
                </c:pt>
                <c:pt idx="1768">
                  <c:v>2515</c:v>
                </c:pt>
                <c:pt idx="1769">
                  <c:v>2516</c:v>
                </c:pt>
                <c:pt idx="1770">
                  <c:v>958104383</c:v>
                </c:pt>
                <c:pt idx="1771">
                  <c:v>958104382</c:v>
                </c:pt>
                <c:pt idx="1772">
                  <c:v>958309213</c:v>
                </c:pt>
                <c:pt idx="1773">
                  <c:v>958309212</c:v>
                </c:pt>
                <c:pt idx="1774">
                  <c:v>194787</c:v>
                </c:pt>
                <c:pt idx="1775">
                  <c:v>1540</c:v>
                </c:pt>
                <c:pt idx="1776">
                  <c:v>0</c:v>
                </c:pt>
                <c:pt idx="1777">
                  <c:v>958104422</c:v>
                </c:pt>
                <c:pt idx="1778">
                  <c:v>194813</c:v>
                </c:pt>
                <c:pt idx="1779">
                  <c:v>194717</c:v>
                </c:pt>
                <c:pt idx="1780">
                  <c:v>194617</c:v>
                </c:pt>
                <c:pt idx="1781">
                  <c:v>194737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37043</c:v>
                </c:pt>
                <c:pt idx="1787">
                  <c:v>0</c:v>
                </c:pt>
                <c:pt idx="1788">
                  <c:v>374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2866</c:v>
                </c:pt>
                <c:pt idx="1793">
                  <c:v>80</c:v>
                </c:pt>
                <c:pt idx="1794">
                  <c:v>0</c:v>
                </c:pt>
                <c:pt idx="1795">
                  <c:v>426</c:v>
                </c:pt>
                <c:pt idx="1796">
                  <c:v>33261</c:v>
                </c:pt>
                <c:pt idx="1797">
                  <c:v>0</c:v>
                </c:pt>
                <c:pt idx="1798">
                  <c:v>333</c:v>
                </c:pt>
                <c:pt idx="1799">
                  <c:v>182082</c:v>
                </c:pt>
                <c:pt idx="1800">
                  <c:v>0</c:v>
                </c:pt>
                <c:pt idx="1801">
                  <c:v>1874626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43506</c:v>
                </c:pt>
                <c:pt idx="1806">
                  <c:v>0</c:v>
                </c:pt>
                <c:pt idx="1807">
                  <c:v>2661</c:v>
                </c:pt>
                <c:pt idx="1808">
                  <c:v>21216</c:v>
                </c:pt>
                <c:pt idx="1809">
                  <c:v>21207</c:v>
                </c:pt>
                <c:pt idx="1810">
                  <c:v>0</c:v>
                </c:pt>
                <c:pt idx="1811">
                  <c:v>1520613</c:v>
                </c:pt>
                <c:pt idx="1812">
                  <c:v>1520612</c:v>
                </c:pt>
                <c:pt idx="1813">
                  <c:v>0</c:v>
                </c:pt>
                <c:pt idx="1814">
                  <c:v>120</c:v>
                </c:pt>
                <c:pt idx="1815">
                  <c:v>600</c:v>
                </c:pt>
                <c:pt idx="1816">
                  <c:v>603</c:v>
                </c:pt>
                <c:pt idx="1817">
                  <c:v>597</c:v>
                </c:pt>
                <c:pt idx="1818">
                  <c:v>602</c:v>
                </c:pt>
                <c:pt idx="1819">
                  <c:v>43369</c:v>
                </c:pt>
                <c:pt idx="1820">
                  <c:v>601</c:v>
                </c:pt>
                <c:pt idx="1821">
                  <c:v>0</c:v>
                </c:pt>
                <c:pt idx="1822">
                  <c:v>1287</c:v>
                </c:pt>
                <c:pt idx="1823">
                  <c:v>5835</c:v>
                </c:pt>
                <c:pt idx="1824">
                  <c:v>604</c:v>
                </c:pt>
                <c:pt idx="1825">
                  <c:v>599</c:v>
                </c:pt>
                <c:pt idx="1826">
                  <c:v>2087</c:v>
                </c:pt>
                <c:pt idx="1827">
                  <c:v>199551</c:v>
                </c:pt>
                <c:pt idx="1828">
                  <c:v>0</c:v>
                </c:pt>
                <c:pt idx="1829">
                  <c:v>6118</c:v>
                </c:pt>
                <c:pt idx="1830">
                  <c:v>70</c:v>
                </c:pt>
                <c:pt idx="1831">
                  <c:v>71</c:v>
                </c:pt>
                <c:pt idx="1832">
                  <c:v>75</c:v>
                </c:pt>
                <c:pt idx="1833">
                  <c:v>74</c:v>
                </c:pt>
                <c:pt idx="1834">
                  <c:v>76</c:v>
                </c:pt>
                <c:pt idx="1835">
                  <c:v>73</c:v>
                </c:pt>
                <c:pt idx="1836">
                  <c:v>201944</c:v>
                </c:pt>
                <c:pt idx="1837">
                  <c:v>2086</c:v>
                </c:pt>
                <c:pt idx="1838">
                  <c:v>199553</c:v>
                </c:pt>
                <c:pt idx="1839">
                  <c:v>36777</c:v>
                </c:pt>
                <c:pt idx="1840">
                  <c:v>7946</c:v>
                </c:pt>
                <c:pt idx="1841">
                  <c:v>7954</c:v>
                </c:pt>
                <c:pt idx="1842">
                  <c:v>7955</c:v>
                </c:pt>
                <c:pt idx="1843">
                  <c:v>6119</c:v>
                </c:pt>
                <c:pt idx="1844">
                  <c:v>1520539</c:v>
                </c:pt>
                <c:pt idx="1845">
                  <c:v>1873</c:v>
                </c:pt>
                <c:pt idx="1846">
                  <c:v>3359</c:v>
                </c:pt>
                <c:pt idx="1847">
                  <c:v>4401</c:v>
                </c:pt>
                <c:pt idx="1848">
                  <c:v>9958</c:v>
                </c:pt>
                <c:pt idx="1849">
                  <c:v>2070</c:v>
                </c:pt>
                <c:pt idx="1850">
                  <c:v>1873</c:v>
                </c:pt>
                <c:pt idx="1851">
                  <c:v>0</c:v>
                </c:pt>
                <c:pt idx="1852">
                  <c:v>3359</c:v>
                </c:pt>
                <c:pt idx="1853">
                  <c:v>246199</c:v>
                </c:pt>
                <c:pt idx="1854">
                  <c:v>1923</c:v>
                </c:pt>
                <c:pt idx="1855">
                  <c:v>4438</c:v>
                </c:pt>
                <c:pt idx="1856">
                  <c:v>247178</c:v>
                </c:pt>
                <c:pt idx="1857">
                  <c:v>139</c:v>
                </c:pt>
                <c:pt idx="1858">
                  <c:v>2890023</c:v>
                </c:pt>
                <c:pt idx="1859">
                  <c:v>2890025</c:v>
                </c:pt>
                <c:pt idx="1860">
                  <c:v>2891639</c:v>
                </c:pt>
                <c:pt idx="1861">
                  <c:v>2890022</c:v>
                </c:pt>
                <c:pt idx="1862">
                  <c:v>2890021</c:v>
                </c:pt>
                <c:pt idx="1863">
                  <c:v>1929</c:v>
                </c:pt>
                <c:pt idx="1864">
                  <c:v>1875</c:v>
                </c:pt>
                <c:pt idx="1865">
                  <c:v>201945</c:v>
                </c:pt>
                <c:pt idx="1866">
                  <c:v>12</c:v>
                </c:pt>
                <c:pt idx="1867">
                  <c:v>1875</c:v>
                </c:pt>
                <c:pt idx="1868">
                  <c:v>2891637</c:v>
                </c:pt>
                <c:pt idx="1869">
                  <c:v>2890024</c:v>
                </c:pt>
                <c:pt idx="1870">
                  <c:v>2890027</c:v>
                </c:pt>
                <c:pt idx="1871">
                  <c:v>2891638</c:v>
                </c:pt>
                <c:pt idx="1872">
                  <c:v>2891636</c:v>
                </c:pt>
                <c:pt idx="1873">
                  <c:v>2891234</c:v>
                </c:pt>
                <c:pt idx="1874">
                  <c:v>2890026</c:v>
                </c:pt>
                <c:pt idx="1875">
                  <c:v>234503</c:v>
                </c:pt>
                <c:pt idx="1876">
                  <c:v>194762</c:v>
                </c:pt>
                <c:pt idx="1877">
                  <c:v>2669</c:v>
                </c:pt>
                <c:pt idx="1878">
                  <c:v>2559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140</c:v>
                </c:pt>
                <c:pt idx="1883">
                  <c:v>0</c:v>
                </c:pt>
                <c:pt idx="1884">
                  <c:v>16111109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19489</c:v>
                </c:pt>
                <c:pt idx="1889">
                  <c:v>0</c:v>
                </c:pt>
                <c:pt idx="1890">
                  <c:v>343919</c:v>
                </c:pt>
                <c:pt idx="1891">
                  <c:v>195565</c:v>
                </c:pt>
                <c:pt idx="1892">
                  <c:v>1520442</c:v>
                </c:pt>
                <c:pt idx="1893">
                  <c:v>195138</c:v>
                </c:pt>
                <c:pt idx="1894">
                  <c:v>194213</c:v>
                </c:pt>
                <c:pt idx="1895">
                  <c:v>194254</c:v>
                </c:pt>
                <c:pt idx="1896">
                  <c:v>289904</c:v>
                </c:pt>
                <c:pt idx="1897">
                  <c:v>2674</c:v>
                </c:pt>
                <c:pt idx="1898">
                  <c:v>194250</c:v>
                </c:pt>
                <c:pt idx="1899">
                  <c:v>195017</c:v>
                </c:pt>
                <c:pt idx="1900">
                  <c:v>2675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79-4229-B512-91E511F75732}"/>
            </c:ext>
          </c:extLst>
        </c:ser>
        <c:ser>
          <c:idx val="9"/>
          <c:order val="9"/>
          <c:tx>
            <c:strRef>
              <c:f>'INVENTÁRIO 2026'!$I$2</c:f>
              <c:strCache>
                <c:ptCount val="1"/>
                <c:pt idx="0">
                  <c:v>FONTE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2026'!$I$3:$I$11811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16000000</c:v>
                </c:pt>
                <c:pt idx="6">
                  <c:v>15010000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15000000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16000000</c:v>
                </c:pt>
                <c:pt idx="16">
                  <c:v>15001002</c:v>
                </c:pt>
                <c:pt idx="17">
                  <c:v>15001002</c:v>
                </c:pt>
                <c:pt idx="18">
                  <c:v>16000000</c:v>
                </c:pt>
                <c:pt idx="19">
                  <c:v>15001002</c:v>
                </c:pt>
                <c:pt idx="20">
                  <c:v>16000000</c:v>
                </c:pt>
                <c:pt idx="21">
                  <c:v>15001002</c:v>
                </c:pt>
                <c:pt idx="22">
                  <c:v>16000000</c:v>
                </c:pt>
                <c:pt idx="23">
                  <c:v>15001002</c:v>
                </c:pt>
                <c:pt idx="24">
                  <c:v>15001002</c:v>
                </c:pt>
                <c:pt idx="25">
                  <c:v>15001002</c:v>
                </c:pt>
                <c:pt idx="26">
                  <c:v>15001002</c:v>
                </c:pt>
                <c:pt idx="27">
                  <c:v>15001002</c:v>
                </c:pt>
                <c:pt idx="28">
                  <c:v>15001002</c:v>
                </c:pt>
                <c:pt idx="29">
                  <c:v>15001002</c:v>
                </c:pt>
                <c:pt idx="30">
                  <c:v>15001002</c:v>
                </c:pt>
                <c:pt idx="31">
                  <c:v>15001002</c:v>
                </c:pt>
                <c:pt idx="32">
                  <c:v>15001002</c:v>
                </c:pt>
                <c:pt idx="33">
                  <c:v>15001002</c:v>
                </c:pt>
                <c:pt idx="34">
                  <c:v>16000000</c:v>
                </c:pt>
                <c:pt idx="35">
                  <c:v>16000000</c:v>
                </c:pt>
                <c:pt idx="36">
                  <c:v>16000000</c:v>
                </c:pt>
                <c:pt idx="37">
                  <c:v>15001002</c:v>
                </c:pt>
                <c:pt idx="38">
                  <c:v>15001002</c:v>
                </c:pt>
                <c:pt idx="39">
                  <c:v>15001002</c:v>
                </c:pt>
                <c:pt idx="40">
                  <c:v>15001002</c:v>
                </c:pt>
                <c:pt idx="41">
                  <c:v>15001002</c:v>
                </c:pt>
                <c:pt idx="42">
                  <c:v>15001002</c:v>
                </c:pt>
                <c:pt idx="43">
                  <c:v>16000000</c:v>
                </c:pt>
                <c:pt idx="44">
                  <c:v>15001002</c:v>
                </c:pt>
                <c:pt idx="45">
                  <c:v>0</c:v>
                </c:pt>
                <c:pt idx="46">
                  <c:v>16000000</c:v>
                </c:pt>
                <c:pt idx="47">
                  <c:v>16000000</c:v>
                </c:pt>
                <c:pt idx="48">
                  <c:v>16000000</c:v>
                </c:pt>
                <c:pt idx="49">
                  <c:v>16000000</c:v>
                </c:pt>
                <c:pt idx="50">
                  <c:v>16000000</c:v>
                </c:pt>
                <c:pt idx="51">
                  <c:v>16000000</c:v>
                </c:pt>
                <c:pt idx="52">
                  <c:v>16000000</c:v>
                </c:pt>
                <c:pt idx="53">
                  <c:v>15001002</c:v>
                </c:pt>
                <c:pt idx="54">
                  <c:v>16000000</c:v>
                </c:pt>
                <c:pt idx="55">
                  <c:v>16000000</c:v>
                </c:pt>
                <c:pt idx="56">
                  <c:v>16000000</c:v>
                </c:pt>
                <c:pt idx="57">
                  <c:v>0</c:v>
                </c:pt>
                <c:pt idx="58">
                  <c:v>15001002</c:v>
                </c:pt>
                <c:pt idx="59">
                  <c:v>0</c:v>
                </c:pt>
                <c:pt idx="60">
                  <c:v>15000000</c:v>
                </c:pt>
                <c:pt idx="61">
                  <c:v>0</c:v>
                </c:pt>
                <c:pt idx="62">
                  <c:v>15001002</c:v>
                </c:pt>
                <c:pt idx="63">
                  <c:v>15001002</c:v>
                </c:pt>
                <c:pt idx="64">
                  <c:v>0</c:v>
                </c:pt>
                <c:pt idx="65">
                  <c:v>0</c:v>
                </c:pt>
                <c:pt idx="66">
                  <c:v>15001002</c:v>
                </c:pt>
                <c:pt idx="67">
                  <c:v>15001002</c:v>
                </c:pt>
                <c:pt idx="68">
                  <c:v>16000000</c:v>
                </c:pt>
                <c:pt idx="69">
                  <c:v>15010000</c:v>
                </c:pt>
                <c:pt idx="70">
                  <c:v>0</c:v>
                </c:pt>
                <c:pt idx="71">
                  <c:v>0</c:v>
                </c:pt>
                <c:pt idx="72">
                  <c:v>15001002</c:v>
                </c:pt>
                <c:pt idx="73">
                  <c:v>15001002</c:v>
                </c:pt>
                <c:pt idx="74">
                  <c:v>15001002</c:v>
                </c:pt>
                <c:pt idx="75">
                  <c:v>15001002</c:v>
                </c:pt>
                <c:pt idx="76">
                  <c:v>26010000</c:v>
                </c:pt>
                <c:pt idx="77">
                  <c:v>16000000</c:v>
                </c:pt>
                <c:pt idx="78">
                  <c:v>15001002</c:v>
                </c:pt>
                <c:pt idx="79">
                  <c:v>16003110</c:v>
                </c:pt>
                <c:pt idx="80">
                  <c:v>16000000</c:v>
                </c:pt>
                <c:pt idx="81">
                  <c:v>16000000</c:v>
                </c:pt>
                <c:pt idx="82">
                  <c:v>16210000</c:v>
                </c:pt>
                <c:pt idx="83">
                  <c:v>16000000</c:v>
                </c:pt>
                <c:pt idx="84">
                  <c:v>16003110</c:v>
                </c:pt>
                <c:pt idx="85">
                  <c:v>16000000</c:v>
                </c:pt>
                <c:pt idx="86">
                  <c:v>16000000</c:v>
                </c:pt>
                <c:pt idx="87">
                  <c:v>16210000</c:v>
                </c:pt>
                <c:pt idx="88">
                  <c:v>15001002</c:v>
                </c:pt>
                <c:pt idx="89">
                  <c:v>15001002</c:v>
                </c:pt>
                <c:pt idx="90">
                  <c:v>15001002</c:v>
                </c:pt>
                <c:pt idx="91">
                  <c:v>16210000</c:v>
                </c:pt>
                <c:pt idx="92">
                  <c:v>16000000</c:v>
                </c:pt>
                <c:pt idx="93">
                  <c:v>16210000</c:v>
                </c:pt>
                <c:pt idx="94">
                  <c:v>16210000</c:v>
                </c:pt>
                <c:pt idx="95">
                  <c:v>16000000</c:v>
                </c:pt>
                <c:pt idx="96">
                  <c:v>16000000</c:v>
                </c:pt>
                <c:pt idx="97">
                  <c:v>16000000</c:v>
                </c:pt>
                <c:pt idx="98">
                  <c:v>16000000</c:v>
                </c:pt>
                <c:pt idx="99">
                  <c:v>15001002</c:v>
                </c:pt>
                <c:pt idx="100">
                  <c:v>16000000</c:v>
                </c:pt>
                <c:pt idx="101">
                  <c:v>16210000</c:v>
                </c:pt>
                <c:pt idx="102">
                  <c:v>16000000</c:v>
                </c:pt>
                <c:pt idx="103">
                  <c:v>16210000</c:v>
                </c:pt>
                <c:pt idx="104">
                  <c:v>15001002</c:v>
                </c:pt>
                <c:pt idx="105">
                  <c:v>26010000</c:v>
                </c:pt>
                <c:pt idx="106">
                  <c:v>16000000</c:v>
                </c:pt>
                <c:pt idx="107">
                  <c:v>16000000</c:v>
                </c:pt>
                <c:pt idx="108">
                  <c:v>16000000</c:v>
                </c:pt>
                <c:pt idx="109">
                  <c:v>16210000</c:v>
                </c:pt>
                <c:pt idx="110">
                  <c:v>16000000</c:v>
                </c:pt>
                <c:pt idx="111">
                  <c:v>16210000</c:v>
                </c:pt>
                <c:pt idx="112">
                  <c:v>16210000</c:v>
                </c:pt>
                <c:pt idx="113">
                  <c:v>16000000</c:v>
                </c:pt>
                <c:pt idx="114">
                  <c:v>16000000</c:v>
                </c:pt>
                <c:pt idx="115">
                  <c:v>16000000</c:v>
                </c:pt>
                <c:pt idx="116">
                  <c:v>16210000</c:v>
                </c:pt>
                <c:pt idx="117">
                  <c:v>16210000</c:v>
                </c:pt>
                <c:pt idx="118">
                  <c:v>16210000</c:v>
                </c:pt>
                <c:pt idx="119">
                  <c:v>16210000</c:v>
                </c:pt>
                <c:pt idx="120">
                  <c:v>26010000</c:v>
                </c:pt>
                <c:pt idx="121">
                  <c:v>16000000</c:v>
                </c:pt>
                <c:pt idx="122">
                  <c:v>16000000</c:v>
                </c:pt>
                <c:pt idx="123">
                  <c:v>16590000</c:v>
                </c:pt>
                <c:pt idx="124">
                  <c:v>16000000</c:v>
                </c:pt>
                <c:pt idx="125">
                  <c:v>16000000</c:v>
                </c:pt>
                <c:pt idx="126">
                  <c:v>16000000</c:v>
                </c:pt>
                <c:pt idx="127">
                  <c:v>16000000</c:v>
                </c:pt>
                <c:pt idx="128">
                  <c:v>16210000</c:v>
                </c:pt>
                <c:pt idx="129">
                  <c:v>16210000</c:v>
                </c:pt>
                <c:pt idx="130">
                  <c:v>16210000</c:v>
                </c:pt>
                <c:pt idx="131">
                  <c:v>16210000</c:v>
                </c:pt>
                <c:pt idx="132">
                  <c:v>16000000</c:v>
                </c:pt>
                <c:pt idx="133">
                  <c:v>16210000</c:v>
                </c:pt>
                <c:pt idx="134">
                  <c:v>16000000</c:v>
                </c:pt>
                <c:pt idx="135">
                  <c:v>16590000</c:v>
                </c:pt>
                <c:pt idx="136">
                  <c:v>15001002</c:v>
                </c:pt>
                <c:pt idx="137">
                  <c:v>16000000</c:v>
                </c:pt>
                <c:pt idx="138">
                  <c:v>15001002</c:v>
                </c:pt>
                <c:pt idx="139">
                  <c:v>26010000</c:v>
                </c:pt>
                <c:pt idx="140">
                  <c:v>26010000</c:v>
                </c:pt>
                <c:pt idx="141">
                  <c:v>16000000</c:v>
                </c:pt>
                <c:pt idx="142">
                  <c:v>16000000</c:v>
                </c:pt>
                <c:pt idx="143">
                  <c:v>16210000</c:v>
                </c:pt>
                <c:pt idx="144">
                  <c:v>15001002</c:v>
                </c:pt>
                <c:pt idx="145">
                  <c:v>16000000</c:v>
                </c:pt>
                <c:pt idx="146">
                  <c:v>16000000</c:v>
                </c:pt>
                <c:pt idx="147">
                  <c:v>16000000</c:v>
                </c:pt>
                <c:pt idx="148">
                  <c:v>25010000</c:v>
                </c:pt>
                <c:pt idx="149">
                  <c:v>15001002</c:v>
                </c:pt>
                <c:pt idx="150">
                  <c:v>15001002</c:v>
                </c:pt>
                <c:pt idx="151">
                  <c:v>15001002</c:v>
                </c:pt>
                <c:pt idx="152">
                  <c:v>15001002</c:v>
                </c:pt>
                <c:pt idx="153">
                  <c:v>0</c:v>
                </c:pt>
                <c:pt idx="154">
                  <c:v>160000000</c:v>
                </c:pt>
                <c:pt idx="155">
                  <c:v>0</c:v>
                </c:pt>
                <c:pt idx="156">
                  <c:v>0</c:v>
                </c:pt>
                <c:pt idx="157">
                  <c:v>16000000</c:v>
                </c:pt>
                <c:pt idx="158">
                  <c:v>15010000</c:v>
                </c:pt>
                <c:pt idx="159">
                  <c:v>16000000</c:v>
                </c:pt>
                <c:pt idx="160">
                  <c:v>16000000</c:v>
                </c:pt>
                <c:pt idx="161">
                  <c:v>15001002</c:v>
                </c:pt>
                <c:pt idx="162">
                  <c:v>15001002</c:v>
                </c:pt>
                <c:pt idx="163">
                  <c:v>15001002</c:v>
                </c:pt>
                <c:pt idx="164">
                  <c:v>15001002</c:v>
                </c:pt>
                <c:pt idx="165">
                  <c:v>16000000</c:v>
                </c:pt>
                <c:pt idx="166">
                  <c:v>16000000</c:v>
                </c:pt>
                <c:pt idx="167">
                  <c:v>16000000</c:v>
                </c:pt>
                <c:pt idx="168">
                  <c:v>16000000</c:v>
                </c:pt>
                <c:pt idx="169">
                  <c:v>16000000</c:v>
                </c:pt>
                <c:pt idx="170">
                  <c:v>15000000</c:v>
                </c:pt>
                <c:pt idx="171">
                  <c:v>0</c:v>
                </c:pt>
                <c:pt idx="172">
                  <c:v>15001002</c:v>
                </c:pt>
                <c:pt idx="173">
                  <c:v>16000000</c:v>
                </c:pt>
                <c:pt idx="174">
                  <c:v>16000000</c:v>
                </c:pt>
                <c:pt idx="175">
                  <c:v>16003110</c:v>
                </c:pt>
                <c:pt idx="176">
                  <c:v>16000000</c:v>
                </c:pt>
                <c:pt idx="177">
                  <c:v>16210000</c:v>
                </c:pt>
                <c:pt idx="178">
                  <c:v>26010000</c:v>
                </c:pt>
                <c:pt idx="179">
                  <c:v>0</c:v>
                </c:pt>
                <c:pt idx="180">
                  <c:v>15000000</c:v>
                </c:pt>
                <c:pt idx="181">
                  <c:v>15000000</c:v>
                </c:pt>
                <c:pt idx="182">
                  <c:v>15000000</c:v>
                </c:pt>
                <c:pt idx="183">
                  <c:v>15000000</c:v>
                </c:pt>
                <c:pt idx="184">
                  <c:v>15000000</c:v>
                </c:pt>
                <c:pt idx="185">
                  <c:v>0</c:v>
                </c:pt>
                <c:pt idx="186">
                  <c:v>15001002</c:v>
                </c:pt>
                <c:pt idx="187">
                  <c:v>17510000</c:v>
                </c:pt>
                <c:pt idx="188">
                  <c:v>15000000</c:v>
                </c:pt>
                <c:pt idx="189">
                  <c:v>15000000</c:v>
                </c:pt>
                <c:pt idx="190">
                  <c:v>15000000</c:v>
                </c:pt>
                <c:pt idx="191">
                  <c:v>15000000</c:v>
                </c:pt>
                <c:pt idx="192">
                  <c:v>17080000</c:v>
                </c:pt>
                <c:pt idx="193">
                  <c:v>15000000</c:v>
                </c:pt>
                <c:pt idx="194">
                  <c:v>15010000</c:v>
                </c:pt>
                <c:pt idx="195">
                  <c:v>15000000</c:v>
                </c:pt>
                <c:pt idx="196">
                  <c:v>15000000</c:v>
                </c:pt>
                <c:pt idx="197">
                  <c:v>15000000</c:v>
                </c:pt>
                <c:pt idx="198">
                  <c:v>15000000</c:v>
                </c:pt>
                <c:pt idx="199">
                  <c:v>15000000</c:v>
                </c:pt>
                <c:pt idx="200">
                  <c:v>15000000</c:v>
                </c:pt>
                <c:pt idx="201">
                  <c:v>0</c:v>
                </c:pt>
                <c:pt idx="202">
                  <c:v>15000000</c:v>
                </c:pt>
                <c:pt idx="203">
                  <c:v>15000000</c:v>
                </c:pt>
                <c:pt idx="204">
                  <c:v>15000000</c:v>
                </c:pt>
                <c:pt idx="205">
                  <c:v>16600000</c:v>
                </c:pt>
                <c:pt idx="206">
                  <c:v>26610000</c:v>
                </c:pt>
                <c:pt idx="207">
                  <c:v>15000000</c:v>
                </c:pt>
                <c:pt idx="208">
                  <c:v>16600000</c:v>
                </c:pt>
                <c:pt idx="209">
                  <c:v>16590000</c:v>
                </c:pt>
                <c:pt idx="210">
                  <c:v>15000000</c:v>
                </c:pt>
                <c:pt idx="211">
                  <c:v>15000000</c:v>
                </c:pt>
                <c:pt idx="212">
                  <c:v>15000000</c:v>
                </c:pt>
                <c:pt idx="213">
                  <c:v>15001002</c:v>
                </c:pt>
                <c:pt idx="214">
                  <c:v>15001002</c:v>
                </c:pt>
                <c:pt idx="215">
                  <c:v>15001002</c:v>
                </c:pt>
                <c:pt idx="216">
                  <c:v>15001002</c:v>
                </c:pt>
                <c:pt idx="217">
                  <c:v>16000000</c:v>
                </c:pt>
                <c:pt idx="218">
                  <c:v>15000000</c:v>
                </c:pt>
                <c:pt idx="219">
                  <c:v>26610000</c:v>
                </c:pt>
                <c:pt idx="220">
                  <c:v>16000000</c:v>
                </c:pt>
                <c:pt idx="221">
                  <c:v>16000000</c:v>
                </c:pt>
                <c:pt idx="222">
                  <c:v>15001002</c:v>
                </c:pt>
                <c:pt idx="223">
                  <c:v>15000000</c:v>
                </c:pt>
                <c:pt idx="224">
                  <c:v>16610000</c:v>
                </c:pt>
                <c:pt idx="225">
                  <c:v>16600000</c:v>
                </c:pt>
                <c:pt idx="226">
                  <c:v>15000000</c:v>
                </c:pt>
                <c:pt idx="227">
                  <c:v>16610000</c:v>
                </c:pt>
                <c:pt idx="228">
                  <c:v>0</c:v>
                </c:pt>
                <c:pt idx="229">
                  <c:v>0</c:v>
                </c:pt>
                <c:pt idx="230">
                  <c:v>17080000</c:v>
                </c:pt>
                <c:pt idx="231">
                  <c:v>15000000</c:v>
                </c:pt>
                <c:pt idx="232">
                  <c:v>15000000</c:v>
                </c:pt>
                <c:pt idx="233">
                  <c:v>15000000</c:v>
                </c:pt>
                <c:pt idx="234">
                  <c:v>15000000</c:v>
                </c:pt>
                <c:pt idx="235">
                  <c:v>15000000</c:v>
                </c:pt>
                <c:pt idx="236">
                  <c:v>15000000</c:v>
                </c:pt>
                <c:pt idx="237">
                  <c:v>15000000</c:v>
                </c:pt>
                <c:pt idx="238">
                  <c:v>15000000</c:v>
                </c:pt>
                <c:pt idx="239">
                  <c:v>15000000</c:v>
                </c:pt>
                <c:pt idx="240">
                  <c:v>15000000</c:v>
                </c:pt>
                <c:pt idx="241">
                  <c:v>16000000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15000000</c:v>
                </c:pt>
                <c:pt idx="246">
                  <c:v>15000000</c:v>
                </c:pt>
                <c:pt idx="247">
                  <c:v>0</c:v>
                </c:pt>
                <c:pt idx="248">
                  <c:v>15000000</c:v>
                </c:pt>
                <c:pt idx="249">
                  <c:v>15000000</c:v>
                </c:pt>
                <c:pt idx="250">
                  <c:v>0</c:v>
                </c:pt>
                <c:pt idx="251">
                  <c:v>15000000</c:v>
                </c:pt>
                <c:pt idx="252">
                  <c:v>0</c:v>
                </c:pt>
                <c:pt idx="253">
                  <c:v>15000000</c:v>
                </c:pt>
                <c:pt idx="254">
                  <c:v>15000000</c:v>
                </c:pt>
                <c:pt idx="255">
                  <c:v>15000000</c:v>
                </c:pt>
                <c:pt idx="256">
                  <c:v>15001002</c:v>
                </c:pt>
                <c:pt idx="257">
                  <c:v>15001001</c:v>
                </c:pt>
                <c:pt idx="258">
                  <c:v>15000000</c:v>
                </c:pt>
                <c:pt idx="259">
                  <c:v>15000000</c:v>
                </c:pt>
                <c:pt idx="260">
                  <c:v>15000000</c:v>
                </c:pt>
                <c:pt idx="261">
                  <c:v>15000000</c:v>
                </c:pt>
                <c:pt idx="262">
                  <c:v>16000000</c:v>
                </c:pt>
                <c:pt idx="263">
                  <c:v>15001002</c:v>
                </c:pt>
                <c:pt idx="264">
                  <c:v>16000000</c:v>
                </c:pt>
                <c:pt idx="265">
                  <c:v>15001002</c:v>
                </c:pt>
                <c:pt idx="266">
                  <c:v>16000000</c:v>
                </c:pt>
                <c:pt idx="267">
                  <c:v>15001002</c:v>
                </c:pt>
                <c:pt idx="268">
                  <c:v>15000000</c:v>
                </c:pt>
                <c:pt idx="269">
                  <c:v>16610000</c:v>
                </c:pt>
                <c:pt idx="270">
                  <c:v>16610000</c:v>
                </c:pt>
                <c:pt idx="271">
                  <c:v>16610000</c:v>
                </c:pt>
                <c:pt idx="272">
                  <c:v>16610000</c:v>
                </c:pt>
                <c:pt idx="273">
                  <c:v>16600000</c:v>
                </c:pt>
                <c:pt idx="274">
                  <c:v>0</c:v>
                </c:pt>
                <c:pt idx="275">
                  <c:v>0</c:v>
                </c:pt>
                <c:pt idx="276">
                  <c:v>15001002</c:v>
                </c:pt>
                <c:pt idx="277">
                  <c:v>15001002</c:v>
                </c:pt>
                <c:pt idx="278">
                  <c:v>0</c:v>
                </c:pt>
                <c:pt idx="279">
                  <c:v>15001002</c:v>
                </c:pt>
                <c:pt idx="280">
                  <c:v>15001002</c:v>
                </c:pt>
                <c:pt idx="281">
                  <c:v>16000000</c:v>
                </c:pt>
                <c:pt idx="282">
                  <c:v>16000000</c:v>
                </c:pt>
                <c:pt idx="283">
                  <c:v>15000000</c:v>
                </c:pt>
                <c:pt idx="284">
                  <c:v>15010000</c:v>
                </c:pt>
                <c:pt idx="285">
                  <c:v>0</c:v>
                </c:pt>
                <c:pt idx="286">
                  <c:v>15000000</c:v>
                </c:pt>
                <c:pt idx="287">
                  <c:v>16600000</c:v>
                </c:pt>
                <c:pt idx="288">
                  <c:v>16600000</c:v>
                </c:pt>
                <c:pt idx="289">
                  <c:v>16600000</c:v>
                </c:pt>
                <c:pt idx="290">
                  <c:v>16600000</c:v>
                </c:pt>
                <c:pt idx="291">
                  <c:v>15010000</c:v>
                </c:pt>
                <c:pt idx="292">
                  <c:v>15000000</c:v>
                </c:pt>
                <c:pt idx="293">
                  <c:v>15010000</c:v>
                </c:pt>
                <c:pt idx="294">
                  <c:v>15000000</c:v>
                </c:pt>
                <c:pt idx="295">
                  <c:v>16600000</c:v>
                </c:pt>
                <c:pt idx="296">
                  <c:v>0</c:v>
                </c:pt>
                <c:pt idx="297">
                  <c:v>0</c:v>
                </c:pt>
                <c:pt idx="298">
                  <c:v>15001001</c:v>
                </c:pt>
                <c:pt idx="299">
                  <c:v>15001002</c:v>
                </c:pt>
                <c:pt idx="300">
                  <c:v>16000000</c:v>
                </c:pt>
                <c:pt idx="301">
                  <c:v>26010000</c:v>
                </c:pt>
                <c:pt idx="302">
                  <c:v>15001002</c:v>
                </c:pt>
                <c:pt idx="303">
                  <c:v>17080000</c:v>
                </c:pt>
                <c:pt idx="304">
                  <c:v>15000000</c:v>
                </c:pt>
                <c:pt idx="305">
                  <c:v>16000000</c:v>
                </c:pt>
                <c:pt idx="306">
                  <c:v>15000000</c:v>
                </c:pt>
                <c:pt idx="307">
                  <c:v>15000000</c:v>
                </c:pt>
                <c:pt idx="308">
                  <c:v>15000000</c:v>
                </c:pt>
                <c:pt idx="309">
                  <c:v>15000000</c:v>
                </c:pt>
                <c:pt idx="310">
                  <c:v>15001002</c:v>
                </c:pt>
                <c:pt idx="311">
                  <c:v>15000000</c:v>
                </c:pt>
                <c:pt idx="312">
                  <c:v>16210000</c:v>
                </c:pt>
                <c:pt idx="313">
                  <c:v>15000000</c:v>
                </c:pt>
                <c:pt idx="314">
                  <c:v>15000000</c:v>
                </c:pt>
                <c:pt idx="315">
                  <c:v>16000000</c:v>
                </c:pt>
                <c:pt idx="316">
                  <c:v>15000000</c:v>
                </c:pt>
                <c:pt idx="317">
                  <c:v>0</c:v>
                </c:pt>
                <c:pt idx="318">
                  <c:v>17040000</c:v>
                </c:pt>
                <c:pt idx="319">
                  <c:v>15001001</c:v>
                </c:pt>
                <c:pt idx="320">
                  <c:v>15000000</c:v>
                </c:pt>
                <c:pt idx="321">
                  <c:v>15000000</c:v>
                </c:pt>
                <c:pt idx="322">
                  <c:v>15000000</c:v>
                </c:pt>
                <c:pt idx="323">
                  <c:v>15001001</c:v>
                </c:pt>
                <c:pt idx="324">
                  <c:v>15001001</c:v>
                </c:pt>
                <c:pt idx="325">
                  <c:v>0</c:v>
                </c:pt>
                <c:pt idx="326">
                  <c:v>15001001</c:v>
                </c:pt>
                <c:pt idx="327">
                  <c:v>16210000</c:v>
                </c:pt>
                <c:pt idx="328">
                  <c:v>0</c:v>
                </c:pt>
                <c:pt idx="329">
                  <c:v>15000000</c:v>
                </c:pt>
                <c:pt idx="330">
                  <c:v>16000000</c:v>
                </c:pt>
                <c:pt idx="331">
                  <c:v>15000000</c:v>
                </c:pt>
                <c:pt idx="332">
                  <c:v>16000000</c:v>
                </c:pt>
                <c:pt idx="333">
                  <c:v>16000000</c:v>
                </c:pt>
                <c:pt idx="334">
                  <c:v>15000000</c:v>
                </c:pt>
                <c:pt idx="335">
                  <c:v>0</c:v>
                </c:pt>
                <c:pt idx="336">
                  <c:v>15001002</c:v>
                </c:pt>
                <c:pt idx="337">
                  <c:v>15001002</c:v>
                </c:pt>
                <c:pt idx="338">
                  <c:v>15000000</c:v>
                </c:pt>
                <c:pt idx="339">
                  <c:v>15500000</c:v>
                </c:pt>
                <c:pt idx="340">
                  <c:v>15500000</c:v>
                </c:pt>
                <c:pt idx="341">
                  <c:v>15500000</c:v>
                </c:pt>
                <c:pt idx="342">
                  <c:v>15000000</c:v>
                </c:pt>
                <c:pt idx="343">
                  <c:v>15000000</c:v>
                </c:pt>
                <c:pt idx="344">
                  <c:v>15000000</c:v>
                </c:pt>
                <c:pt idx="345">
                  <c:v>15000000</c:v>
                </c:pt>
                <c:pt idx="346">
                  <c:v>15000000</c:v>
                </c:pt>
                <c:pt idx="347">
                  <c:v>15000000</c:v>
                </c:pt>
                <c:pt idx="348">
                  <c:v>0</c:v>
                </c:pt>
                <c:pt idx="349">
                  <c:v>15000000</c:v>
                </c:pt>
                <c:pt idx="350">
                  <c:v>15000000</c:v>
                </c:pt>
                <c:pt idx="351">
                  <c:v>15000000</c:v>
                </c:pt>
                <c:pt idx="352">
                  <c:v>15010000</c:v>
                </c:pt>
                <c:pt idx="353">
                  <c:v>15000000</c:v>
                </c:pt>
                <c:pt idx="354">
                  <c:v>15000000</c:v>
                </c:pt>
                <c:pt idx="355">
                  <c:v>15001002</c:v>
                </c:pt>
                <c:pt idx="356">
                  <c:v>15001002</c:v>
                </c:pt>
                <c:pt idx="357">
                  <c:v>15001002</c:v>
                </c:pt>
                <c:pt idx="358">
                  <c:v>15001002</c:v>
                </c:pt>
                <c:pt idx="359">
                  <c:v>15001002</c:v>
                </c:pt>
                <c:pt idx="360">
                  <c:v>15001002</c:v>
                </c:pt>
                <c:pt idx="361">
                  <c:v>15000000</c:v>
                </c:pt>
                <c:pt idx="362">
                  <c:v>16610000</c:v>
                </c:pt>
                <c:pt idx="363">
                  <c:v>16600000</c:v>
                </c:pt>
                <c:pt idx="364">
                  <c:v>15000000</c:v>
                </c:pt>
                <c:pt idx="365">
                  <c:v>16000000</c:v>
                </c:pt>
                <c:pt idx="367">
                  <c:v>15010000</c:v>
                </c:pt>
                <c:pt idx="368">
                  <c:v>15000000</c:v>
                </c:pt>
                <c:pt idx="369">
                  <c:v>15000000</c:v>
                </c:pt>
                <c:pt idx="370">
                  <c:v>15001002</c:v>
                </c:pt>
                <c:pt idx="371">
                  <c:v>15000000</c:v>
                </c:pt>
                <c:pt idx="372">
                  <c:v>16000000</c:v>
                </c:pt>
                <c:pt idx="373">
                  <c:v>15001002</c:v>
                </c:pt>
                <c:pt idx="374">
                  <c:v>16000000</c:v>
                </c:pt>
                <c:pt idx="375">
                  <c:v>15001002</c:v>
                </c:pt>
                <c:pt idx="376">
                  <c:v>15001002</c:v>
                </c:pt>
                <c:pt idx="377">
                  <c:v>15001002</c:v>
                </c:pt>
                <c:pt idx="378">
                  <c:v>15001002</c:v>
                </c:pt>
                <c:pt idx="379">
                  <c:v>15001002</c:v>
                </c:pt>
                <c:pt idx="380">
                  <c:v>16000000</c:v>
                </c:pt>
                <c:pt idx="381">
                  <c:v>15001002</c:v>
                </c:pt>
                <c:pt idx="382">
                  <c:v>15001002</c:v>
                </c:pt>
                <c:pt idx="383">
                  <c:v>15001002</c:v>
                </c:pt>
                <c:pt idx="384">
                  <c:v>15001002</c:v>
                </c:pt>
                <c:pt idx="385">
                  <c:v>15001002</c:v>
                </c:pt>
                <c:pt idx="386">
                  <c:v>15001002</c:v>
                </c:pt>
                <c:pt idx="387">
                  <c:v>15001002</c:v>
                </c:pt>
                <c:pt idx="388">
                  <c:v>15001002</c:v>
                </c:pt>
                <c:pt idx="389">
                  <c:v>15001002</c:v>
                </c:pt>
                <c:pt idx="390">
                  <c:v>15001002</c:v>
                </c:pt>
                <c:pt idx="391">
                  <c:v>15001002</c:v>
                </c:pt>
                <c:pt idx="392">
                  <c:v>15001002</c:v>
                </c:pt>
                <c:pt idx="393">
                  <c:v>15001002</c:v>
                </c:pt>
                <c:pt idx="394">
                  <c:v>15001002</c:v>
                </c:pt>
                <c:pt idx="395">
                  <c:v>15001002</c:v>
                </c:pt>
                <c:pt idx="396">
                  <c:v>15001002</c:v>
                </c:pt>
                <c:pt idx="397">
                  <c:v>15001002</c:v>
                </c:pt>
                <c:pt idx="398">
                  <c:v>15001002</c:v>
                </c:pt>
                <c:pt idx="399">
                  <c:v>15000000</c:v>
                </c:pt>
                <c:pt idx="400">
                  <c:v>15000000</c:v>
                </c:pt>
                <c:pt idx="401">
                  <c:v>15000000</c:v>
                </c:pt>
                <c:pt idx="402">
                  <c:v>15001002</c:v>
                </c:pt>
                <c:pt idx="403">
                  <c:v>15000000</c:v>
                </c:pt>
                <c:pt idx="404">
                  <c:v>15001001</c:v>
                </c:pt>
                <c:pt idx="405">
                  <c:v>15400000</c:v>
                </c:pt>
                <c:pt idx="406">
                  <c:v>15000000</c:v>
                </c:pt>
                <c:pt idx="407">
                  <c:v>15001001</c:v>
                </c:pt>
                <c:pt idx="408">
                  <c:v>0</c:v>
                </c:pt>
                <c:pt idx="409">
                  <c:v>15000000</c:v>
                </c:pt>
                <c:pt idx="410">
                  <c:v>16000000</c:v>
                </c:pt>
                <c:pt idx="411">
                  <c:v>15000000</c:v>
                </c:pt>
                <c:pt idx="412">
                  <c:v>16000000</c:v>
                </c:pt>
                <c:pt idx="413">
                  <c:v>15001002</c:v>
                </c:pt>
                <c:pt idx="414">
                  <c:v>0</c:v>
                </c:pt>
                <c:pt idx="415">
                  <c:v>15000000</c:v>
                </c:pt>
                <c:pt idx="416">
                  <c:v>0</c:v>
                </c:pt>
                <c:pt idx="417">
                  <c:v>15000000</c:v>
                </c:pt>
                <c:pt idx="418">
                  <c:v>15001002</c:v>
                </c:pt>
                <c:pt idx="419">
                  <c:v>16000000</c:v>
                </c:pt>
                <c:pt idx="420">
                  <c:v>15001002</c:v>
                </c:pt>
                <c:pt idx="421">
                  <c:v>15000000</c:v>
                </c:pt>
                <c:pt idx="422">
                  <c:v>15000000</c:v>
                </c:pt>
                <c:pt idx="423">
                  <c:v>15001002</c:v>
                </c:pt>
                <c:pt idx="424">
                  <c:v>15001002</c:v>
                </c:pt>
                <c:pt idx="425">
                  <c:v>15001002</c:v>
                </c:pt>
                <c:pt idx="426">
                  <c:v>15001002</c:v>
                </c:pt>
                <c:pt idx="427">
                  <c:v>15001002</c:v>
                </c:pt>
                <c:pt idx="428">
                  <c:v>15001002</c:v>
                </c:pt>
                <c:pt idx="429">
                  <c:v>16000000</c:v>
                </c:pt>
                <c:pt idx="430">
                  <c:v>15001002</c:v>
                </c:pt>
                <c:pt idx="431">
                  <c:v>0</c:v>
                </c:pt>
                <c:pt idx="432">
                  <c:v>15001001</c:v>
                </c:pt>
                <c:pt idx="433">
                  <c:v>15000000</c:v>
                </c:pt>
                <c:pt idx="434">
                  <c:v>15001002</c:v>
                </c:pt>
                <c:pt idx="435">
                  <c:v>15001002</c:v>
                </c:pt>
                <c:pt idx="436">
                  <c:v>15500000</c:v>
                </c:pt>
                <c:pt idx="437">
                  <c:v>15001002</c:v>
                </c:pt>
                <c:pt idx="438">
                  <c:v>0</c:v>
                </c:pt>
                <c:pt idx="439">
                  <c:v>17510000</c:v>
                </c:pt>
                <c:pt idx="440">
                  <c:v>15001002</c:v>
                </c:pt>
                <c:pt idx="441">
                  <c:v>15000000</c:v>
                </c:pt>
                <c:pt idx="442">
                  <c:v>15000000</c:v>
                </c:pt>
                <c:pt idx="443">
                  <c:v>15000000</c:v>
                </c:pt>
                <c:pt idx="444">
                  <c:v>15000000</c:v>
                </c:pt>
                <c:pt idx="445">
                  <c:v>0</c:v>
                </c:pt>
                <c:pt idx="446">
                  <c:v>15001001</c:v>
                </c:pt>
                <c:pt idx="447">
                  <c:v>15000000</c:v>
                </c:pt>
                <c:pt idx="448">
                  <c:v>15000000</c:v>
                </c:pt>
                <c:pt idx="449">
                  <c:v>15000000</c:v>
                </c:pt>
                <c:pt idx="450">
                  <c:v>15000000</c:v>
                </c:pt>
                <c:pt idx="451">
                  <c:v>15000000</c:v>
                </c:pt>
                <c:pt idx="452">
                  <c:v>15000000</c:v>
                </c:pt>
                <c:pt idx="453">
                  <c:v>15000000</c:v>
                </c:pt>
                <c:pt idx="454">
                  <c:v>15000000</c:v>
                </c:pt>
                <c:pt idx="455">
                  <c:v>16000000</c:v>
                </c:pt>
                <c:pt idx="456">
                  <c:v>0</c:v>
                </c:pt>
                <c:pt idx="457">
                  <c:v>15000000</c:v>
                </c:pt>
                <c:pt idx="458">
                  <c:v>15000000</c:v>
                </c:pt>
                <c:pt idx="459">
                  <c:v>15000000</c:v>
                </c:pt>
                <c:pt idx="460">
                  <c:v>15000000</c:v>
                </c:pt>
                <c:pt idx="461">
                  <c:v>15001002</c:v>
                </c:pt>
                <c:pt idx="462">
                  <c:v>15000000</c:v>
                </c:pt>
                <c:pt idx="463">
                  <c:v>15001001</c:v>
                </c:pt>
                <c:pt idx="464">
                  <c:v>15000000</c:v>
                </c:pt>
                <c:pt idx="465">
                  <c:v>15001001</c:v>
                </c:pt>
                <c:pt idx="466">
                  <c:v>15001001</c:v>
                </c:pt>
                <c:pt idx="467">
                  <c:v>15000000</c:v>
                </c:pt>
                <c:pt idx="468">
                  <c:v>15000000</c:v>
                </c:pt>
                <c:pt idx="469">
                  <c:v>15000000</c:v>
                </c:pt>
                <c:pt idx="470">
                  <c:v>15000000</c:v>
                </c:pt>
                <c:pt idx="471">
                  <c:v>16600000</c:v>
                </c:pt>
                <c:pt idx="472">
                  <c:v>16600000</c:v>
                </c:pt>
                <c:pt idx="473">
                  <c:v>16610000</c:v>
                </c:pt>
                <c:pt idx="474">
                  <c:v>15000000</c:v>
                </c:pt>
                <c:pt idx="475">
                  <c:v>16600000</c:v>
                </c:pt>
                <c:pt idx="476">
                  <c:v>15000000</c:v>
                </c:pt>
                <c:pt idx="477">
                  <c:v>15000000</c:v>
                </c:pt>
                <c:pt idx="478">
                  <c:v>15000000</c:v>
                </c:pt>
                <c:pt idx="479">
                  <c:v>15000000</c:v>
                </c:pt>
                <c:pt idx="480">
                  <c:v>15000000</c:v>
                </c:pt>
                <c:pt idx="481">
                  <c:v>16000000</c:v>
                </c:pt>
                <c:pt idx="482">
                  <c:v>15001002</c:v>
                </c:pt>
                <c:pt idx="483">
                  <c:v>15001002</c:v>
                </c:pt>
                <c:pt idx="484">
                  <c:v>15001002</c:v>
                </c:pt>
                <c:pt idx="485">
                  <c:v>15000000</c:v>
                </c:pt>
                <c:pt idx="486">
                  <c:v>15000000</c:v>
                </c:pt>
                <c:pt idx="487">
                  <c:v>15000000</c:v>
                </c:pt>
                <c:pt idx="488">
                  <c:v>15500000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15001001</c:v>
                </c:pt>
                <c:pt idx="495">
                  <c:v>15000000</c:v>
                </c:pt>
                <c:pt idx="496">
                  <c:v>15000000</c:v>
                </c:pt>
                <c:pt idx="497">
                  <c:v>15000000</c:v>
                </c:pt>
                <c:pt idx="498">
                  <c:v>0</c:v>
                </c:pt>
                <c:pt idx="499">
                  <c:v>15000000</c:v>
                </c:pt>
                <c:pt idx="500">
                  <c:v>15001002</c:v>
                </c:pt>
                <c:pt idx="501">
                  <c:v>17080000</c:v>
                </c:pt>
                <c:pt idx="502">
                  <c:v>15000000</c:v>
                </c:pt>
                <c:pt idx="503">
                  <c:v>15500000</c:v>
                </c:pt>
                <c:pt idx="504">
                  <c:v>15000000</c:v>
                </c:pt>
                <c:pt idx="505">
                  <c:v>15000000</c:v>
                </c:pt>
                <c:pt idx="506">
                  <c:v>15001002</c:v>
                </c:pt>
                <c:pt idx="507">
                  <c:v>15001002</c:v>
                </c:pt>
                <c:pt idx="508">
                  <c:v>15001002</c:v>
                </c:pt>
                <c:pt idx="509">
                  <c:v>15000000</c:v>
                </c:pt>
                <c:pt idx="510">
                  <c:v>0</c:v>
                </c:pt>
                <c:pt idx="511">
                  <c:v>15000000</c:v>
                </c:pt>
                <c:pt idx="512">
                  <c:v>16000000</c:v>
                </c:pt>
                <c:pt idx="513">
                  <c:v>16000000</c:v>
                </c:pt>
                <c:pt idx="514">
                  <c:v>15000000</c:v>
                </c:pt>
                <c:pt idx="515">
                  <c:v>16600000</c:v>
                </c:pt>
                <c:pt idx="516">
                  <c:v>16610000</c:v>
                </c:pt>
                <c:pt idx="517">
                  <c:v>15010000</c:v>
                </c:pt>
                <c:pt idx="518">
                  <c:v>16600000</c:v>
                </c:pt>
                <c:pt idx="519">
                  <c:v>15000000</c:v>
                </c:pt>
                <c:pt idx="520">
                  <c:v>15500000</c:v>
                </c:pt>
                <c:pt idx="521">
                  <c:v>15001002</c:v>
                </c:pt>
                <c:pt idx="522">
                  <c:v>26010000</c:v>
                </c:pt>
                <c:pt idx="523">
                  <c:v>16000000</c:v>
                </c:pt>
                <c:pt idx="524">
                  <c:v>15001002</c:v>
                </c:pt>
                <c:pt idx="525">
                  <c:v>15000000</c:v>
                </c:pt>
                <c:pt idx="526">
                  <c:v>16000000</c:v>
                </c:pt>
                <c:pt idx="527">
                  <c:v>16000000</c:v>
                </c:pt>
                <c:pt idx="528">
                  <c:v>27000000</c:v>
                </c:pt>
                <c:pt idx="529">
                  <c:v>27000000</c:v>
                </c:pt>
                <c:pt idx="530">
                  <c:v>15000000</c:v>
                </c:pt>
                <c:pt idx="531">
                  <c:v>16600000</c:v>
                </c:pt>
                <c:pt idx="532">
                  <c:v>16600000</c:v>
                </c:pt>
                <c:pt idx="533">
                  <c:v>16610000</c:v>
                </c:pt>
                <c:pt idx="534">
                  <c:v>15001001</c:v>
                </c:pt>
                <c:pt idx="535">
                  <c:v>15001001</c:v>
                </c:pt>
                <c:pt idx="536">
                  <c:v>15001001</c:v>
                </c:pt>
                <c:pt idx="537">
                  <c:v>16600000</c:v>
                </c:pt>
                <c:pt idx="538">
                  <c:v>16600000</c:v>
                </c:pt>
                <c:pt idx="539">
                  <c:v>15000000</c:v>
                </c:pt>
                <c:pt idx="540">
                  <c:v>15000001</c:v>
                </c:pt>
                <c:pt idx="541">
                  <c:v>15000000</c:v>
                </c:pt>
                <c:pt idx="542">
                  <c:v>16000000</c:v>
                </c:pt>
                <c:pt idx="543">
                  <c:v>15001001</c:v>
                </c:pt>
                <c:pt idx="544">
                  <c:v>15001001</c:v>
                </c:pt>
                <c:pt idx="545">
                  <c:v>15001001</c:v>
                </c:pt>
                <c:pt idx="546">
                  <c:v>15001001</c:v>
                </c:pt>
                <c:pt idx="547">
                  <c:v>15001001</c:v>
                </c:pt>
                <c:pt idx="548">
                  <c:v>15000000</c:v>
                </c:pt>
                <c:pt idx="549">
                  <c:v>15001001</c:v>
                </c:pt>
                <c:pt idx="550">
                  <c:v>0</c:v>
                </c:pt>
                <c:pt idx="551">
                  <c:v>15000000</c:v>
                </c:pt>
                <c:pt idx="552">
                  <c:v>15000000</c:v>
                </c:pt>
                <c:pt idx="553">
                  <c:v>15000000</c:v>
                </c:pt>
                <c:pt idx="554">
                  <c:v>15500000</c:v>
                </c:pt>
                <c:pt idx="555">
                  <c:v>15500000</c:v>
                </c:pt>
                <c:pt idx="556">
                  <c:v>15001002</c:v>
                </c:pt>
                <c:pt idx="557">
                  <c:v>16000000</c:v>
                </c:pt>
                <c:pt idx="558">
                  <c:v>15001001</c:v>
                </c:pt>
                <c:pt idx="559">
                  <c:v>15001002</c:v>
                </c:pt>
                <c:pt idx="560">
                  <c:v>15001002</c:v>
                </c:pt>
                <c:pt idx="561">
                  <c:v>16590000</c:v>
                </c:pt>
                <c:pt idx="562">
                  <c:v>16000000</c:v>
                </c:pt>
                <c:pt idx="563">
                  <c:v>15001002</c:v>
                </c:pt>
                <c:pt idx="564">
                  <c:v>16000000</c:v>
                </c:pt>
                <c:pt idx="565">
                  <c:v>15001002</c:v>
                </c:pt>
                <c:pt idx="566">
                  <c:v>16000000</c:v>
                </c:pt>
                <c:pt idx="567">
                  <c:v>15001002</c:v>
                </c:pt>
                <c:pt idx="568">
                  <c:v>16000000</c:v>
                </c:pt>
                <c:pt idx="569">
                  <c:v>16000000</c:v>
                </c:pt>
                <c:pt idx="570">
                  <c:v>15000000</c:v>
                </c:pt>
                <c:pt idx="571">
                  <c:v>15000000</c:v>
                </c:pt>
                <c:pt idx="572">
                  <c:v>15000000</c:v>
                </c:pt>
                <c:pt idx="573">
                  <c:v>15000000</c:v>
                </c:pt>
                <c:pt idx="574">
                  <c:v>15000000</c:v>
                </c:pt>
                <c:pt idx="575">
                  <c:v>15000000</c:v>
                </c:pt>
                <c:pt idx="576">
                  <c:v>15000000</c:v>
                </c:pt>
                <c:pt idx="579">
                  <c:v>15000000</c:v>
                </c:pt>
                <c:pt idx="580">
                  <c:v>15001001</c:v>
                </c:pt>
                <c:pt idx="581">
                  <c:v>15000000</c:v>
                </c:pt>
                <c:pt idx="582">
                  <c:v>15000000</c:v>
                </c:pt>
                <c:pt idx="583">
                  <c:v>15000000</c:v>
                </c:pt>
                <c:pt idx="584">
                  <c:v>16000000</c:v>
                </c:pt>
                <c:pt idx="585">
                  <c:v>16210000</c:v>
                </c:pt>
                <c:pt idx="586">
                  <c:v>15000000</c:v>
                </c:pt>
                <c:pt idx="587">
                  <c:v>15001002</c:v>
                </c:pt>
                <c:pt idx="588">
                  <c:v>15001002</c:v>
                </c:pt>
                <c:pt idx="589">
                  <c:v>15001002</c:v>
                </c:pt>
                <c:pt idx="590">
                  <c:v>15001002</c:v>
                </c:pt>
                <c:pt idx="591">
                  <c:v>16600000</c:v>
                </c:pt>
                <c:pt idx="592">
                  <c:v>0</c:v>
                </c:pt>
                <c:pt idx="593">
                  <c:v>15000000</c:v>
                </c:pt>
                <c:pt idx="594">
                  <c:v>0</c:v>
                </c:pt>
                <c:pt idx="595">
                  <c:v>16210000</c:v>
                </c:pt>
                <c:pt idx="596">
                  <c:v>15001002</c:v>
                </c:pt>
                <c:pt idx="597">
                  <c:v>16000000</c:v>
                </c:pt>
                <c:pt idx="598">
                  <c:v>15000000</c:v>
                </c:pt>
                <c:pt idx="599">
                  <c:v>16000000</c:v>
                </c:pt>
                <c:pt idx="600">
                  <c:v>15000000</c:v>
                </c:pt>
                <c:pt idx="601">
                  <c:v>15000000</c:v>
                </c:pt>
                <c:pt idx="602">
                  <c:v>16000000</c:v>
                </c:pt>
                <c:pt idx="603">
                  <c:v>15001002</c:v>
                </c:pt>
                <c:pt idx="604">
                  <c:v>15001002</c:v>
                </c:pt>
                <c:pt idx="605">
                  <c:v>15000000</c:v>
                </c:pt>
                <c:pt idx="606">
                  <c:v>15000000</c:v>
                </c:pt>
                <c:pt idx="607">
                  <c:v>15000000</c:v>
                </c:pt>
                <c:pt idx="608">
                  <c:v>15000000</c:v>
                </c:pt>
                <c:pt idx="609">
                  <c:v>15000000</c:v>
                </c:pt>
                <c:pt idx="610">
                  <c:v>15001002</c:v>
                </c:pt>
                <c:pt idx="611">
                  <c:v>15001002</c:v>
                </c:pt>
                <c:pt idx="612">
                  <c:v>15001002</c:v>
                </c:pt>
                <c:pt idx="613">
                  <c:v>15001002</c:v>
                </c:pt>
                <c:pt idx="614">
                  <c:v>15000000</c:v>
                </c:pt>
                <c:pt idx="615">
                  <c:v>15000000</c:v>
                </c:pt>
                <c:pt idx="616">
                  <c:v>16000000</c:v>
                </c:pt>
                <c:pt idx="617">
                  <c:v>15000000</c:v>
                </c:pt>
                <c:pt idx="618">
                  <c:v>15000000</c:v>
                </c:pt>
                <c:pt idx="619">
                  <c:v>15000000</c:v>
                </c:pt>
                <c:pt idx="620">
                  <c:v>0</c:v>
                </c:pt>
                <c:pt idx="621">
                  <c:v>16210000</c:v>
                </c:pt>
                <c:pt idx="622">
                  <c:v>0</c:v>
                </c:pt>
                <c:pt idx="623">
                  <c:v>15000000</c:v>
                </c:pt>
                <c:pt idx="624">
                  <c:v>15001001</c:v>
                </c:pt>
                <c:pt idx="625">
                  <c:v>15000000</c:v>
                </c:pt>
                <c:pt idx="626">
                  <c:v>15400000</c:v>
                </c:pt>
                <c:pt idx="627">
                  <c:v>16600000</c:v>
                </c:pt>
                <c:pt idx="628">
                  <c:v>15400000</c:v>
                </c:pt>
                <c:pt idx="629">
                  <c:v>15001002</c:v>
                </c:pt>
                <c:pt idx="630">
                  <c:v>15001002</c:v>
                </c:pt>
                <c:pt idx="631">
                  <c:v>15001002</c:v>
                </c:pt>
                <c:pt idx="632">
                  <c:v>15001002</c:v>
                </c:pt>
                <c:pt idx="633">
                  <c:v>15001002</c:v>
                </c:pt>
                <c:pt idx="634">
                  <c:v>15500000</c:v>
                </c:pt>
                <c:pt idx="635">
                  <c:v>15001002</c:v>
                </c:pt>
                <c:pt idx="636">
                  <c:v>15001002</c:v>
                </c:pt>
                <c:pt idx="637">
                  <c:v>15001002</c:v>
                </c:pt>
                <c:pt idx="638">
                  <c:v>15001002</c:v>
                </c:pt>
                <c:pt idx="639">
                  <c:v>15001002</c:v>
                </c:pt>
                <c:pt idx="640">
                  <c:v>15001002</c:v>
                </c:pt>
                <c:pt idx="641">
                  <c:v>15001002</c:v>
                </c:pt>
                <c:pt idx="642">
                  <c:v>15001002</c:v>
                </c:pt>
                <c:pt idx="643">
                  <c:v>15001002</c:v>
                </c:pt>
                <c:pt idx="644">
                  <c:v>15500000</c:v>
                </c:pt>
                <c:pt idx="645">
                  <c:v>15001002</c:v>
                </c:pt>
                <c:pt idx="646">
                  <c:v>15001002</c:v>
                </c:pt>
                <c:pt idx="647">
                  <c:v>15001002</c:v>
                </c:pt>
                <c:pt idx="648">
                  <c:v>15000000</c:v>
                </c:pt>
                <c:pt idx="649">
                  <c:v>15001001</c:v>
                </c:pt>
                <c:pt idx="650">
                  <c:v>15000000</c:v>
                </c:pt>
                <c:pt idx="651">
                  <c:v>15400000</c:v>
                </c:pt>
                <c:pt idx="652">
                  <c:v>16000000</c:v>
                </c:pt>
                <c:pt idx="653">
                  <c:v>15001002</c:v>
                </c:pt>
                <c:pt idx="654">
                  <c:v>15001002</c:v>
                </c:pt>
                <c:pt idx="655">
                  <c:v>15001002</c:v>
                </c:pt>
                <c:pt idx="656">
                  <c:v>16590000</c:v>
                </c:pt>
                <c:pt idx="657">
                  <c:v>16000000</c:v>
                </c:pt>
                <c:pt idx="658">
                  <c:v>15000000</c:v>
                </c:pt>
                <c:pt idx="659">
                  <c:v>16000000</c:v>
                </c:pt>
                <c:pt idx="660">
                  <c:v>15001001</c:v>
                </c:pt>
                <c:pt idx="661">
                  <c:v>15001001</c:v>
                </c:pt>
                <c:pt idx="662">
                  <c:v>15001001</c:v>
                </c:pt>
                <c:pt idx="663">
                  <c:v>15001001</c:v>
                </c:pt>
                <c:pt idx="664">
                  <c:v>15001001</c:v>
                </c:pt>
                <c:pt idx="665">
                  <c:v>15000000</c:v>
                </c:pt>
                <c:pt idx="666">
                  <c:v>0</c:v>
                </c:pt>
                <c:pt idx="667">
                  <c:v>15000000</c:v>
                </c:pt>
                <c:pt idx="668">
                  <c:v>16610000</c:v>
                </c:pt>
                <c:pt idx="669">
                  <c:v>15000000</c:v>
                </c:pt>
                <c:pt idx="670">
                  <c:v>16600000</c:v>
                </c:pt>
                <c:pt idx="671">
                  <c:v>15000000</c:v>
                </c:pt>
                <c:pt idx="672">
                  <c:v>15001001</c:v>
                </c:pt>
                <c:pt idx="673">
                  <c:v>15001002</c:v>
                </c:pt>
                <c:pt idx="674">
                  <c:v>15001002</c:v>
                </c:pt>
                <c:pt idx="675">
                  <c:v>15001002</c:v>
                </c:pt>
                <c:pt idx="676">
                  <c:v>15001002</c:v>
                </c:pt>
                <c:pt idx="677">
                  <c:v>15000000</c:v>
                </c:pt>
                <c:pt idx="678">
                  <c:v>15000000</c:v>
                </c:pt>
                <c:pt idx="679">
                  <c:v>15000000</c:v>
                </c:pt>
                <c:pt idx="680">
                  <c:v>15001002</c:v>
                </c:pt>
                <c:pt idx="681">
                  <c:v>15001002</c:v>
                </c:pt>
                <c:pt idx="682">
                  <c:v>15000000</c:v>
                </c:pt>
                <c:pt idx="683">
                  <c:v>15001002</c:v>
                </c:pt>
                <c:pt idx="684">
                  <c:v>15010000</c:v>
                </c:pt>
                <c:pt idx="685">
                  <c:v>15000000</c:v>
                </c:pt>
                <c:pt idx="686">
                  <c:v>16600000</c:v>
                </c:pt>
                <c:pt idx="687">
                  <c:v>16600000</c:v>
                </c:pt>
                <c:pt idx="688">
                  <c:v>16600000</c:v>
                </c:pt>
                <c:pt idx="689">
                  <c:v>15000000</c:v>
                </c:pt>
                <c:pt idx="690">
                  <c:v>15001001</c:v>
                </c:pt>
                <c:pt idx="691">
                  <c:v>15400000</c:v>
                </c:pt>
                <c:pt idx="692">
                  <c:v>15000000</c:v>
                </c:pt>
                <c:pt idx="693">
                  <c:v>15000000</c:v>
                </c:pt>
                <c:pt idx="694">
                  <c:v>15000000</c:v>
                </c:pt>
                <c:pt idx="695">
                  <c:v>16600000</c:v>
                </c:pt>
                <c:pt idx="696">
                  <c:v>16600000</c:v>
                </c:pt>
                <c:pt idx="697">
                  <c:v>16600000</c:v>
                </c:pt>
                <c:pt idx="698">
                  <c:v>16610000</c:v>
                </c:pt>
                <c:pt idx="699">
                  <c:v>16600000</c:v>
                </c:pt>
                <c:pt idx="700">
                  <c:v>15000000</c:v>
                </c:pt>
                <c:pt idx="701">
                  <c:v>16600000</c:v>
                </c:pt>
                <c:pt idx="702">
                  <c:v>15001001</c:v>
                </c:pt>
                <c:pt idx="703">
                  <c:v>16600000</c:v>
                </c:pt>
                <c:pt idx="704">
                  <c:v>15001001</c:v>
                </c:pt>
                <c:pt idx="705">
                  <c:v>15001001</c:v>
                </c:pt>
                <c:pt idx="706">
                  <c:v>15001002</c:v>
                </c:pt>
                <c:pt idx="707">
                  <c:v>16600000</c:v>
                </c:pt>
                <c:pt idx="708">
                  <c:v>15000000</c:v>
                </c:pt>
                <c:pt idx="709">
                  <c:v>0</c:v>
                </c:pt>
                <c:pt idx="710">
                  <c:v>15001002</c:v>
                </c:pt>
                <c:pt idx="711">
                  <c:v>15001002</c:v>
                </c:pt>
                <c:pt idx="712">
                  <c:v>15001002</c:v>
                </c:pt>
                <c:pt idx="713">
                  <c:v>15001002</c:v>
                </c:pt>
                <c:pt idx="714">
                  <c:v>15000000</c:v>
                </c:pt>
                <c:pt idx="715">
                  <c:v>16600000</c:v>
                </c:pt>
                <c:pt idx="716">
                  <c:v>16600000</c:v>
                </c:pt>
                <c:pt idx="717">
                  <c:v>15000000</c:v>
                </c:pt>
                <c:pt idx="718">
                  <c:v>16610000</c:v>
                </c:pt>
                <c:pt idx="719">
                  <c:v>16610000</c:v>
                </c:pt>
                <c:pt idx="720">
                  <c:v>15000000</c:v>
                </c:pt>
                <c:pt idx="721">
                  <c:v>16600000</c:v>
                </c:pt>
                <c:pt idx="722">
                  <c:v>15000000</c:v>
                </c:pt>
                <c:pt idx="723">
                  <c:v>15000000</c:v>
                </c:pt>
                <c:pt idx="724">
                  <c:v>15000000</c:v>
                </c:pt>
                <c:pt idx="725">
                  <c:v>15000000</c:v>
                </c:pt>
                <c:pt idx="726">
                  <c:v>15001002</c:v>
                </c:pt>
                <c:pt idx="727">
                  <c:v>15000000</c:v>
                </c:pt>
                <c:pt idx="728">
                  <c:v>16000000</c:v>
                </c:pt>
                <c:pt idx="729">
                  <c:v>15001002</c:v>
                </c:pt>
                <c:pt idx="730">
                  <c:v>15001002</c:v>
                </c:pt>
                <c:pt idx="731">
                  <c:v>15001002</c:v>
                </c:pt>
                <c:pt idx="732">
                  <c:v>15001002</c:v>
                </c:pt>
                <c:pt idx="733">
                  <c:v>16000000</c:v>
                </c:pt>
                <c:pt idx="734">
                  <c:v>0</c:v>
                </c:pt>
                <c:pt idx="735">
                  <c:v>16000000</c:v>
                </c:pt>
                <c:pt idx="736">
                  <c:v>15001002</c:v>
                </c:pt>
                <c:pt idx="737">
                  <c:v>15000000</c:v>
                </c:pt>
                <c:pt idx="738">
                  <c:v>15000000</c:v>
                </c:pt>
                <c:pt idx="739">
                  <c:v>15000000</c:v>
                </c:pt>
                <c:pt idx="740">
                  <c:v>15000000</c:v>
                </c:pt>
                <c:pt idx="741">
                  <c:v>16000000</c:v>
                </c:pt>
                <c:pt idx="742">
                  <c:v>15000000</c:v>
                </c:pt>
                <c:pt idx="743">
                  <c:v>15000000</c:v>
                </c:pt>
                <c:pt idx="744">
                  <c:v>15001002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15000000</c:v>
                </c:pt>
                <c:pt idx="751">
                  <c:v>15000000</c:v>
                </c:pt>
                <c:pt idx="752">
                  <c:v>15001002</c:v>
                </c:pt>
                <c:pt idx="753">
                  <c:v>15001002</c:v>
                </c:pt>
                <c:pt idx="754">
                  <c:v>15001001</c:v>
                </c:pt>
                <c:pt idx="755">
                  <c:v>15000000</c:v>
                </c:pt>
                <c:pt idx="756">
                  <c:v>15000000</c:v>
                </c:pt>
                <c:pt idx="757">
                  <c:v>15000000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15000000</c:v>
                </c:pt>
                <c:pt idx="764">
                  <c:v>15001002</c:v>
                </c:pt>
                <c:pt idx="765">
                  <c:v>15001002</c:v>
                </c:pt>
                <c:pt idx="766">
                  <c:v>15000000</c:v>
                </c:pt>
                <c:pt idx="767">
                  <c:v>15001002</c:v>
                </c:pt>
                <c:pt idx="768">
                  <c:v>15001002</c:v>
                </c:pt>
                <c:pt idx="769">
                  <c:v>15001002</c:v>
                </c:pt>
                <c:pt idx="770">
                  <c:v>15001002</c:v>
                </c:pt>
                <c:pt idx="771">
                  <c:v>15001001</c:v>
                </c:pt>
                <c:pt idx="772">
                  <c:v>15001001</c:v>
                </c:pt>
                <c:pt idx="773">
                  <c:v>15001001</c:v>
                </c:pt>
                <c:pt idx="774">
                  <c:v>15001001</c:v>
                </c:pt>
                <c:pt idx="775">
                  <c:v>15001001</c:v>
                </c:pt>
                <c:pt idx="776">
                  <c:v>15000000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15001002</c:v>
                </c:pt>
                <c:pt idx="781">
                  <c:v>16000000</c:v>
                </c:pt>
                <c:pt idx="782">
                  <c:v>16000000</c:v>
                </c:pt>
                <c:pt idx="783">
                  <c:v>15001002</c:v>
                </c:pt>
                <c:pt idx="784">
                  <c:v>15001002</c:v>
                </c:pt>
                <c:pt idx="785">
                  <c:v>15001002</c:v>
                </c:pt>
                <c:pt idx="786">
                  <c:v>15001002</c:v>
                </c:pt>
                <c:pt idx="787">
                  <c:v>16003110</c:v>
                </c:pt>
                <c:pt idx="788">
                  <c:v>15000000</c:v>
                </c:pt>
                <c:pt idx="789">
                  <c:v>15000000</c:v>
                </c:pt>
                <c:pt idx="790">
                  <c:v>15000000</c:v>
                </c:pt>
                <c:pt idx="791">
                  <c:v>15000000</c:v>
                </c:pt>
                <c:pt idx="792">
                  <c:v>15000000</c:v>
                </c:pt>
                <c:pt idx="793">
                  <c:v>15000000</c:v>
                </c:pt>
                <c:pt idx="794">
                  <c:v>15001002</c:v>
                </c:pt>
                <c:pt idx="795">
                  <c:v>16000000</c:v>
                </c:pt>
                <c:pt idx="796">
                  <c:v>15001002</c:v>
                </c:pt>
                <c:pt idx="797">
                  <c:v>15500000</c:v>
                </c:pt>
                <c:pt idx="798">
                  <c:v>15000000</c:v>
                </c:pt>
                <c:pt idx="799">
                  <c:v>15000000</c:v>
                </c:pt>
                <c:pt idx="800">
                  <c:v>15001002</c:v>
                </c:pt>
                <c:pt idx="801">
                  <c:v>0</c:v>
                </c:pt>
                <c:pt idx="802">
                  <c:v>15001002</c:v>
                </c:pt>
                <c:pt idx="803">
                  <c:v>15000000</c:v>
                </c:pt>
                <c:pt idx="804">
                  <c:v>15000000</c:v>
                </c:pt>
                <c:pt idx="805">
                  <c:v>16000000</c:v>
                </c:pt>
                <c:pt idx="806">
                  <c:v>16000000</c:v>
                </c:pt>
                <c:pt idx="807">
                  <c:v>16000000</c:v>
                </c:pt>
                <c:pt idx="808">
                  <c:v>15000000</c:v>
                </c:pt>
                <c:pt idx="809">
                  <c:v>15000000</c:v>
                </c:pt>
                <c:pt idx="810">
                  <c:v>16000000</c:v>
                </c:pt>
                <c:pt idx="811">
                  <c:v>16600000</c:v>
                </c:pt>
                <c:pt idx="812">
                  <c:v>16600000</c:v>
                </c:pt>
                <c:pt idx="813">
                  <c:v>16600000</c:v>
                </c:pt>
                <c:pt idx="814">
                  <c:v>15000000</c:v>
                </c:pt>
                <c:pt idx="815">
                  <c:v>16600000</c:v>
                </c:pt>
                <c:pt idx="816">
                  <c:v>17510000</c:v>
                </c:pt>
                <c:pt idx="817">
                  <c:v>15000000</c:v>
                </c:pt>
                <c:pt idx="818">
                  <c:v>15000000</c:v>
                </c:pt>
                <c:pt idx="819">
                  <c:v>15000000</c:v>
                </c:pt>
                <c:pt idx="820">
                  <c:v>15000000</c:v>
                </c:pt>
                <c:pt idx="821">
                  <c:v>15000000</c:v>
                </c:pt>
                <c:pt idx="822">
                  <c:v>16600000</c:v>
                </c:pt>
                <c:pt idx="823">
                  <c:v>16610000</c:v>
                </c:pt>
                <c:pt idx="824">
                  <c:v>16600000</c:v>
                </c:pt>
                <c:pt idx="825">
                  <c:v>15000000</c:v>
                </c:pt>
                <c:pt idx="826">
                  <c:v>15010000</c:v>
                </c:pt>
                <c:pt idx="827">
                  <c:v>15000000</c:v>
                </c:pt>
                <c:pt idx="828">
                  <c:v>15500000</c:v>
                </c:pt>
                <c:pt idx="829">
                  <c:v>15001001</c:v>
                </c:pt>
                <c:pt idx="830">
                  <c:v>15000000</c:v>
                </c:pt>
                <c:pt idx="831">
                  <c:v>15000000</c:v>
                </c:pt>
                <c:pt idx="832">
                  <c:v>17510000</c:v>
                </c:pt>
                <c:pt idx="833">
                  <c:v>15001002</c:v>
                </c:pt>
                <c:pt idx="834">
                  <c:v>0</c:v>
                </c:pt>
                <c:pt idx="835">
                  <c:v>15400000</c:v>
                </c:pt>
                <c:pt idx="836">
                  <c:v>15001001</c:v>
                </c:pt>
                <c:pt idx="837">
                  <c:v>17400000</c:v>
                </c:pt>
                <c:pt idx="838">
                  <c:v>15000000</c:v>
                </c:pt>
                <c:pt idx="839">
                  <c:v>15001001</c:v>
                </c:pt>
                <c:pt idx="840">
                  <c:v>15001001</c:v>
                </c:pt>
                <c:pt idx="841">
                  <c:v>15001001</c:v>
                </c:pt>
                <c:pt idx="842">
                  <c:v>15001001</c:v>
                </c:pt>
                <c:pt idx="843">
                  <c:v>0</c:v>
                </c:pt>
                <c:pt idx="844">
                  <c:v>0</c:v>
                </c:pt>
                <c:pt idx="845">
                  <c:v>15001002</c:v>
                </c:pt>
                <c:pt idx="846">
                  <c:v>15001002</c:v>
                </c:pt>
                <c:pt idx="847">
                  <c:v>15000000</c:v>
                </c:pt>
                <c:pt idx="848">
                  <c:v>16000000</c:v>
                </c:pt>
                <c:pt idx="849">
                  <c:v>16000000</c:v>
                </c:pt>
                <c:pt idx="850">
                  <c:v>16000000</c:v>
                </c:pt>
                <c:pt idx="851">
                  <c:v>16000000</c:v>
                </c:pt>
                <c:pt idx="852">
                  <c:v>16000000</c:v>
                </c:pt>
                <c:pt idx="853">
                  <c:v>15000000</c:v>
                </c:pt>
                <c:pt idx="854">
                  <c:v>15001001</c:v>
                </c:pt>
                <c:pt idx="855">
                  <c:v>15001002</c:v>
                </c:pt>
                <c:pt idx="856">
                  <c:v>15000000</c:v>
                </c:pt>
                <c:pt idx="857">
                  <c:v>0</c:v>
                </c:pt>
                <c:pt idx="858">
                  <c:v>15000000</c:v>
                </c:pt>
                <c:pt idx="859">
                  <c:v>15000000</c:v>
                </c:pt>
                <c:pt idx="860">
                  <c:v>15000000</c:v>
                </c:pt>
                <c:pt idx="861">
                  <c:v>0</c:v>
                </c:pt>
                <c:pt idx="862">
                  <c:v>15000000</c:v>
                </c:pt>
                <c:pt idx="863">
                  <c:v>15000000</c:v>
                </c:pt>
                <c:pt idx="864">
                  <c:v>15000000</c:v>
                </c:pt>
                <c:pt idx="865">
                  <c:v>15000000</c:v>
                </c:pt>
                <c:pt idx="866">
                  <c:v>15000000</c:v>
                </c:pt>
                <c:pt idx="867">
                  <c:v>15000000</c:v>
                </c:pt>
                <c:pt idx="868">
                  <c:v>15000000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15001002</c:v>
                </c:pt>
                <c:pt idx="874">
                  <c:v>16000000</c:v>
                </c:pt>
                <c:pt idx="875">
                  <c:v>15400000</c:v>
                </c:pt>
                <c:pt idx="876">
                  <c:v>15000000</c:v>
                </c:pt>
                <c:pt idx="877">
                  <c:v>15000000</c:v>
                </c:pt>
                <c:pt idx="878">
                  <c:v>15000000</c:v>
                </c:pt>
                <c:pt idx="879">
                  <c:v>15000000</c:v>
                </c:pt>
                <c:pt idx="880">
                  <c:v>15000000</c:v>
                </c:pt>
                <c:pt idx="881">
                  <c:v>15000000</c:v>
                </c:pt>
                <c:pt idx="882">
                  <c:v>15000000</c:v>
                </c:pt>
                <c:pt idx="883">
                  <c:v>15001001</c:v>
                </c:pt>
                <c:pt idx="884">
                  <c:v>16590000</c:v>
                </c:pt>
                <c:pt idx="885">
                  <c:v>15001002</c:v>
                </c:pt>
                <c:pt idx="886">
                  <c:v>15000000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15000000</c:v>
                </c:pt>
                <c:pt idx="893">
                  <c:v>15500000</c:v>
                </c:pt>
                <c:pt idx="894">
                  <c:v>15000000</c:v>
                </c:pt>
                <c:pt idx="895">
                  <c:v>15000000</c:v>
                </c:pt>
                <c:pt idx="896">
                  <c:v>15001001</c:v>
                </c:pt>
                <c:pt idx="897">
                  <c:v>15000000</c:v>
                </c:pt>
                <c:pt idx="898">
                  <c:v>16600000</c:v>
                </c:pt>
                <c:pt idx="899">
                  <c:v>16600000</c:v>
                </c:pt>
                <c:pt idx="900">
                  <c:v>15000000</c:v>
                </c:pt>
                <c:pt idx="901">
                  <c:v>16600000</c:v>
                </c:pt>
                <c:pt idx="902">
                  <c:v>15000000</c:v>
                </c:pt>
                <c:pt idx="903">
                  <c:v>15000000</c:v>
                </c:pt>
                <c:pt idx="904">
                  <c:v>15000000</c:v>
                </c:pt>
                <c:pt idx="905">
                  <c:v>0</c:v>
                </c:pt>
                <c:pt idx="906">
                  <c:v>15000000</c:v>
                </c:pt>
                <c:pt idx="907">
                  <c:v>16600000</c:v>
                </c:pt>
                <c:pt idx="908">
                  <c:v>16600000</c:v>
                </c:pt>
                <c:pt idx="909">
                  <c:v>15000000</c:v>
                </c:pt>
                <c:pt idx="910">
                  <c:v>15000000</c:v>
                </c:pt>
                <c:pt idx="911">
                  <c:v>15001002</c:v>
                </c:pt>
                <c:pt idx="912">
                  <c:v>16000000</c:v>
                </c:pt>
                <c:pt idx="913">
                  <c:v>15001002</c:v>
                </c:pt>
                <c:pt idx="914">
                  <c:v>15001002</c:v>
                </c:pt>
                <c:pt idx="915">
                  <c:v>15001002</c:v>
                </c:pt>
                <c:pt idx="916">
                  <c:v>15000000</c:v>
                </c:pt>
                <c:pt idx="917">
                  <c:v>16210000</c:v>
                </c:pt>
                <c:pt idx="918">
                  <c:v>16210000</c:v>
                </c:pt>
                <c:pt idx="919">
                  <c:v>16000000</c:v>
                </c:pt>
                <c:pt idx="920">
                  <c:v>16003130</c:v>
                </c:pt>
                <c:pt idx="921">
                  <c:v>15001002</c:v>
                </c:pt>
                <c:pt idx="922">
                  <c:v>15001002</c:v>
                </c:pt>
                <c:pt idx="923">
                  <c:v>15000000</c:v>
                </c:pt>
                <c:pt idx="924">
                  <c:v>0</c:v>
                </c:pt>
                <c:pt idx="925">
                  <c:v>15000000</c:v>
                </c:pt>
                <c:pt idx="926">
                  <c:v>15000000</c:v>
                </c:pt>
                <c:pt idx="927">
                  <c:v>15000000</c:v>
                </c:pt>
                <c:pt idx="928">
                  <c:v>15000000</c:v>
                </c:pt>
                <c:pt idx="929">
                  <c:v>16000000</c:v>
                </c:pt>
                <c:pt idx="930">
                  <c:v>16210000</c:v>
                </c:pt>
                <c:pt idx="931">
                  <c:v>0</c:v>
                </c:pt>
                <c:pt idx="932">
                  <c:v>16000000</c:v>
                </c:pt>
                <c:pt idx="933">
                  <c:v>15001002</c:v>
                </c:pt>
                <c:pt idx="934">
                  <c:v>15001002</c:v>
                </c:pt>
                <c:pt idx="935">
                  <c:v>15001002</c:v>
                </c:pt>
                <c:pt idx="936">
                  <c:v>15001002</c:v>
                </c:pt>
                <c:pt idx="937">
                  <c:v>16210000</c:v>
                </c:pt>
                <c:pt idx="938">
                  <c:v>15000000</c:v>
                </c:pt>
                <c:pt idx="939">
                  <c:v>15000000</c:v>
                </c:pt>
                <c:pt idx="940">
                  <c:v>15000000</c:v>
                </c:pt>
                <c:pt idx="941">
                  <c:v>15000000</c:v>
                </c:pt>
                <c:pt idx="942">
                  <c:v>16000000</c:v>
                </c:pt>
                <c:pt idx="943">
                  <c:v>15000000</c:v>
                </c:pt>
                <c:pt idx="944">
                  <c:v>15000000</c:v>
                </c:pt>
                <c:pt idx="945">
                  <c:v>15000000</c:v>
                </c:pt>
                <c:pt idx="946">
                  <c:v>15001001</c:v>
                </c:pt>
                <c:pt idx="947">
                  <c:v>15000000</c:v>
                </c:pt>
                <c:pt idx="948">
                  <c:v>15000000</c:v>
                </c:pt>
                <c:pt idx="949">
                  <c:v>15000000</c:v>
                </c:pt>
                <c:pt idx="950">
                  <c:v>15001001</c:v>
                </c:pt>
                <c:pt idx="951">
                  <c:v>15001001</c:v>
                </c:pt>
                <c:pt idx="952">
                  <c:v>17040000</c:v>
                </c:pt>
                <c:pt idx="959">
                  <c:v>15000000</c:v>
                </c:pt>
                <c:pt idx="960">
                  <c:v>15000000</c:v>
                </c:pt>
                <c:pt idx="961">
                  <c:v>15000000</c:v>
                </c:pt>
                <c:pt idx="962">
                  <c:v>15000000</c:v>
                </c:pt>
                <c:pt idx="966">
                  <c:v>16000000</c:v>
                </c:pt>
                <c:pt idx="967">
                  <c:v>15001001</c:v>
                </c:pt>
                <c:pt idx="968">
                  <c:v>16000000</c:v>
                </c:pt>
                <c:pt idx="969">
                  <c:v>15001002</c:v>
                </c:pt>
                <c:pt idx="970">
                  <c:v>16000000</c:v>
                </c:pt>
                <c:pt idx="971">
                  <c:v>16210000</c:v>
                </c:pt>
                <c:pt idx="972">
                  <c:v>15001002</c:v>
                </c:pt>
                <c:pt idx="973">
                  <c:v>15001002</c:v>
                </c:pt>
                <c:pt idx="974">
                  <c:v>15400000</c:v>
                </c:pt>
                <c:pt idx="975">
                  <c:v>16000000</c:v>
                </c:pt>
                <c:pt idx="976">
                  <c:v>16000000</c:v>
                </c:pt>
                <c:pt idx="977">
                  <c:v>15000000</c:v>
                </c:pt>
                <c:pt idx="980">
                  <c:v>15001002</c:v>
                </c:pt>
                <c:pt idx="981">
                  <c:v>15000000</c:v>
                </c:pt>
                <c:pt idx="982">
                  <c:v>15000000</c:v>
                </c:pt>
                <c:pt idx="983">
                  <c:v>15000000</c:v>
                </c:pt>
                <c:pt idx="985">
                  <c:v>15000000</c:v>
                </c:pt>
                <c:pt idx="986">
                  <c:v>15010000</c:v>
                </c:pt>
                <c:pt idx="987">
                  <c:v>16003110</c:v>
                </c:pt>
                <c:pt idx="988">
                  <c:v>16210000</c:v>
                </c:pt>
                <c:pt idx="989">
                  <c:v>15500000</c:v>
                </c:pt>
                <c:pt idx="990">
                  <c:v>15000000</c:v>
                </c:pt>
                <c:pt idx="991">
                  <c:v>16000000</c:v>
                </c:pt>
                <c:pt idx="992">
                  <c:v>15000000</c:v>
                </c:pt>
                <c:pt idx="993">
                  <c:v>15000000</c:v>
                </c:pt>
                <c:pt idx="995">
                  <c:v>15000000</c:v>
                </c:pt>
                <c:pt idx="996">
                  <c:v>15000000</c:v>
                </c:pt>
                <c:pt idx="997">
                  <c:v>15000000</c:v>
                </c:pt>
                <c:pt idx="998">
                  <c:v>15420000</c:v>
                </c:pt>
                <c:pt idx="999">
                  <c:v>15000000</c:v>
                </c:pt>
                <c:pt idx="1000">
                  <c:v>15000000</c:v>
                </c:pt>
                <c:pt idx="1001">
                  <c:v>15000000</c:v>
                </c:pt>
                <c:pt idx="1002">
                  <c:v>15001002</c:v>
                </c:pt>
                <c:pt idx="1003">
                  <c:v>16000000</c:v>
                </c:pt>
                <c:pt idx="1004">
                  <c:v>15001002</c:v>
                </c:pt>
                <c:pt idx="1005">
                  <c:v>15001002</c:v>
                </c:pt>
                <c:pt idx="1006">
                  <c:v>16000000</c:v>
                </c:pt>
                <c:pt idx="1007">
                  <c:v>16000000</c:v>
                </c:pt>
                <c:pt idx="1008">
                  <c:v>15001002</c:v>
                </c:pt>
                <c:pt idx="1009">
                  <c:v>15001002</c:v>
                </c:pt>
                <c:pt idx="1010">
                  <c:v>15001002</c:v>
                </c:pt>
                <c:pt idx="1011">
                  <c:v>15001002</c:v>
                </c:pt>
                <c:pt idx="1012">
                  <c:v>16000000</c:v>
                </c:pt>
                <c:pt idx="1013">
                  <c:v>15001002</c:v>
                </c:pt>
                <c:pt idx="1014">
                  <c:v>16000000</c:v>
                </c:pt>
                <c:pt idx="1015">
                  <c:v>15000000</c:v>
                </c:pt>
                <c:pt idx="1016">
                  <c:v>16000000</c:v>
                </c:pt>
                <c:pt idx="1017">
                  <c:v>15001001</c:v>
                </c:pt>
                <c:pt idx="1018">
                  <c:v>15001001</c:v>
                </c:pt>
                <c:pt idx="1019">
                  <c:v>16210000</c:v>
                </c:pt>
                <c:pt idx="1020">
                  <c:v>16210000</c:v>
                </c:pt>
                <c:pt idx="1021">
                  <c:v>15000000</c:v>
                </c:pt>
                <c:pt idx="1022">
                  <c:v>15001002</c:v>
                </c:pt>
                <c:pt idx="1023">
                  <c:v>16610000</c:v>
                </c:pt>
                <c:pt idx="1024">
                  <c:v>15000000</c:v>
                </c:pt>
                <c:pt idx="1025">
                  <c:v>16000000</c:v>
                </c:pt>
                <c:pt idx="1026">
                  <c:v>15000000</c:v>
                </c:pt>
                <c:pt idx="1027">
                  <c:v>15000000</c:v>
                </c:pt>
                <c:pt idx="1028">
                  <c:v>16600000</c:v>
                </c:pt>
                <c:pt idx="1029">
                  <c:v>15500000</c:v>
                </c:pt>
                <c:pt idx="1030">
                  <c:v>15500000</c:v>
                </c:pt>
                <c:pt idx="1031">
                  <c:v>15000000</c:v>
                </c:pt>
                <c:pt idx="1032">
                  <c:v>16610000</c:v>
                </c:pt>
                <c:pt idx="1033">
                  <c:v>0</c:v>
                </c:pt>
                <c:pt idx="1034">
                  <c:v>15000000</c:v>
                </c:pt>
                <c:pt idx="1035">
                  <c:v>15000000</c:v>
                </c:pt>
                <c:pt idx="1036">
                  <c:v>15000000</c:v>
                </c:pt>
                <c:pt idx="1037">
                  <c:v>15000000</c:v>
                </c:pt>
                <c:pt idx="1038">
                  <c:v>0</c:v>
                </c:pt>
                <c:pt idx="1039">
                  <c:v>15000000</c:v>
                </c:pt>
                <c:pt idx="1040">
                  <c:v>15000000</c:v>
                </c:pt>
                <c:pt idx="1041">
                  <c:v>15000000</c:v>
                </c:pt>
                <c:pt idx="1042">
                  <c:v>0</c:v>
                </c:pt>
                <c:pt idx="1043">
                  <c:v>0</c:v>
                </c:pt>
                <c:pt idx="1045">
                  <c:v>15000000</c:v>
                </c:pt>
                <c:pt idx="1046">
                  <c:v>15000000</c:v>
                </c:pt>
                <c:pt idx="1047">
                  <c:v>0</c:v>
                </c:pt>
                <c:pt idx="1048">
                  <c:v>15400000</c:v>
                </c:pt>
                <c:pt idx="1049">
                  <c:v>15500000</c:v>
                </c:pt>
                <c:pt idx="1050">
                  <c:v>15500000</c:v>
                </c:pt>
                <c:pt idx="1051">
                  <c:v>15001002</c:v>
                </c:pt>
                <c:pt idx="1052">
                  <c:v>0</c:v>
                </c:pt>
                <c:pt idx="1053">
                  <c:v>15001002</c:v>
                </c:pt>
                <c:pt idx="1054">
                  <c:v>15000000</c:v>
                </c:pt>
                <c:pt idx="1055">
                  <c:v>15000000</c:v>
                </c:pt>
                <c:pt idx="1056">
                  <c:v>15001001</c:v>
                </c:pt>
                <c:pt idx="1057">
                  <c:v>0</c:v>
                </c:pt>
                <c:pt idx="1058">
                  <c:v>15000000</c:v>
                </c:pt>
                <c:pt idx="1059">
                  <c:v>15000000</c:v>
                </c:pt>
                <c:pt idx="1060">
                  <c:v>15010000</c:v>
                </c:pt>
                <c:pt idx="1061">
                  <c:v>15000000</c:v>
                </c:pt>
                <c:pt idx="1062">
                  <c:v>15420000</c:v>
                </c:pt>
                <c:pt idx="1063">
                  <c:v>15001001</c:v>
                </c:pt>
                <c:pt idx="1064">
                  <c:v>0</c:v>
                </c:pt>
                <c:pt idx="1065">
                  <c:v>15000000</c:v>
                </c:pt>
                <c:pt idx="1066">
                  <c:v>15000000</c:v>
                </c:pt>
                <c:pt idx="1067">
                  <c:v>15000000</c:v>
                </c:pt>
                <c:pt idx="1068">
                  <c:v>0</c:v>
                </c:pt>
                <c:pt idx="1069">
                  <c:v>15000000</c:v>
                </c:pt>
                <c:pt idx="1070">
                  <c:v>15000000</c:v>
                </c:pt>
                <c:pt idx="1071">
                  <c:v>15000000</c:v>
                </c:pt>
                <c:pt idx="1072">
                  <c:v>15001002</c:v>
                </c:pt>
                <c:pt idx="1073">
                  <c:v>17190000</c:v>
                </c:pt>
                <c:pt idx="1074">
                  <c:v>0</c:v>
                </c:pt>
                <c:pt idx="1075">
                  <c:v>26600000</c:v>
                </c:pt>
                <c:pt idx="1076">
                  <c:v>0</c:v>
                </c:pt>
                <c:pt idx="1077">
                  <c:v>15000000</c:v>
                </c:pt>
                <c:pt idx="1078">
                  <c:v>0</c:v>
                </c:pt>
                <c:pt idx="1079">
                  <c:v>15001001</c:v>
                </c:pt>
                <c:pt idx="1080">
                  <c:v>17190000</c:v>
                </c:pt>
                <c:pt idx="1081">
                  <c:v>17900000</c:v>
                </c:pt>
                <c:pt idx="1082">
                  <c:v>17190000</c:v>
                </c:pt>
                <c:pt idx="1083">
                  <c:v>15001001</c:v>
                </c:pt>
                <c:pt idx="1084">
                  <c:v>15001001</c:v>
                </c:pt>
                <c:pt idx="1085">
                  <c:v>15001001</c:v>
                </c:pt>
                <c:pt idx="1086">
                  <c:v>15001001</c:v>
                </c:pt>
                <c:pt idx="1087">
                  <c:v>0</c:v>
                </c:pt>
                <c:pt idx="1088">
                  <c:v>15520000</c:v>
                </c:pt>
                <c:pt idx="1089">
                  <c:v>15000000</c:v>
                </c:pt>
                <c:pt idx="1090">
                  <c:v>15000000</c:v>
                </c:pt>
                <c:pt idx="1091">
                  <c:v>0</c:v>
                </c:pt>
                <c:pt idx="1092">
                  <c:v>15001002</c:v>
                </c:pt>
                <c:pt idx="1093">
                  <c:v>15500000</c:v>
                </c:pt>
                <c:pt idx="1094">
                  <c:v>15000000</c:v>
                </c:pt>
                <c:pt idx="1095">
                  <c:v>15000000</c:v>
                </c:pt>
                <c:pt idx="1096">
                  <c:v>15000000</c:v>
                </c:pt>
                <c:pt idx="1097">
                  <c:v>15500000</c:v>
                </c:pt>
                <c:pt idx="1098">
                  <c:v>15000000</c:v>
                </c:pt>
                <c:pt idx="1099">
                  <c:v>15000000</c:v>
                </c:pt>
                <c:pt idx="1100">
                  <c:v>15000000</c:v>
                </c:pt>
                <c:pt idx="1101">
                  <c:v>15001001</c:v>
                </c:pt>
                <c:pt idx="1103">
                  <c:v>15001001</c:v>
                </c:pt>
                <c:pt idx="1104">
                  <c:v>0</c:v>
                </c:pt>
                <c:pt idx="1105">
                  <c:v>15000000</c:v>
                </c:pt>
                <c:pt idx="1106">
                  <c:v>15000000</c:v>
                </c:pt>
                <c:pt idx="1107">
                  <c:v>15000000</c:v>
                </c:pt>
                <c:pt idx="1108">
                  <c:v>15000000</c:v>
                </c:pt>
                <c:pt idx="1109">
                  <c:v>15000000</c:v>
                </c:pt>
                <c:pt idx="1110">
                  <c:v>15001002</c:v>
                </c:pt>
                <c:pt idx="1111">
                  <c:v>15000000</c:v>
                </c:pt>
                <c:pt idx="1112">
                  <c:v>15000000</c:v>
                </c:pt>
                <c:pt idx="1113">
                  <c:v>17040000</c:v>
                </c:pt>
                <c:pt idx="1114">
                  <c:v>15001002</c:v>
                </c:pt>
                <c:pt idx="1115">
                  <c:v>15001002</c:v>
                </c:pt>
                <c:pt idx="1116">
                  <c:v>15001002</c:v>
                </c:pt>
                <c:pt idx="1117">
                  <c:v>15001002</c:v>
                </c:pt>
                <c:pt idx="1118">
                  <c:v>15001002</c:v>
                </c:pt>
                <c:pt idx="1119">
                  <c:v>15001002</c:v>
                </c:pt>
                <c:pt idx="1120">
                  <c:v>15001001</c:v>
                </c:pt>
                <c:pt idx="1121">
                  <c:v>15001002</c:v>
                </c:pt>
                <c:pt idx="1122">
                  <c:v>15001002</c:v>
                </c:pt>
                <c:pt idx="1123">
                  <c:v>15520000</c:v>
                </c:pt>
                <c:pt idx="1124">
                  <c:v>15000000</c:v>
                </c:pt>
                <c:pt idx="1125">
                  <c:v>15001002</c:v>
                </c:pt>
                <c:pt idx="1126">
                  <c:v>15001002</c:v>
                </c:pt>
                <c:pt idx="1127">
                  <c:v>15001002</c:v>
                </c:pt>
                <c:pt idx="1128">
                  <c:v>15001002</c:v>
                </c:pt>
                <c:pt idx="1129">
                  <c:v>15001002</c:v>
                </c:pt>
                <c:pt idx="1130">
                  <c:v>15001002</c:v>
                </c:pt>
                <c:pt idx="1131">
                  <c:v>15000000</c:v>
                </c:pt>
                <c:pt idx="1132">
                  <c:v>15000000</c:v>
                </c:pt>
                <c:pt idx="1133">
                  <c:v>15000000</c:v>
                </c:pt>
                <c:pt idx="1134">
                  <c:v>15001002</c:v>
                </c:pt>
                <c:pt idx="1135">
                  <c:v>15000000</c:v>
                </c:pt>
                <c:pt idx="1136">
                  <c:v>15001002</c:v>
                </c:pt>
                <c:pt idx="1137">
                  <c:v>15001002</c:v>
                </c:pt>
                <c:pt idx="1138">
                  <c:v>15400000</c:v>
                </c:pt>
                <c:pt idx="1139">
                  <c:v>15001002</c:v>
                </c:pt>
                <c:pt idx="1140">
                  <c:v>16210000</c:v>
                </c:pt>
                <c:pt idx="1141">
                  <c:v>15001002</c:v>
                </c:pt>
                <c:pt idx="1142">
                  <c:v>15000000</c:v>
                </c:pt>
                <c:pt idx="1143">
                  <c:v>15001002</c:v>
                </c:pt>
                <c:pt idx="1144">
                  <c:v>16000000</c:v>
                </c:pt>
                <c:pt idx="1145">
                  <c:v>15001002</c:v>
                </c:pt>
                <c:pt idx="1146">
                  <c:v>15001002</c:v>
                </c:pt>
                <c:pt idx="1147">
                  <c:v>15001002</c:v>
                </c:pt>
                <c:pt idx="1148">
                  <c:v>0</c:v>
                </c:pt>
                <c:pt idx="1149">
                  <c:v>15001002</c:v>
                </c:pt>
                <c:pt idx="1150">
                  <c:v>15001002</c:v>
                </c:pt>
                <c:pt idx="1151">
                  <c:v>15001002</c:v>
                </c:pt>
                <c:pt idx="1152">
                  <c:v>15000000</c:v>
                </c:pt>
                <c:pt idx="1153">
                  <c:v>15001002</c:v>
                </c:pt>
                <c:pt idx="1154">
                  <c:v>16600000</c:v>
                </c:pt>
                <c:pt idx="1155">
                  <c:v>15000000</c:v>
                </c:pt>
                <c:pt idx="1156">
                  <c:v>16600000</c:v>
                </c:pt>
                <c:pt idx="1157">
                  <c:v>16600000</c:v>
                </c:pt>
                <c:pt idx="1158">
                  <c:v>16600000</c:v>
                </c:pt>
                <c:pt idx="1159">
                  <c:v>15001002</c:v>
                </c:pt>
                <c:pt idx="1160">
                  <c:v>15000000</c:v>
                </c:pt>
                <c:pt idx="1161">
                  <c:v>15001002</c:v>
                </c:pt>
                <c:pt idx="1162">
                  <c:v>15001002</c:v>
                </c:pt>
                <c:pt idx="1163">
                  <c:v>15001002</c:v>
                </c:pt>
                <c:pt idx="1164">
                  <c:v>15001002</c:v>
                </c:pt>
                <c:pt idx="1165">
                  <c:v>15001002</c:v>
                </c:pt>
                <c:pt idx="1166">
                  <c:v>15000000</c:v>
                </c:pt>
                <c:pt idx="1167">
                  <c:v>0</c:v>
                </c:pt>
                <c:pt idx="1168">
                  <c:v>16000000</c:v>
                </c:pt>
                <c:pt idx="1169">
                  <c:v>16000000</c:v>
                </c:pt>
                <c:pt idx="1170">
                  <c:v>15001002</c:v>
                </c:pt>
                <c:pt idx="1171">
                  <c:v>15001002</c:v>
                </c:pt>
                <c:pt idx="1172">
                  <c:v>15001002</c:v>
                </c:pt>
                <c:pt idx="1173">
                  <c:v>15001002</c:v>
                </c:pt>
                <c:pt idx="1174">
                  <c:v>15000000</c:v>
                </c:pt>
                <c:pt idx="1175">
                  <c:v>15000000</c:v>
                </c:pt>
                <c:pt idx="1176">
                  <c:v>15001001</c:v>
                </c:pt>
                <c:pt idx="1177">
                  <c:v>15000000</c:v>
                </c:pt>
                <c:pt idx="1178">
                  <c:v>15000000</c:v>
                </c:pt>
                <c:pt idx="1179">
                  <c:v>15001001</c:v>
                </c:pt>
                <c:pt idx="1180">
                  <c:v>0</c:v>
                </c:pt>
                <c:pt idx="1181">
                  <c:v>0</c:v>
                </c:pt>
                <c:pt idx="1182">
                  <c:v>16000000</c:v>
                </c:pt>
                <c:pt idx="1183">
                  <c:v>15001002</c:v>
                </c:pt>
                <c:pt idx="1184">
                  <c:v>15001001</c:v>
                </c:pt>
                <c:pt idx="1185">
                  <c:v>15000000</c:v>
                </c:pt>
                <c:pt idx="1186">
                  <c:v>15001002</c:v>
                </c:pt>
                <c:pt idx="1187">
                  <c:v>15000000</c:v>
                </c:pt>
                <c:pt idx="1188">
                  <c:v>16610000</c:v>
                </c:pt>
                <c:pt idx="1189">
                  <c:v>15000000</c:v>
                </c:pt>
                <c:pt idx="1190">
                  <c:v>15000000</c:v>
                </c:pt>
                <c:pt idx="1191">
                  <c:v>16000000</c:v>
                </c:pt>
                <c:pt idx="1192">
                  <c:v>15001002</c:v>
                </c:pt>
                <c:pt idx="1193">
                  <c:v>15001001</c:v>
                </c:pt>
                <c:pt idx="1194">
                  <c:v>15001001</c:v>
                </c:pt>
                <c:pt idx="1195">
                  <c:v>15001001</c:v>
                </c:pt>
                <c:pt idx="1196">
                  <c:v>15001002</c:v>
                </c:pt>
                <c:pt idx="1197">
                  <c:v>16600000</c:v>
                </c:pt>
                <c:pt idx="1198">
                  <c:v>16600000</c:v>
                </c:pt>
                <c:pt idx="1199">
                  <c:v>15000000</c:v>
                </c:pt>
                <c:pt idx="1200">
                  <c:v>15000000</c:v>
                </c:pt>
                <c:pt idx="1201">
                  <c:v>15010000</c:v>
                </c:pt>
                <c:pt idx="1202">
                  <c:v>15000000</c:v>
                </c:pt>
                <c:pt idx="1203">
                  <c:v>15000000</c:v>
                </c:pt>
                <c:pt idx="1204">
                  <c:v>0</c:v>
                </c:pt>
                <c:pt idx="1205">
                  <c:v>15000000</c:v>
                </c:pt>
                <c:pt idx="1206">
                  <c:v>15001001</c:v>
                </c:pt>
                <c:pt idx="1207">
                  <c:v>15001002</c:v>
                </c:pt>
                <c:pt idx="1208">
                  <c:v>16000000</c:v>
                </c:pt>
                <c:pt idx="1209">
                  <c:v>15000000</c:v>
                </c:pt>
                <c:pt idx="1210">
                  <c:v>17040000</c:v>
                </c:pt>
                <c:pt idx="1211">
                  <c:v>16000000</c:v>
                </c:pt>
                <c:pt idx="1212">
                  <c:v>16000000</c:v>
                </c:pt>
                <c:pt idx="1213">
                  <c:v>0</c:v>
                </c:pt>
                <c:pt idx="1214">
                  <c:v>16000000</c:v>
                </c:pt>
                <c:pt idx="1215">
                  <c:v>15001001</c:v>
                </c:pt>
                <c:pt idx="1216">
                  <c:v>15001002</c:v>
                </c:pt>
                <c:pt idx="1217">
                  <c:v>15000000</c:v>
                </c:pt>
                <c:pt idx="1218">
                  <c:v>15001001</c:v>
                </c:pt>
                <c:pt idx="1219">
                  <c:v>15001001</c:v>
                </c:pt>
                <c:pt idx="1220">
                  <c:v>15001002</c:v>
                </c:pt>
                <c:pt idx="1221">
                  <c:v>15500000</c:v>
                </c:pt>
                <c:pt idx="1222">
                  <c:v>15001001</c:v>
                </c:pt>
                <c:pt idx="1223">
                  <c:v>15000000</c:v>
                </c:pt>
                <c:pt idx="1224">
                  <c:v>15000000</c:v>
                </c:pt>
                <c:pt idx="1225">
                  <c:v>15000000</c:v>
                </c:pt>
                <c:pt idx="1226">
                  <c:v>15000000</c:v>
                </c:pt>
                <c:pt idx="1227">
                  <c:v>15000000</c:v>
                </c:pt>
                <c:pt idx="1228">
                  <c:v>0</c:v>
                </c:pt>
                <c:pt idx="1229">
                  <c:v>15000000</c:v>
                </c:pt>
                <c:pt idx="1230">
                  <c:v>15001002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15500000</c:v>
                </c:pt>
                <c:pt idx="1236">
                  <c:v>15001002</c:v>
                </c:pt>
                <c:pt idx="1237">
                  <c:v>15001002</c:v>
                </c:pt>
                <c:pt idx="1238">
                  <c:v>16000000</c:v>
                </c:pt>
                <c:pt idx="1239">
                  <c:v>16000000</c:v>
                </c:pt>
                <c:pt idx="1240">
                  <c:v>16000000</c:v>
                </c:pt>
                <c:pt idx="1241">
                  <c:v>15001002</c:v>
                </c:pt>
                <c:pt idx="1242">
                  <c:v>17190000</c:v>
                </c:pt>
                <c:pt idx="1243">
                  <c:v>15000000</c:v>
                </c:pt>
                <c:pt idx="1244">
                  <c:v>15001002</c:v>
                </c:pt>
                <c:pt idx="1245">
                  <c:v>15000000</c:v>
                </c:pt>
                <c:pt idx="1246">
                  <c:v>15000000</c:v>
                </c:pt>
                <c:pt idx="1247">
                  <c:v>16600000</c:v>
                </c:pt>
                <c:pt idx="1248">
                  <c:v>16610000</c:v>
                </c:pt>
                <c:pt idx="1249">
                  <c:v>16610000</c:v>
                </c:pt>
                <c:pt idx="1250">
                  <c:v>15001001</c:v>
                </c:pt>
                <c:pt idx="1251">
                  <c:v>15001001</c:v>
                </c:pt>
                <c:pt idx="1252">
                  <c:v>15000000</c:v>
                </c:pt>
                <c:pt idx="1253">
                  <c:v>15000000</c:v>
                </c:pt>
                <c:pt idx="1254">
                  <c:v>0</c:v>
                </c:pt>
                <c:pt idx="1255">
                  <c:v>15000000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16000000</c:v>
                </c:pt>
                <c:pt idx="1262">
                  <c:v>15001002</c:v>
                </c:pt>
                <c:pt idx="1263">
                  <c:v>15001002</c:v>
                </c:pt>
                <c:pt idx="1264">
                  <c:v>15000000</c:v>
                </c:pt>
                <c:pt idx="1265">
                  <c:v>15000000</c:v>
                </c:pt>
                <c:pt idx="1266">
                  <c:v>15500000</c:v>
                </c:pt>
                <c:pt idx="1267">
                  <c:v>15001002</c:v>
                </c:pt>
                <c:pt idx="1268">
                  <c:v>15001002</c:v>
                </c:pt>
                <c:pt idx="1269">
                  <c:v>15001002</c:v>
                </c:pt>
                <c:pt idx="1270">
                  <c:v>15001002</c:v>
                </c:pt>
                <c:pt idx="1271">
                  <c:v>150010</c:v>
                </c:pt>
                <c:pt idx="1272">
                  <c:v>15001002</c:v>
                </c:pt>
                <c:pt idx="1273">
                  <c:v>15001001</c:v>
                </c:pt>
                <c:pt idx="1274">
                  <c:v>15000000</c:v>
                </c:pt>
                <c:pt idx="1275">
                  <c:v>15000000</c:v>
                </c:pt>
                <c:pt idx="1276">
                  <c:v>15000000</c:v>
                </c:pt>
                <c:pt idx="1277">
                  <c:v>15000000</c:v>
                </c:pt>
                <c:pt idx="1278">
                  <c:v>15400000</c:v>
                </c:pt>
                <c:pt idx="1279">
                  <c:v>16610000</c:v>
                </c:pt>
                <c:pt idx="1280">
                  <c:v>16660000</c:v>
                </c:pt>
                <c:pt idx="1281">
                  <c:v>15000000</c:v>
                </c:pt>
                <c:pt idx="1282">
                  <c:v>16600000</c:v>
                </c:pt>
                <c:pt idx="1283">
                  <c:v>16000000</c:v>
                </c:pt>
                <c:pt idx="1284">
                  <c:v>16000000</c:v>
                </c:pt>
                <c:pt idx="1285">
                  <c:v>16000000</c:v>
                </c:pt>
                <c:pt idx="1286">
                  <c:v>16600000</c:v>
                </c:pt>
                <c:pt idx="1287">
                  <c:v>15000000</c:v>
                </c:pt>
                <c:pt idx="1288">
                  <c:v>16600000</c:v>
                </c:pt>
                <c:pt idx="1289">
                  <c:v>16000000</c:v>
                </c:pt>
                <c:pt idx="1290">
                  <c:v>16000000</c:v>
                </c:pt>
                <c:pt idx="1291">
                  <c:v>16000000</c:v>
                </c:pt>
                <c:pt idx="1292">
                  <c:v>0</c:v>
                </c:pt>
                <c:pt idx="1293">
                  <c:v>16000000</c:v>
                </c:pt>
                <c:pt idx="1294">
                  <c:v>16600000</c:v>
                </c:pt>
                <c:pt idx="1295">
                  <c:v>15000000</c:v>
                </c:pt>
                <c:pt idx="1296">
                  <c:v>15400000</c:v>
                </c:pt>
                <c:pt idx="1297">
                  <c:v>15000000</c:v>
                </c:pt>
                <c:pt idx="1298">
                  <c:v>16600000</c:v>
                </c:pt>
                <c:pt idx="1299">
                  <c:v>16600000</c:v>
                </c:pt>
                <c:pt idx="1300">
                  <c:v>16600000</c:v>
                </c:pt>
                <c:pt idx="1301">
                  <c:v>16210000</c:v>
                </c:pt>
                <c:pt idx="1302">
                  <c:v>15001002</c:v>
                </c:pt>
                <c:pt idx="1303">
                  <c:v>15001002</c:v>
                </c:pt>
                <c:pt idx="1304">
                  <c:v>15001001</c:v>
                </c:pt>
                <c:pt idx="1305">
                  <c:v>15420000</c:v>
                </c:pt>
                <c:pt idx="1306">
                  <c:v>15001001</c:v>
                </c:pt>
                <c:pt idx="1307">
                  <c:v>15000000</c:v>
                </c:pt>
                <c:pt idx="1308">
                  <c:v>15000000</c:v>
                </c:pt>
                <c:pt idx="1309">
                  <c:v>15000000</c:v>
                </c:pt>
                <c:pt idx="1310">
                  <c:v>15000000</c:v>
                </c:pt>
                <c:pt idx="1311">
                  <c:v>15001002</c:v>
                </c:pt>
                <c:pt idx="1312">
                  <c:v>15000000</c:v>
                </c:pt>
                <c:pt idx="1313">
                  <c:v>15000000</c:v>
                </c:pt>
                <c:pt idx="1314">
                  <c:v>15000000</c:v>
                </c:pt>
                <c:pt idx="1315">
                  <c:v>15000000</c:v>
                </c:pt>
                <c:pt idx="1316">
                  <c:v>15400000</c:v>
                </c:pt>
                <c:pt idx="1318">
                  <c:v>15001001</c:v>
                </c:pt>
                <c:pt idx="1319">
                  <c:v>15000000</c:v>
                </c:pt>
                <c:pt idx="1320">
                  <c:v>15000000</c:v>
                </c:pt>
                <c:pt idx="1321">
                  <c:v>15000000</c:v>
                </c:pt>
                <c:pt idx="1322">
                  <c:v>16590000</c:v>
                </c:pt>
                <c:pt idx="1323">
                  <c:v>16600000</c:v>
                </c:pt>
                <c:pt idx="1324">
                  <c:v>16600000</c:v>
                </c:pt>
                <c:pt idx="1325">
                  <c:v>16600000</c:v>
                </c:pt>
                <c:pt idx="1326">
                  <c:v>15000000</c:v>
                </c:pt>
                <c:pt idx="1327">
                  <c:v>0</c:v>
                </c:pt>
                <c:pt idx="1328">
                  <c:v>0</c:v>
                </c:pt>
                <c:pt idx="1329">
                  <c:v>15000000</c:v>
                </c:pt>
                <c:pt idx="1330">
                  <c:v>15001001</c:v>
                </c:pt>
                <c:pt idx="1331">
                  <c:v>17510000</c:v>
                </c:pt>
                <c:pt idx="1332">
                  <c:v>16000000</c:v>
                </c:pt>
                <c:pt idx="1333">
                  <c:v>0</c:v>
                </c:pt>
                <c:pt idx="1334">
                  <c:v>15000000</c:v>
                </c:pt>
                <c:pt idx="1335">
                  <c:v>15001001</c:v>
                </c:pt>
                <c:pt idx="1336">
                  <c:v>15001002</c:v>
                </c:pt>
                <c:pt idx="1337">
                  <c:v>15001002</c:v>
                </c:pt>
                <c:pt idx="1338">
                  <c:v>15001002</c:v>
                </c:pt>
                <c:pt idx="1339">
                  <c:v>15000000</c:v>
                </c:pt>
                <c:pt idx="1340">
                  <c:v>15000000</c:v>
                </c:pt>
                <c:pt idx="1341">
                  <c:v>15000000</c:v>
                </c:pt>
                <c:pt idx="1342">
                  <c:v>15000000</c:v>
                </c:pt>
                <c:pt idx="1343">
                  <c:v>15001002</c:v>
                </c:pt>
                <c:pt idx="1344">
                  <c:v>15001001</c:v>
                </c:pt>
                <c:pt idx="1345">
                  <c:v>15001001</c:v>
                </c:pt>
                <c:pt idx="1346">
                  <c:v>15000000</c:v>
                </c:pt>
                <c:pt idx="1347">
                  <c:v>25440000</c:v>
                </c:pt>
                <c:pt idx="1348">
                  <c:v>15000000</c:v>
                </c:pt>
                <c:pt idx="1349">
                  <c:v>15000000</c:v>
                </c:pt>
                <c:pt idx="1350">
                  <c:v>16210000</c:v>
                </c:pt>
                <c:pt idx="1351">
                  <c:v>15001002</c:v>
                </c:pt>
                <c:pt idx="1352">
                  <c:v>15001002</c:v>
                </c:pt>
                <c:pt idx="1353">
                  <c:v>16000000</c:v>
                </c:pt>
                <c:pt idx="1354">
                  <c:v>15001002</c:v>
                </c:pt>
                <c:pt idx="1356">
                  <c:v>0</c:v>
                </c:pt>
                <c:pt idx="1357">
                  <c:v>15500000</c:v>
                </c:pt>
                <c:pt idx="1358">
                  <c:v>15520000</c:v>
                </c:pt>
                <c:pt idx="1359">
                  <c:v>0</c:v>
                </c:pt>
                <c:pt idx="1360">
                  <c:v>15000000</c:v>
                </c:pt>
                <c:pt idx="1361">
                  <c:v>15000000</c:v>
                </c:pt>
                <c:pt idx="1362">
                  <c:v>15520000</c:v>
                </c:pt>
                <c:pt idx="1363">
                  <c:v>15001002</c:v>
                </c:pt>
                <c:pt idx="1364">
                  <c:v>15500000</c:v>
                </c:pt>
                <c:pt idx="1365">
                  <c:v>15001001</c:v>
                </c:pt>
                <c:pt idx="1366">
                  <c:v>15520000</c:v>
                </c:pt>
                <c:pt idx="1367">
                  <c:v>15010000</c:v>
                </c:pt>
                <c:pt idx="1368">
                  <c:v>15000000</c:v>
                </c:pt>
                <c:pt idx="1369">
                  <c:v>15000000</c:v>
                </c:pt>
                <c:pt idx="1370">
                  <c:v>0</c:v>
                </c:pt>
                <c:pt idx="1371">
                  <c:v>0</c:v>
                </c:pt>
                <c:pt idx="1372">
                  <c:v>16000000</c:v>
                </c:pt>
                <c:pt idx="1373">
                  <c:v>16210000</c:v>
                </c:pt>
                <c:pt idx="1374">
                  <c:v>15000000</c:v>
                </c:pt>
                <c:pt idx="1375">
                  <c:v>15000000</c:v>
                </c:pt>
                <c:pt idx="1376">
                  <c:v>15000000</c:v>
                </c:pt>
                <c:pt idx="1377">
                  <c:v>16210000</c:v>
                </c:pt>
                <c:pt idx="1378">
                  <c:v>15000000</c:v>
                </c:pt>
                <c:pt idx="1379">
                  <c:v>16000000</c:v>
                </c:pt>
                <c:pt idx="1380">
                  <c:v>15001002</c:v>
                </c:pt>
                <c:pt idx="1381">
                  <c:v>15001002</c:v>
                </c:pt>
                <c:pt idx="1382">
                  <c:v>16003130</c:v>
                </c:pt>
                <c:pt idx="1383">
                  <c:v>0</c:v>
                </c:pt>
                <c:pt idx="1384">
                  <c:v>15000000</c:v>
                </c:pt>
                <c:pt idx="1385">
                  <c:v>15520000</c:v>
                </c:pt>
                <c:pt idx="1386">
                  <c:v>15000000</c:v>
                </c:pt>
                <c:pt idx="1387">
                  <c:v>0</c:v>
                </c:pt>
                <c:pt idx="1388">
                  <c:v>15000000</c:v>
                </c:pt>
                <c:pt idx="1389">
                  <c:v>15000000</c:v>
                </c:pt>
                <c:pt idx="1390">
                  <c:v>15000000</c:v>
                </c:pt>
                <c:pt idx="1391">
                  <c:v>15000000</c:v>
                </c:pt>
                <c:pt idx="1392">
                  <c:v>15001002</c:v>
                </c:pt>
                <c:pt idx="1393">
                  <c:v>16000000</c:v>
                </c:pt>
                <c:pt idx="1394">
                  <c:v>15001001</c:v>
                </c:pt>
                <c:pt idx="1395">
                  <c:v>0</c:v>
                </c:pt>
                <c:pt idx="1396">
                  <c:v>15001002</c:v>
                </c:pt>
                <c:pt idx="1397">
                  <c:v>15001002</c:v>
                </c:pt>
                <c:pt idx="1398">
                  <c:v>16000000</c:v>
                </c:pt>
                <c:pt idx="1399">
                  <c:v>15400000</c:v>
                </c:pt>
                <c:pt idx="1400">
                  <c:v>0</c:v>
                </c:pt>
                <c:pt idx="1401">
                  <c:v>15000000</c:v>
                </c:pt>
                <c:pt idx="1402">
                  <c:v>15000000</c:v>
                </c:pt>
                <c:pt idx="1403">
                  <c:v>0</c:v>
                </c:pt>
                <c:pt idx="1404">
                  <c:v>15001002</c:v>
                </c:pt>
                <c:pt idx="1405">
                  <c:v>16000000</c:v>
                </c:pt>
                <c:pt idx="1406">
                  <c:v>15001002</c:v>
                </c:pt>
                <c:pt idx="1407">
                  <c:v>15400000</c:v>
                </c:pt>
                <c:pt idx="1408">
                  <c:v>15000000</c:v>
                </c:pt>
                <c:pt idx="1409">
                  <c:v>15001001</c:v>
                </c:pt>
                <c:pt idx="1410">
                  <c:v>15000000</c:v>
                </c:pt>
                <c:pt idx="1411">
                  <c:v>15400000</c:v>
                </c:pt>
                <c:pt idx="1412">
                  <c:v>15500000</c:v>
                </c:pt>
                <c:pt idx="1413">
                  <c:v>15000000</c:v>
                </c:pt>
                <c:pt idx="1414">
                  <c:v>15000000</c:v>
                </c:pt>
                <c:pt idx="1415">
                  <c:v>15000000</c:v>
                </c:pt>
                <c:pt idx="1416">
                  <c:v>15000000</c:v>
                </c:pt>
                <c:pt idx="1417">
                  <c:v>15000000</c:v>
                </c:pt>
                <c:pt idx="1418">
                  <c:v>16000000</c:v>
                </c:pt>
                <c:pt idx="1419">
                  <c:v>15001002</c:v>
                </c:pt>
                <c:pt idx="1420">
                  <c:v>16000000</c:v>
                </c:pt>
                <c:pt idx="1421">
                  <c:v>15001002</c:v>
                </c:pt>
                <c:pt idx="1422">
                  <c:v>16600000</c:v>
                </c:pt>
                <c:pt idx="1423">
                  <c:v>0</c:v>
                </c:pt>
                <c:pt idx="1424">
                  <c:v>0</c:v>
                </c:pt>
                <c:pt idx="1425">
                  <c:v>15001001</c:v>
                </c:pt>
                <c:pt idx="1426">
                  <c:v>15001001</c:v>
                </c:pt>
                <c:pt idx="1427">
                  <c:v>0</c:v>
                </c:pt>
                <c:pt idx="1428">
                  <c:v>15000000</c:v>
                </c:pt>
                <c:pt idx="1429">
                  <c:v>15001001</c:v>
                </c:pt>
                <c:pt idx="1430">
                  <c:v>15420000</c:v>
                </c:pt>
                <c:pt idx="1431">
                  <c:v>15000000</c:v>
                </c:pt>
                <c:pt idx="1432">
                  <c:v>0</c:v>
                </c:pt>
                <c:pt idx="1433">
                  <c:v>15000000</c:v>
                </c:pt>
                <c:pt idx="1434">
                  <c:v>15001002</c:v>
                </c:pt>
                <c:pt idx="1435">
                  <c:v>16000000</c:v>
                </c:pt>
                <c:pt idx="1436">
                  <c:v>15001002</c:v>
                </c:pt>
                <c:pt idx="1437">
                  <c:v>16000000</c:v>
                </c:pt>
                <c:pt idx="1438">
                  <c:v>16210000</c:v>
                </c:pt>
                <c:pt idx="1439">
                  <c:v>16000000</c:v>
                </c:pt>
                <c:pt idx="1440">
                  <c:v>15000000</c:v>
                </c:pt>
                <c:pt idx="1441">
                  <c:v>15000000</c:v>
                </c:pt>
                <c:pt idx="1442">
                  <c:v>15000000</c:v>
                </c:pt>
                <c:pt idx="1443">
                  <c:v>15000000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16210000</c:v>
                </c:pt>
                <c:pt idx="1449">
                  <c:v>15000000</c:v>
                </c:pt>
                <c:pt idx="1450">
                  <c:v>15001002</c:v>
                </c:pt>
                <c:pt idx="1451">
                  <c:v>15001002</c:v>
                </c:pt>
                <c:pt idx="1452">
                  <c:v>15000000</c:v>
                </c:pt>
                <c:pt idx="1453">
                  <c:v>15000000</c:v>
                </c:pt>
                <c:pt idx="1454">
                  <c:v>15000000</c:v>
                </c:pt>
                <c:pt idx="1455">
                  <c:v>15000000</c:v>
                </c:pt>
                <c:pt idx="1456">
                  <c:v>15010000</c:v>
                </c:pt>
                <c:pt idx="1457">
                  <c:v>15000000</c:v>
                </c:pt>
                <c:pt idx="1458">
                  <c:v>16610000</c:v>
                </c:pt>
                <c:pt idx="1459">
                  <c:v>16600000</c:v>
                </c:pt>
                <c:pt idx="1460">
                  <c:v>15000000</c:v>
                </c:pt>
                <c:pt idx="1461">
                  <c:v>15000000</c:v>
                </c:pt>
                <c:pt idx="1462">
                  <c:v>16600000</c:v>
                </c:pt>
                <c:pt idx="1463">
                  <c:v>15000000</c:v>
                </c:pt>
                <c:pt idx="1464">
                  <c:v>15000000</c:v>
                </c:pt>
                <c:pt idx="1465">
                  <c:v>16610000</c:v>
                </c:pt>
                <c:pt idx="1466">
                  <c:v>16600000</c:v>
                </c:pt>
                <c:pt idx="1467">
                  <c:v>15001001</c:v>
                </c:pt>
                <c:pt idx="1468">
                  <c:v>26010000</c:v>
                </c:pt>
                <c:pt idx="1469">
                  <c:v>15500000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15000000</c:v>
                </c:pt>
                <c:pt idx="1474">
                  <c:v>15000000</c:v>
                </c:pt>
                <c:pt idx="1475">
                  <c:v>15001001</c:v>
                </c:pt>
                <c:pt idx="1476">
                  <c:v>15001001</c:v>
                </c:pt>
                <c:pt idx="1477">
                  <c:v>15001001</c:v>
                </c:pt>
                <c:pt idx="1478">
                  <c:v>17040000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15001001</c:v>
                </c:pt>
                <c:pt idx="1483">
                  <c:v>0</c:v>
                </c:pt>
                <c:pt idx="1484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15000000</c:v>
                </c:pt>
                <c:pt idx="1491">
                  <c:v>15001002</c:v>
                </c:pt>
                <c:pt idx="1492">
                  <c:v>16000000</c:v>
                </c:pt>
                <c:pt idx="1493">
                  <c:v>15001002</c:v>
                </c:pt>
                <c:pt idx="1494">
                  <c:v>15000000</c:v>
                </c:pt>
                <c:pt idx="1495">
                  <c:v>16210000</c:v>
                </c:pt>
                <c:pt idx="1496">
                  <c:v>15001002</c:v>
                </c:pt>
                <c:pt idx="1497">
                  <c:v>15001002</c:v>
                </c:pt>
                <c:pt idx="1498">
                  <c:v>16000000</c:v>
                </c:pt>
                <c:pt idx="1499">
                  <c:v>15001002</c:v>
                </c:pt>
                <c:pt idx="1500">
                  <c:v>15001001</c:v>
                </c:pt>
                <c:pt idx="1501">
                  <c:v>25460000</c:v>
                </c:pt>
                <c:pt idx="1502">
                  <c:v>25460000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15000000</c:v>
                </c:pt>
                <c:pt idx="1509">
                  <c:v>15420000</c:v>
                </c:pt>
                <c:pt idx="1510">
                  <c:v>15001001</c:v>
                </c:pt>
                <c:pt idx="1511">
                  <c:v>15400000</c:v>
                </c:pt>
                <c:pt idx="1512">
                  <c:v>15001001</c:v>
                </c:pt>
                <c:pt idx="1513">
                  <c:v>15000000</c:v>
                </c:pt>
                <c:pt idx="1514">
                  <c:v>15000000</c:v>
                </c:pt>
                <c:pt idx="1515">
                  <c:v>15000000</c:v>
                </c:pt>
                <c:pt idx="1516">
                  <c:v>15520000</c:v>
                </c:pt>
                <c:pt idx="1517">
                  <c:v>15520000</c:v>
                </c:pt>
                <c:pt idx="1518">
                  <c:v>15000000</c:v>
                </c:pt>
                <c:pt idx="1519">
                  <c:v>11621000</c:v>
                </c:pt>
                <c:pt idx="1520">
                  <c:v>16590000</c:v>
                </c:pt>
                <c:pt idx="1521">
                  <c:v>15001002</c:v>
                </c:pt>
                <c:pt idx="1522">
                  <c:v>15001002</c:v>
                </c:pt>
                <c:pt idx="1523">
                  <c:v>16000000</c:v>
                </c:pt>
                <c:pt idx="1524">
                  <c:v>150000000</c:v>
                </c:pt>
                <c:pt idx="1525">
                  <c:v>0</c:v>
                </c:pt>
                <c:pt idx="1526">
                  <c:v>15001002</c:v>
                </c:pt>
                <c:pt idx="1527">
                  <c:v>15001002</c:v>
                </c:pt>
                <c:pt idx="1528">
                  <c:v>15001001</c:v>
                </c:pt>
                <c:pt idx="1529">
                  <c:v>15000000</c:v>
                </c:pt>
                <c:pt idx="1530">
                  <c:v>15000000</c:v>
                </c:pt>
                <c:pt idx="1531">
                  <c:v>15500000</c:v>
                </c:pt>
                <c:pt idx="1532">
                  <c:v>16600000</c:v>
                </c:pt>
                <c:pt idx="1533">
                  <c:v>15000000</c:v>
                </c:pt>
                <c:pt idx="1534">
                  <c:v>15000000</c:v>
                </c:pt>
                <c:pt idx="1535">
                  <c:v>15001001</c:v>
                </c:pt>
                <c:pt idx="1536">
                  <c:v>15001001</c:v>
                </c:pt>
                <c:pt idx="1537">
                  <c:v>16000000</c:v>
                </c:pt>
                <c:pt idx="1538">
                  <c:v>15001002</c:v>
                </c:pt>
                <c:pt idx="1539">
                  <c:v>15001002</c:v>
                </c:pt>
                <c:pt idx="1540">
                  <c:v>16000000</c:v>
                </c:pt>
                <c:pt idx="1541">
                  <c:v>16210000</c:v>
                </c:pt>
                <c:pt idx="1542">
                  <c:v>16000000</c:v>
                </c:pt>
                <c:pt idx="1543">
                  <c:v>16000000</c:v>
                </c:pt>
                <c:pt idx="1544">
                  <c:v>15001002</c:v>
                </c:pt>
                <c:pt idx="1545">
                  <c:v>15000000</c:v>
                </c:pt>
                <c:pt idx="1546">
                  <c:v>15001002</c:v>
                </c:pt>
                <c:pt idx="1547">
                  <c:v>16600000</c:v>
                </c:pt>
                <c:pt idx="1548">
                  <c:v>16000000</c:v>
                </c:pt>
                <c:pt idx="1549">
                  <c:v>16000000</c:v>
                </c:pt>
                <c:pt idx="1550">
                  <c:v>16000000</c:v>
                </c:pt>
                <c:pt idx="1551">
                  <c:v>0</c:v>
                </c:pt>
                <c:pt idx="1552">
                  <c:v>16610000</c:v>
                </c:pt>
                <c:pt idx="1553">
                  <c:v>15000000</c:v>
                </c:pt>
                <c:pt idx="1554">
                  <c:v>15000000</c:v>
                </c:pt>
                <c:pt idx="1555">
                  <c:v>15001001</c:v>
                </c:pt>
                <c:pt idx="1556">
                  <c:v>16600000</c:v>
                </c:pt>
                <c:pt idx="1557">
                  <c:v>16610000</c:v>
                </c:pt>
                <c:pt idx="1558">
                  <c:v>15000000</c:v>
                </c:pt>
                <c:pt idx="1559">
                  <c:v>15000000</c:v>
                </c:pt>
                <c:pt idx="1560">
                  <c:v>15000000</c:v>
                </c:pt>
                <c:pt idx="1561">
                  <c:v>15001001</c:v>
                </c:pt>
                <c:pt idx="1562">
                  <c:v>15001002</c:v>
                </c:pt>
                <c:pt idx="1563">
                  <c:v>15001002</c:v>
                </c:pt>
                <c:pt idx="1564">
                  <c:v>16000000</c:v>
                </c:pt>
                <c:pt idx="1565">
                  <c:v>15001002</c:v>
                </c:pt>
                <c:pt idx="1566">
                  <c:v>15001002</c:v>
                </c:pt>
                <c:pt idx="1567">
                  <c:v>15001002</c:v>
                </c:pt>
                <c:pt idx="1568">
                  <c:v>15001002</c:v>
                </c:pt>
                <c:pt idx="1569">
                  <c:v>15001002</c:v>
                </c:pt>
                <c:pt idx="1570">
                  <c:v>15001001</c:v>
                </c:pt>
                <c:pt idx="1571">
                  <c:v>15001002</c:v>
                </c:pt>
                <c:pt idx="1572">
                  <c:v>15001002</c:v>
                </c:pt>
                <c:pt idx="1573">
                  <c:v>16000000</c:v>
                </c:pt>
                <c:pt idx="1574">
                  <c:v>16000000</c:v>
                </c:pt>
                <c:pt idx="1575">
                  <c:v>16000000</c:v>
                </c:pt>
                <c:pt idx="1576">
                  <c:v>15001001</c:v>
                </c:pt>
                <c:pt idx="1577">
                  <c:v>15000000</c:v>
                </c:pt>
                <c:pt idx="1578">
                  <c:v>15001002</c:v>
                </c:pt>
                <c:pt idx="1579">
                  <c:v>0</c:v>
                </c:pt>
                <c:pt idx="1580">
                  <c:v>15001002</c:v>
                </c:pt>
                <c:pt idx="1581">
                  <c:v>15000000</c:v>
                </c:pt>
                <c:pt idx="1582">
                  <c:v>15001002</c:v>
                </c:pt>
                <c:pt idx="1583">
                  <c:v>15001002</c:v>
                </c:pt>
                <c:pt idx="1584">
                  <c:v>15001002</c:v>
                </c:pt>
                <c:pt idx="1585">
                  <c:v>15001002</c:v>
                </c:pt>
                <c:pt idx="1586">
                  <c:v>15001002</c:v>
                </c:pt>
                <c:pt idx="1587">
                  <c:v>15001002</c:v>
                </c:pt>
                <c:pt idx="1588">
                  <c:v>15001002</c:v>
                </c:pt>
                <c:pt idx="1589">
                  <c:v>15001002</c:v>
                </c:pt>
                <c:pt idx="1590">
                  <c:v>15001002</c:v>
                </c:pt>
                <c:pt idx="1591">
                  <c:v>15001002</c:v>
                </c:pt>
                <c:pt idx="1592">
                  <c:v>15001002</c:v>
                </c:pt>
                <c:pt idx="1593">
                  <c:v>15001002</c:v>
                </c:pt>
                <c:pt idx="1594">
                  <c:v>15001002</c:v>
                </c:pt>
                <c:pt idx="1595">
                  <c:v>15001002</c:v>
                </c:pt>
                <c:pt idx="1596">
                  <c:v>15001002</c:v>
                </c:pt>
                <c:pt idx="1597">
                  <c:v>15001002</c:v>
                </c:pt>
                <c:pt idx="1598">
                  <c:v>15001002</c:v>
                </c:pt>
                <c:pt idx="1599">
                  <c:v>15001002</c:v>
                </c:pt>
                <c:pt idx="1600">
                  <c:v>15001002</c:v>
                </c:pt>
                <c:pt idx="1601">
                  <c:v>15000000</c:v>
                </c:pt>
                <c:pt idx="1602">
                  <c:v>15001002</c:v>
                </c:pt>
                <c:pt idx="1603">
                  <c:v>15001002</c:v>
                </c:pt>
                <c:pt idx="1604">
                  <c:v>15001002</c:v>
                </c:pt>
                <c:pt idx="1605">
                  <c:v>15000000</c:v>
                </c:pt>
                <c:pt idx="1606">
                  <c:v>15000000</c:v>
                </c:pt>
                <c:pt idx="1607">
                  <c:v>16000000</c:v>
                </c:pt>
                <c:pt idx="1608">
                  <c:v>15001002</c:v>
                </c:pt>
                <c:pt idx="1609">
                  <c:v>15001002</c:v>
                </c:pt>
                <c:pt idx="1610">
                  <c:v>15001001</c:v>
                </c:pt>
                <c:pt idx="1611">
                  <c:v>15001001</c:v>
                </c:pt>
                <c:pt idx="1612">
                  <c:v>15000000</c:v>
                </c:pt>
                <c:pt idx="1613">
                  <c:v>15400000</c:v>
                </c:pt>
                <c:pt idx="1614">
                  <c:v>15400000</c:v>
                </c:pt>
                <c:pt idx="1615">
                  <c:v>16600000</c:v>
                </c:pt>
                <c:pt idx="1616">
                  <c:v>15001001</c:v>
                </c:pt>
                <c:pt idx="1617">
                  <c:v>15000000</c:v>
                </c:pt>
                <c:pt idx="1618">
                  <c:v>15000000</c:v>
                </c:pt>
                <c:pt idx="1619">
                  <c:v>15000000</c:v>
                </c:pt>
                <c:pt idx="1620">
                  <c:v>15001002</c:v>
                </c:pt>
                <c:pt idx="1621">
                  <c:v>15001002</c:v>
                </c:pt>
                <c:pt idx="1622">
                  <c:v>15001002</c:v>
                </c:pt>
                <c:pt idx="1623">
                  <c:v>15001002</c:v>
                </c:pt>
                <c:pt idx="1624">
                  <c:v>15000000</c:v>
                </c:pt>
                <c:pt idx="1625">
                  <c:v>15000000</c:v>
                </c:pt>
                <c:pt idx="1626">
                  <c:v>15000000</c:v>
                </c:pt>
                <c:pt idx="1627">
                  <c:v>15001002</c:v>
                </c:pt>
                <c:pt idx="1628">
                  <c:v>15001002</c:v>
                </c:pt>
                <c:pt idx="1629">
                  <c:v>15000000</c:v>
                </c:pt>
                <c:pt idx="1630">
                  <c:v>15001002</c:v>
                </c:pt>
                <c:pt idx="1631">
                  <c:v>15001001</c:v>
                </c:pt>
                <c:pt idx="1632">
                  <c:v>15001002</c:v>
                </c:pt>
                <c:pt idx="1633">
                  <c:v>15000000</c:v>
                </c:pt>
                <c:pt idx="1634">
                  <c:v>16600000</c:v>
                </c:pt>
                <c:pt idx="1635">
                  <c:v>16600000</c:v>
                </c:pt>
                <c:pt idx="1636">
                  <c:v>16600000</c:v>
                </c:pt>
                <c:pt idx="1637">
                  <c:v>15001002</c:v>
                </c:pt>
                <c:pt idx="1638">
                  <c:v>15000000</c:v>
                </c:pt>
                <c:pt idx="1639">
                  <c:v>15000000</c:v>
                </c:pt>
                <c:pt idx="1640">
                  <c:v>15000000</c:v>
                </c:pt>
                <c:pt idx="1641">
                  <c:v>15000000</c:v>
                </c:pt>
                <c:pt idx="1642">
                  <c:v>15000000</c:v>
                </c:pt>
                <c:pt idx="1643">
                  <c:v>15000000</c:v>
                </c:pt>
                <c:pt idx="1644">
                  <c:v>15000000</c:v>
                </c:pt>
                <c:pt idx="1646">
                  <c:v>15000000</c:v>
                </c:pt>
                <c:pt idx="1647">
                  <c:v>15000000</c:v>
                </c:pt>
                <c:pt idx="1648">
                  <c:v>15000000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15001001</c:v>
                </c:pt>
                <c:pt idx="1656">
                  <c:v>15001002</c:v>
                </c:pt>
                <c:pt idx="1657">
                  <c:v>15001002</c:v>
                </c:pt>
                <c:pt idx="1658">
                  <c:v>15001002</c:v>
                </c:pt>
                <c:pt idx="1659">
                  <c:v>15001002</c:v>
                </c:pt>
                <c:pt idx="1660">
                  <c:v>15001002</c:v>
                </c:pt>
                <c:pt idx="1661">
                  <c:v>15001002</c:v>
                </c:pt>
                <c:pt idx="1662">
                  <c:v>0</c:v>
                </c:pt>
                <c:pt idx="1663">
                  <c:v>0</c:v>
                </c:pt>
                <c:pt idx="1664">
                  <c:v>15001001</c:v>
                </c:pt>
                <c:pt idx="1665">
                  <c:v>15000000</c:v>
                </c:pt>
                <c:pt idx="1666">
                  <c:v>15001001</c:v>
                </c:pt>
                <c:pt idx="1667">
                  <c:v>15000000</c:v>
                </c:pt>
                <c:pt idx="1668">
                  <c:v>15000000</c:v>
                </c:pt>
                <c:pt idx="1669">
                  <c:v>15000000</c:v>
                </c:pt>
                <c:pt idx="1670">
                  <c:v>15001001</c:v>
                </c:pt>
                <c:pt idx="1671">
                  <c:v>15001002</c:v>
                </c:pt>
                <c:pt idx="1672">
                  <c:v>15001002</c:v>
                </c:pt>
                <c:pt idx="1673">
                  <c:v>15001002</c:v>
                </c:pt>
                <c:pt idx="1674">
                  <c:v>15001002</c:v>
                </c:pt>
                <c:pt idx="1675">
                  <c:v>16000000</c:v>
                </c:pt>
                <c:pt idx="1676">
                  <c:v>15001001</c:v>
                </c:pt>
                <c:pt idx="1677">
                  <c:v>15001001</c:v>
                </c:pt>
                <c:pt idx="1678">
                  <c:v>15001002</c:v>
                </c:pt>
                <c:pt idx="1679">
                  <c:v>16610000</c:v>
                </c:pt>
                <c:pt idx="1680">
                  <c:v>16600000</c:v>
                </c:pt>
                <c:pt idx="1681">
                  <c:v>16600000</c:v>
                </c:pt>
                <c:pt idx="1682">
                  <c:v>16600000</c:v>
                </c:pt>
                <c:pt idx="1683">
                  <c:v>15000000</c:v>
                </c:pt>
                <c:pt idx="1684">
                  <c:v>15000000</c:v>
                </c:pt>
                <c:pt idx="1685">
                  <c:v>0</c:v>
                </c:pt>
                <c:pt idx="1686">
                  <c:v>15000000</c:v>
                </c:pt>
                <c:pt idx="1687">
                  <c:v>15000000</c:v>
                </c:pt>
                <c:pt idx="1688">
                  <c:v>15000000</c:v>
                </c:pt>
                <c:pt idx="1689">
                  <c:v>15000000</c:v>
                </c:pt>
                <c:pt idx="1690">
                  <c:v>15000000</c:v>
                </c:pt>
                <c:pt idx="1691">
                  <c:v>15000000</c:v>
                </c:pt>
                <c:pt idx="1692">
                  <c:v>15001002</c:v>
                </c:pt>
                <c:pt idx="1693">
                  <c:v>15001002</c:v>
                </c:pt>
                <c:pt idx="1694">
                  <c:v>25500000</c:v>
                </c:pt>
                <c:pt idx="1697">
                  <c:v>16590000</c:v>
                </c:pt>
                <c:pt idx="1698">
                  <c:v>15001002</c:v>
                </c:pt>
                <c:pt idx="1699">
                  <c:v>15001001</c:v>
                </c:pt>
                <c:pt idx="1700">
                  <c:v>15000000</c:v>
                </c:pt>
                <c:pt idx="1701">
                  <c:v>15000000</c:v>
                </c:pt>
                <c:pt idx="1702">
                  <c:v>15001001</c:v>
                </c:pt>
                <c:pt idx="1703">
                  <c:v>0</c:v>
                </c:pt>
                <c:pt idx="1704">
                  <c:v>15001001</c:v>
                </c:pt>
                <c:pt idx="1705">
                  <c:v>15001002</c:v>
                </c:pt>
                <c:pt idx="1706">
                  <c:v>15000000</c:v>
                </c:pt>
                <c:pt idx="1707">
                  <c:v>15000000</c:v>
                </c:pt>
                <c:pt idx="1708">
                  <c:v>15000000</c:v>
                </c:pt>
                <c:pt idx="1709">
                  <c:v>15000000</c:v>
                </c:pt>
                <c:pt idx="1710">
                  <c:v>15010000</c:v>
                </c:pt>
                <c:pt idx="1711">
                  <c:v>15000000</c:v>
                </c:pt>
                <c:pt idx="1712">
                  <c:v>15001002</c:v>
                </c:pt>
                <c:pt idx="1713">
                  <c:v>15000000</c:v>
                </c:pt>
                <c:pt idx="1714">
                  <c:v>0</c:v>
                </c:pt>
                <c:pt idx="1715">
                  <c:v>0</c:v>
                </c:pt>
                <c:pt idx="1716">
                  <c:v>15500000</c:v>
                </c:pt>
                <c:pt idx="1717">
                  <c:v>16610000</c:v>
                </c:pt>
                <c:pt idx="1718">
                  <c:v>15000000</c:v>
                </c:pt>
                <c:pt idx="1719">
                  <c:v>16600000</c:v>
                </c:pt>
                <c:pt idx="1720">
                  <c:v>15000000</c:v>
                </c:pt>
                <c:pt idx="1721">
                  <c:v>16600000</c:v>
                </c:pt>
                <c:pt idx="1722">
                  <c:v>15000000</c:v>
                </c:pt>
                <c:pt idx="1723">
                  <c:v>0</c:v>
                </c:pt>
                <c:pt idx="1724">
                  <c:v>15000000</c:v>
                </c:pt>
                <c:pt idx="1725">
                  <c:v>16600000</c:v>
                </c:pt>
                <c:pt idx="1726">
                  <c:v>15520000</c:v>
                </c:pt>
                <c:pt idx="1727">
                  <c:v>16610000</c:v>
                </c:pt>
                <c:pt idx="1728">
                  <c:v>16000000</c:v>
                </c:pt>
                <c:pt idx="1729">
                  <c:v>15001002</c:v>
                </c:pt>
                <c:pt idx="1730">
                  <c:v>15001002</c:v>
                </c:pt>
                <c:pt idx="1731">
                  <c:v>25440000</c:v>
                </c:pt>
                <c:pt idx="1732">
                  <c:v>15001002</c:v>
                </c:pt>
                <c:pt idx="1733">
                  <c:v>16000000</c:v>
                </c:pt>
                <c:pt idx="1734">
                  <c:v>16000000</c:v>
                </c:pt>
                <c:pt idx="1735">
                  <c:v>16000000</c:v>
                </c:pt>
                <c:pt idx="1736">
                  <c:v>15001001</c:v>
                </c:pt>
                <c:pt idx="1737">
                  <c:v>15500000</c:v>
                </c:pt>
                <c:pt idx="1738">
                  <c:v>0</c:v>
                </c:pt>
                <c:pt idx="1739">
                  <c:v>15001002</c:v>
                </c:pt>
                <c:pt idx="1740">
                  <c:v>17510000</c:v>
                </c:pt>
                <c:pt idx="1741">
                  <c:v>15001002</c:v>
                </c:pt>
                <c:pt idx="1742">
                  <c:v>15001002</c:v>
                </c:pt>
                <c:pt idx="1743">
                  <c:v>15000000</c:v>
                </c:pt>
                <c:pt idx="1744">
                  <c:v>16000000</c:v>
                </c:pt>
                <c:pt idx="1745">
                  <c:v>15001002</c:v>
                </c:pt>
                <c:pt idx="1746">
                  <c:v>15001002</c:v>
                </c:pt>
                <c:pt idx="1747">
                  <c:v>15001001</c:v>
                </c:pt>
                <c:pt idx="1748">
                  <c:v>16000000</c:v>
                </c:pt>
                <c:pt idx="1749">
                  <c:v>15000000</c:v>
                </c:pt>
                <c:pt idx="1750">
                  <c:v>15001001</c:v>
                </c:pt>
                <c:pt idx="1751">
                  <c:v>15001002</c:v>
                </c:pt>
                <c:pt idx="1752">
                  <c:v>0</c:v>
                </c:pt>
                <c:pt idx="1753">
                  <c:v>0</c:v>
                </c:pt>
                <c:pt idx="1754">
                  <c:v>15000000</c:v>
                </c:pt>
                <c:pt idx="1755">
                  <c:v>16600000</c:v>
                </c:pt>
                <c:pt idx="1756">
                  <c:v>16600000</c:v>
                </c:pt>
                <c:pt idx="1757">
                  <c:v>16600000</c:v>
                </c:pt>
                <c:pt idx="1758">
                  <c:v>15001002</c:v>
                </c:pt>
                <c:pt idx="1759">
                  <c:v>15001001</c:v>
                </c:pt>
                <c:pt idx="1760">
                  <c:v>16210000</c:v>
                </c:pt>
                <c:pt idx="1761">
                  <c:v>25500000</c:v>
                </c:pt>
                <c:pt idx="1762">
                  <c:v>16210000</c:v>
                </c:pt>
                <c:pt idx="1763">
                  <c:v>16210000</c:v>
                </c:pt>
                <c:pt idx="1764">
                  <c:v>15001002</c:v>
                </c:pt>
                <c:pt idx="1765">
                  <c:v>15520000</c:v>
                </c:pt>
                <c:pt idx="1766">
                  <c:v>15500000</c:v>
                </c:pt>
                <c:pt idx="1767">
                  <c:v>16000000</c:v>
                </c:pt>
                <c:pt idx="1768">
                  <c:v>15001002</c:v>
                </c:pt>
                <c:pt idx="1769">
                  <c:v>16000000</c:v>
                </c:pt>
                <c:pt idx="1770">
                  <c:v>16600000</c:v>
                </c:pt>
                <c:pt idx="1771">
                  <c:v>15000000</c:v>
                </c:pt>
                <c:pt idx="1772">
                  <c:v>16610000</c:v>
                </c:pt>
                <c:pt idx="1773">
                  <c:v>16610000</c:v>
                </c:pt>
                <c:pt idx="1774">
                  <c:v>16000000</c:v>
                </c:pt>
                <c:pt idx="1775">
                  <c:v>16000000</c:v>
                </c:pt>
                <c:pt idx="1776">
                  <c:v>15001002</c:v>
                </c:pt>
                <c:pt idx="1777">
                  <c:v>15010000</c:v>
                </c:pt>
                <c:pt idx="1778">
                  <c:v>16000000</c:v>
                </c:pt>
                <c:pt idx="1779">
                  <c:v>15001002</c:v>
                </c:pt>
                <c:pt idx="1780">
                  <c:v>16000000</c:v>
                </c:pt>
                <c:pt idx="1781">
                  <c:v>16210000</c:v>
                </c:pt>
                <c:pt idx="1782">
                  <c:v>0</c:v>
                </c:pt>
                <c:pt idx="1783">
                  <c:v>0</c:v>
                </c:pt>
                <c:pt idx="1784">
                  <c:v>16600000</c:v>
                </c:pt>
                <c:pt idx="1785">
                  <c:v>15000000</c:v>
                </c:pt>
                <c:pt idx="1786">
                  <c:v>15001002</c:v>
                </c:pt>
                <c:pt idx="1787">
                  <c:v>15000000</c:v>
                </c:pt>
                <c:pt idx="1788">
                  <c:v>25520000</c:v>
                </c:pt>
                <c:pt idx="1789">
                  <c:v>15000000</c:v>
                </c:pt>
                <c:pt idx="1790">
                  <c:v>15001002</c:v>
                </c:pt>
                <c:pt idx="1791">
                  <c:v>15001002</c:v>
                </c:pt>
                <c:pt idx="1792">
                  <c:v>16210000</c:v>
                </c:pt>
                <c:pt idx="1793">
                  <c:v>15001001</c:v>
                </c:pt>
                <c:pt idx="1794">
                  <c:v>0</c:v>
                </c:pt>
                <c:pt idx="1795">
                  <c:v>15001002</c:v>
                </c:pt>
                <c:pt idx="1796">
                  <c:v>15001002</c:v>
                </c:pt>
                <c:pt idx="1797">
                  <c:v>15001002</c:v>
                </c:pt>
                <c:pt idx="1798">
                  <c:v>16000000</c:v>
                </c:pt>
                <c:pt idx="1799">
                  <c:v>16000000</c:v>
                </c:pt>
                <c:pt idx="1800">
                  <c:v>15001002</c:v>
                </c:pt>
                <c:pt idx="1801">
                  <c:v>16210000</c:v>
                </c:pt>
                <c:pt idx="1802">
                  <c:v>16000000</c:v>
                </c:pt>
                <c:pt idx="1803">
                  <c:v>15000000</c:v>
                </c:pt>
                <c:pt idx="1804">
                  <c:v>0</c:v>
                </c:pt>
                <c:pt idx="1805">
                  <c:v>15000000</c:v>
                </c:pt>
                <c:pt idx="1806">
                  <c:v>15000000</c:v>
                </c:pt>
                <c:pt idx="1807">
                  <c:v>15000000</c:v>
                </c:pt>
                <c:pt idx="1808">
                  <c:v>25500000</c:v>
                </c:pt>
                <c:pt idx="1809">
                  <c:v>15500000</c:v>
                </c:pt>
                <c:pt idx="1810">
                  <c:v>15001002</c:v>
                </c:pt>
                <c:pt idx="1811">
                  <c:v>15001002</c:v>
                </c:pt>
                <c:pt idx="1812">
                  <c:v>15001002</c:v>
                </c:pt>
                <c:pt idx="1813">
                  <c:v>16000000</c:v>
                </c:pt>
                <c:pt idx="1814">
                  <c:v>15001002</c:v>
                </c:pt>
                <c:pt idx="1815">
                  <c:v>15001002</c:v>
                </c:pt>
                <c:pt idx="1816">
                  <c:v>26003130</c:v>
                </c:pt>
                <c:pt idx="1817">
                  <c:v>16000000</c:v>
                </c:pt>
                <c:pt idx="1818">
                  <c:v>26000000</c:v>
                </c:pt>
                <c:pt idx="1819">
                  <c:v>16210000</c:v>
                </c:pt>
                <c:pt idx="1820">
                  <c:v>15001002</c:v>
                </c:pt>
                <c:pt idx="1821">
                  <c:v>16000000</c:v>
                </c:pt>
                <c:pt idx="1822">
                  <c:v>15001002</c:v>
                </c:pt>
                <c:pt idx="1823">
                  <c:v>15000000</c:v>
                </c:pt>
                <c:pt idx="1824">
                  <c:v>16000000</c:v>
                </c:pt>
                <c:pt idx="1825">
                  <c:v>16000000</c:v>
                </c:pt>
                <c:pt idx="1826">
                  <c:v>26003130</c:v>
                </c:pt>
                <c:pt idx="1827">
                  <c:v>26010000</c:v>
                </c:pt>
                <c:pt idx="1828">
                  <c:v>15001002</c:v>
                </c:pt>
                <c:pt idx="1829">
                  <c:v>26003110</c:v>
                </c:pt>
                <c:pt idx="1830">
                  <c:v>26003130</c:v>
                </c:pt>
                <c:pt idx="1831">
                  <c:v>16000000</c:v>
                </c:pt>
                <c:pt idx="1832">
                  <c:v>26010000</c:v>
                </c:pt>
                <c:pt idx="1833">
                  <c:v>16590000</c:v>
                </c:pt>
                <c:pt idx="1834">
                  <c:v>16590000</c:v>
                </c:pt>
                <c:pt idx="1835">
                  <c:v>15001002</c:v>
                </c:pt>
                <c:pt idx="1836">
                  <c:v>26010000</c:v>
                </c:pt>
                <c:pt idx="1837">
                  <c:v>16000000</c:v>
                </c:pt>
                <c:pt idx="1838">
                  <c:v>16590000</c:v>
                </c:pt>
                <c:pt idx="1839">
                  <c:v>15000000</c:v>
                </c:pt>
                <c:pt idx="1840">
                  <c:v>26003130</c:v>
                </c:pt>
                <c:pt idx="1841">
                  <c:v>16000000</c:v>
                </c:pt>
                <c:pt idx="1842">
                  <c:v>26003130</c:v>
                </c:pt>
                <c:pt idx="1843">
                  <c:v>26003130</c:v>
                </c:pt>
                <c:pt idx="1844">
                  <c:v>16000000</c:v>
                </c:pt>
                <c:pt idx="1845">
                  <c:v>15001002</c:v>
                </c:pt>
                <c:pt idx="1846">
                  <c:v>16000000</c:v>
                </c:pt>
                <c:pt idx="1847">
                  <c:v>15001002</c:v>
                </c:pt>
                <c:pt idx="1848">
                  <c:v>15001002</c:v>
                </c:pt>
                <c:pt idx="1849">
                  <c:v>26003130</c:v>
                </c:pt>
                <c:pt idx="1850">
                  <c:v>16000000</c:v>
                </c:pt>
                <c:pt idx="1851">
                  <c:v>15001002</c:v>
                </c:pt>
                <c:pt idx="1852">
                  <c:v>15001002</c:v>
                </c:pt>
                <c:pt idx="1853">
                  <c:v>16210000</c:v>
                </c:pt>
                <c:pt idx="1854">
                  <c:v>15001002</c:v>
                </c:pt>
                <c:pt idx="1855">
                  <c:v>26003130</c:v>
                </c:pt>
                <c:pt idx="1856">
                  <c:v>15000000</c:v>
                </c:pt>
                <c:pt idx="1857">
                  <c:v>15000000</c:v>
                </c:pt>
                <c:pt idx="1858">
                  <c:v>15001002</c:v>
                </c:pt>
                <c:pt idx="1859">
                  <c:v>16000000</c:v>
                </c:pt>
                <c:pt idx="1860">
                  <c:v>16000000</c:v>
                </c:pt>
                <c:pt idx="1861">
                  <c:v>15001002</c:v>
                </c:pt>
                <c:pt idx="1862">
                  <c:v>15001002</c:v>
                </c:pt>
                <c:pt idx="1863">
                  <c:v>15000000</c:v>
                </c:pt>
                <c:pt idx="1864">
                  <c:v>15001002</c:v>
                </c:pt>
                <c:pt idx="1865">
                  <c:v>16590000</c:v>
                </c:pt>
                <c:pt idx="1866">
                  <c:v>15001002</c:v>
                </c:pt>
                <c:pt idx="1867">
                  <c:v>16000000</c:v>
                </c:pt>
                <c:pt idx="1868">
                  <c:v>15001002</c:v>
                </c:pt>
                <c:pt idx="1869">
                  <c:v>15001002</c:v>
                </c:pt>
                <c:pt idx="1870">
                  <c:v>16000000</c:v>
                </c:pt>
                <c:pt idx="1871">
                  <c:v>15001002</c:v>
                </c:pt>
                <c:pt idx="1872">
                  <c:v>16000000</c:v>
                </c:pt>
                <c:pt idx="1873">
                  <c:v>15001002</c:v>
                </c:pt>
                <c:pt idx="1874">
                  <c:v>16000000</c:v>
                </c:pt>
                <c:pt idx="1875">
                  <c:v>15500000</c:v>
                </c:pt>
                <c:pt idx="1876">
                  <c:v>16000000</c:v>
                </c:pt>
                <c:pt idx="1877">
                  <c:v>15000000</c:v>
                </c:pt>
                <c:pt idx="1878">
                  <c:v>15000000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16610000</c:v>
                </c:pt>
                <c:pt idx="1883">
                  <c:v>15000000</c:v>
                </c:pt>
                <c:pt idx="1884">
                  <c:v>15000000</c:v>
                </c:pt>
                <c:pt idx="1885">
                  <c:v>15000000</c:v>
                </c:pt>
                <c:pt idx="1886">
                  <c:v>0</c:v>
                </c:pt>
                <c:pt idx="1887">
                  <c:v>0</c:v>
                </c:pt>
                <c:pt idx="1888">
                  <c:v>16000000</c:v>
                </c:pt>
                <c:pt idx="1889">
                  <c:v>15000000</c:v>
                </c:pt>
                <c:pt idx="1890">
                  <c:v>16000000</c:v>
                </c:pt>
                <c:pt idx="1891">
                  <c:v>15001002</c:v>
                </c:pt>
                <c:pt idx="1892">
                  <c:v>16000000</c:v>
                </c:pt>
                <c:pt idx="1893">
                  <c:v>16000000</c:v>
                </c:pt>
                <c:pt idx="1894">
                  <c:v>16000000</c:v>
                </c:pt>
                <c:pt idx="1895">
                  <c:v>16000000</c:v>
                </c:pt>
                <c:pt idx="1896">
                  <c:v>16000000</c:v>
                </c:pt>
                <c:pt idx="1897">
                  <c:v>15000000</c:v>
                </c:pt>
                <c:pt idx="1898">
                  <c:v>16000000</c:v>
                </c:pt>
                <c:pt idx="1899">
                  <c:v>15001002</c:v>
                </c:pt>
                <c:pt idx="1900">
                  <c:v>15000000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79-4229-B512-91E511F75732}"/>
            </c:ext>
          </c:extLst>
        </c:ser>
        <c:ser>
          <c:idx val="10"/>
          <c:order val="10"/>
          <c:tx>
            <c:strRef>
              <c:f>'INVENTÁRIO 2026'!$J$2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2026'!$J$3:$J$11811</c:f>
              <c:numCache>
                <c:formatCode>"R$"\ #,##0.00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9168</c:v>
                </c:pt>
                <c:pt idx="5">
                  <c:v>235000</c:v>
                </c:pt>
                <c:pt idx="6">
                  <c:v>1190062.3799999999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16520</c:v>
                </c:pt>
                <c:pt idx="16">
                  <c:v>10360</c:v>
                </c:pt>
                <c:pt idx="17">
                  <c:v>7080</c:v>
                </c:pt>
                <c:pt idx="18">
                  <c:v>18850</c:v>
                </c:pt>
                <c:pt idx="19">
                  <c:v>1220</c:v>
                </c:pt>
                <c:pt idx="20">
                  <c:v>26200</c:v>
                </c:pt>
                <c:pt idx="21">
                  <c:v>11800</c:v>
                </c:pt>
                <c:pt idx="22">
                  <c:v>5800</c:v>
                </c:pt>
                <c:pt idx="23">
                  <c:v>14500</c:v>
                </c:pt>
                <c:pt idx="24">
                  <c:v>18850</c:v>
                </c:pt>
                <c:pt idx="25">
                  <c:v>10620</c:v>
                </c:pt>
                <c:pt idx="26">
                  <c:v>2900</c:v>
                </c:pt>
                <c:pt idx="27">
                  <c:v>7080</c:v>
                </c:pt>
                <c:pt idx="28">
                  <c:v>14500</c:v>
                </c:pt>
                <c:pt idx="29">
                  <c:v>5800</c:v>
                </c:pt>
                <c:pt idx="30">
                  <c:v>35525</c:v>
                </c:pt>
                <c:pt idx="31">
                  <c:v>8260</c:v>
                </c:pt>
                <c:pt idx="32">
                  <c:v>16460</c:v>
                </c:pt>
                <c:pt idx="33">
                  <c:v>16520</c:v>
                </c:pt>
                <c:pt idx="34">
                  <c:v>29280</c:v>
                </c:pt>
                <c:pt idx="35">
                  <c:v>14500</c:v>
                </c:pt>
                <c:pt idx="36">
                  <c:v>14500</c:v>
                </c:pt>
                <c:pt idx="37">
                  <c:v>14640</c:v>
                </c:pt>
                <c:pt idx="38">
                  <c:v>26520</c:v>
                </c:pt>
                <c:pt idx="39">
                  <c:v>11800</c:v>
                </c:pt>
                <c:pt idx="40">
                  <c:v>13050</c:v>
                </c:pt>
                <c:pt idx="41">
                  <c:v>9440</c:v>
                </c:pt>
                <c:pt idx="42">
                  <c:v>30387.55</c:v>
                </c:pt>
                <c:pt idx="43">
                  <c:v>78905.399999999994</c:v>
                </c:pt>
                <c:pt idx="44">
                  <c:v>8797.83</c:v>
                </c:pt>
                <c:pt idx="45">
                  <c:v>0</c:v>
                </c:pt>
                <c:pt idx="46">
                  <c:v>1480</c:v>
                </c:pt>
                <c:pt idx="47">
                  <c:v>380</c:v>
                </c:pt>
                <c:pt idx="48">
                  <c:v>1100</c:v>
                </c:pt>
                <c:pt idx="49">
                  <c:v>1100</c:v>
                </c:pt>
                <c:pt idx="50">
                  <c:v>1500</c:v>
                </c:pt>
                <c:pt idx="51">
                  <c:v>1100</c:v>
                </c:pt>
                <c:pt idx="52">
                  <c:v>1100</c:v>
                </c:pt>
                <c:pt idx="53">
                  <c:v>4000</c:v>
                </c:pt>
                <c:pt idx="54">
                  <c:v>1978.19</c:v>
                </c:pt>
                <c:pt idx="55">
                  <c:v>3683.64</c:v>
                </c:pt>
                <c:pt idx="56">
                  <c:v>4274.3599999999997</c:v>
                </c:pt>
                <c:pt idx="57">
                  <c:v>0</c:v>
                </c:pt>
                <c:pt idx="58">
                  <c:v>3570.8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9760</c:v>
                </c:pt>
                <c:pt idx="63">
                  <c:v>9440</c:v>
                </c:pt>
                <c:pt idx="64">
                  <c:v>9813548.4000000004</c:v>
                </c:pt>
                <c:pt idx="65">
                  <c:v>0</c:v>
                </c:pt>
                <c:pt idx="66">
                  <c:v>34740</c:v>
                </c:pt>
                <c:pt idx="67">
                  <c:v>7080</c:v>
                </c:pt>
                <c:pt idx="68">
                  <c:v>189950.09</c:v>
                </c:pt>
                <c:pt idx="69">
                  <c:v>360957.41</c:v>
                </c:pt>
                <c:pt idx="70">
                  <c:v>0</c:v>
                </c:pt>
                <c:pt idx="71">
                  <c:v>0</c:v>
                </c:pt>
                <c:pt idx="72">
                  <c:v>8814</c:v>
                </c:pt>
                <c:pt idx="73">
                  <c:v>86748.95</c:v>
                </c:pt>
                <c:pt idx="74">
                  <c:v>74.459999999999994</c:v>
                </c:pt>
                <c:pt idx="75">
                  <c:v>6241.41</c:v>
                </c:pt>
                <c:pt idx="76">
                  <c:v>490</c:v>
                </c:pt>
                <c:pt idx="77">
                  <c:v>13916.66</c:v>
                </c:pt>
                <c:pt idx="78">
                  <c:v>8893.2000000000007</c:v>
                </c:pt>
                <c:pt idx="79">
                  <c:v>300</c:v>
                </c:pt>
                <c:pt idx="80">
                  <c:v>2448</c:v>
                </c:pt>
                <c:pt idx="81">
                  <c:v>529.20000000000005</c:v>
                </c:pt>
                <c:pt idx="82">
                  <c:v>2160</c:v>
                </c:pt>
                <c:pt idx="83">
                  <c:v>150</c:v>
                </c:pt>
                <c:pt idx="84">
                  <c:v>9101.4</c:v>
                </c:pt>
                <c:pt idx="85">
                  <c:v>732</c:v>
                </c:pt>
                <c:pt idx="86">
                  <c:v>1560.24</c:v>
                </c:pt>
                <c:pt idx="87">
                  <c:v>11780</c:v>
                </c:pt>
                <c:pt idx="88">
                  <c:v>161</c:v>
                </c:pt>
                <c:pt idx="89">
                  <c:v>1615.4</c:v>
                </c:pt>
                <c:pt idx="90">
                  <c:v>2500</c:v>
                </c:pt>
                <c:pt idx="91">
                  <c:v>3720</c:v>
                </c:pt>
                <c:pt idx="92">
                  <c:v>798</c:v>
                </c:pt>
                <c:pt idx="93">
                  <c:v>662.5</c:v>
                </c:pt>
                <c:pt idx="94">
                  <c:v>8396.64</c:v>
                </c:pt>
                <c:pt idx="95">
                  <c:v>1518</c:v>
                </c:pt>
                <c:pt idx="96">
                  <c:v>4890</c:v>
                </c:pt>
                <c:pt idx="97">
                  <c:v>78.599999999999994</c:v>
                </c:pt>
                <c:pt idx="98">
                  <c:v>2000</c:v>
                </c:pt>
                <c:pt idx="99">
                  <c:v>13226.4</c:v>
                </c:pt>
                <c:pt idx="100">
                  <c:v>7350</c:v>
                </c:pt>
                <c:pt idx="101">
                  <c:v>3030</c:v>
                </c:pt>
                <c:pt idx="102">
                  <c:v>10000</c:v>
                </c:pt>
                <c:pt idx="103">
                  <c:v>3400</c:v>
                </c:pt>
                <c:pt idx="104">
                  <c:v>8250</c:v>
                </c:pt>
                <c:pt idx="105">
                  <c:v>8256</c:v>
                </c:pt>
                <c:pt idx="106">
                  <c:v>2700</c:v>
                </c:pt>
                <c:pt idx="107">
                  <c:v>2184</c:v>
                </c:pt>
                <c:pt idx="108">
                  <c:v>1164</c:v>
                </c:pt>
                <c:pt idx="109">
                  <c:v>28000</c:v>
                </c:pt>
                <c:pt idx="110">
                  <c:v>816</c:v>
                </c:pt>
                <c:pt idx="111">
                  <c:v>660</c:v>
                </c:pt>
                <c:pt idx="112">
                  <c:v>686</c:v>
                </c:pt>
                <c:pt idx="113">
                  <c:v>2721.6</c:v>
                </c:pt>
                <c:pt idx="114">
                  <c:v>648</c:v>
                </c:pt>
                <c:pt idx="115">
                  <c:v>750</c:v>
                </c:pt>
                <c:pt idx="116">
                  <c:v>1600</c:v>
                </c:pt>
                <c:pt idx="117">
                  <c:v>1512</c:v>
                </c:pt>
                <c:pt idx="118">
                  <c:v>739.2</c:v>
                </c:pt>
                <c:pt idx="119">
                  <c:v>0</c:v>
                </c:pt>
                <c:pt idx="120">
                  <c:v>171</c:v>
                </c:pt>
                <c:pt idx="121">
                  <c:v>376</c:v>
                </c:pt>
                <c:pt idx="122">
                  <c:v>2500</c:v>
                </c:pt>
                <c:pt idx="123">
                  <c:v>2200</c:v>
                </c:pt>
                <c:pt idx="124">
                  <c:v>727.5</c:v>
                </c:pt>
                <c:pt idx="125">
                  <c:v>165</c:v>
                </c:pt>
                <c:pt idx="126">
                  <c:v>862</c:v>
                </c:pt>
                <c:pt idx="127">
                  <c:v>2112</c:v>
                </c:pt>
                <c:pt idx="128">
                  <c:v>1455</c:v>
                </c:pt>
                <c:pt idx="129">
                  <c:v>2200</c:v>
                </c:pt>
                <c:pt idx="130">
                  <c:v>285</c:v>
                </c:pt>
                <c:pt idx="131">
                  <c:v>4050</c:v>
                </c:pt>
                <c:pt idx="132">
                  <c:v>2505</c:v>
                </c:pt>
                <c:pt idx="133">
                  <c:v>89</c:v>
                </c:pt>
                <c:pt idx="134">
                  <c:v>4514.2700000000004</c:v>
                </c:pt>
                <c:pt idx="135">
                  <c:v>5962.9</c:v>
                </c:pt>
                <c:pt idx="136">
                  <c:v>3395</c:v>
                </c:pt>
                <c:pt idx="137">
                  <c:v>3469.65</c:v>
                </c:pt>
                <c:pt idx="138">
                  <c:v>149.30000000000001</c:v>
                </c:pt>
                <c:pt idx="139">
                  <c:v>950</c:v>
                </c:pt>
                <c:pt idx="140">
                  <c:v>1320</c:v>
                </c:pt>
                <c:pt idx="141">
                  <c:v>300</c:v>
                </c:pt>
                <c:pt idx="142">
                  <c:v>286</c:v>
                </c:pt>
                <c:pt idx="143">
                  <c:v>16219.2</c:v>
                </c:pt>
                <c:pt idx="144">
                  <c:v>42250.79</c:v>
                </c:pt>
                <c:pt idx="145">
                  <c:v>2160</c:v>
                </c:pt>
                <c:pt idx="146">
                  <c:v>8958</c:v>
                </c:pt>
                <c:pt idx="147">
                  <c:v>5504.4</c:v>
                </c:pt>
                <c:pt idx="148">
                  <c:v>4300</c:v>
                </c:pt>
                <c:pt idx="149">
                  <c:v>370</c:v>
                </c:pt>
                <c:pt idx="150">
                  <c:v>18000</c:v>
                </c:pt>
                <c:pt idx="151">
                  <c:v>11580</c:v>
                </c:pt>
                <c:pt idx="152">
                  <c:v>27550</c:v>
                </c:pt>
                <c:pt idx="153">
                  <c:v>0</c:v>
                </c:pt>
                <c:pt idx="154">
                  <c:v>1368.43</c:v>
                </c:pt>
                <c:pt idx="155">
                  <c:v>0</c:v>
                </c:pt>
                <c:pt idx="156">
                  <c:v>0</c:v>
                </c:pt>
                <c:pt idx="157">
                  <c:v>235000</c:v>
                </c:pt>
                <c:pt idx="158">
                  <c:v>1251859.45</c:v>
                </c:pt>
                <c:pt idx="159">
                  <c:v>20120</c:v>
                </c:pt>
                <c:pt idx="160">
                  <c:v>2111.58</c:v>
                </c:pt>
                <c:pt idx="161">
                  <c:v>28838.94</c:v>
                </c:pt>
                <c:pt idx="162">
                  <c:v>1917.39</c:v>
                </c:pt>
                <c:pt idx="163">
                  <c:v>2889</c:v>
                </c:pt>
                <c:pt idx="164">
                  <c:v>24414.43</c:v>
                </c:pt>
                <c:pt idx="165">
                  <c:v>10770</c:v>
                </c:pt>
                <c:pt idx="166">
                  <c:v>10500</c:v>
                </c:pt>
                <c:pt idx="167">
                  <c:v>2240</c:v>
                </c:pt>
                <c:pt idx="168">
                  <c:v>740</c:v>
                </c:pt>
                <c:pt idx="169">
                  <c:v>13728</c:v>
                </c:pt>
                <c:pt idx="170">
                  <c:v>0</c:v>
                </c:pt>
                <c:pt idx="171">
                  <c:v>0</c:v>
                </c:pt>
                <c:pt idx="172">
                  <c:v>24802.3</c:v>
                </c:pt>
                <c:pt idx="173">
                  <c:v>20976.35</c:v>
                </c:pt>
                <c:pt idx="174">
                  <c:v>281.39999999999998</c:v>
                </c:pt>
                <c:pt idx="175">
                  <c:v>149.9</c:v>
                </c:pt>
                <c:pt idx="176">
                  <c:v>80.400000000000006</c:v>
                </c:pt>
                <c:pt idx="177">
                  <c:v>173</c:v>
                </c:pt>
                <c:pt idx="178">
                  <c:v>1584</c:v>
                </c:pt>
                <c:pt idx="179">
                  <c:v>0</c:v>
                </c:pt>
                <c:pt idx="180">
                  <c:v>190000</c:v>
                </c:pt>
                <c:pt idx="181">
                  <c:v>220000</c:v>
                </c:pt>
                <c:pt idx="182">
                  <c:v>210000</c:v>
                </c:pt>
                <c:pt idx="183">
                  <c:v>100000</c:v>
                </c:pt>
                <c:pt idx="184">
                  <c:v>230000</c:v>
                </c:pt>
                <c:pt idx="185">
                  <c:v>0</c:v>
                </c:pt>
                <c:pt idx="186">
                  <c:v>71125.67</c:v>
                </c:pt>
                <c:pt idx="187">
                  <c:v>587819.18000000005</c:v>
                </c:pt>
                <c:pt idx="188">
                  <c:v>220</c:v>
                </c:pt>
                <c:pt idx="189">
                  <c:v>3000</c:v>
                </c:pt>
                <c:pt idx="190">
                  <c:v>950</c:v>
                </c:pt>
                <c:pt idx="191">
                  <c:v>3500</c:v>
                </c:pt>
                <c:pt idx="192">
                  <c:v>103482</c:v>
                </c:pt>
                <c:pt idx="193">
                  <c:v>62089.2</c:v>
                </c:pt>
                <c:pt idx="194">
                  <c:v>82785.600000000006</c:v>
                </c:pt>
                <c:pt idx="195">
                  <c:v>40407.9</c:v>
                </c:pt>
                <c:pt idx="196">
                  <c:v>37503</c:v>
                </c:pt>
                <c:pt idx="197">
                  <c:v>12221.88</c:v>
                </c:pt>
                <c:pt idx="198">
                  <c:v>12221.88</c:v>
                </c:pt>
                <c:pt idx="199">
                  <c:v>19010.32</c:v>
                </c:pt>
                <c:pt idx="200">
                  <c:v>9474.61</c:v>
                </c:pt>
                <c:pt idx="201">
                  <c:v>0</c:v>
                </c:pt>
                <c:pt idx="202">
                  <c:v>1800</c:v>
                </c:pt>
                <c:pt idx="203">
                  <c:v>2000.05</c:v>
                </c:pt>
                <c:pt idx="204">
                  <c:v>3000</c:v>
                </c:pt>
                <c:pt idx="205">
                  <c:v>94.31</c:v>
                </c:pt>
                <c:pt idx="206">
                  <c:v>502.69</c:v>
                </c:pt>
                <c:pt idx="207">
                  <c:v>112336.04</c:v>
                </c:pt>
                <c:pt idx="208">
                  <c:v>357.72</c:v>
                </c:pt>
                <c:pt idx="209">
                  <c:v>4603.6899999999996</c:v>
                </c:pt>
                <c:pt idx="210">
                  <c:v>2327.6799999999998</c:v>
                </c:pt>
                <c:pt idx="211">
                  <c:v>2569.94</c:v>
                </c:pt>
                <c:pt idx="212">
                  <c:v>2926.13</c:v>
                </c:pt>
                <c:pt idx="213">
                  <c:v>5546.23</c:v>
                </c:pt>
                <c:pt idx="214">
                  <c:v>916</c:v>
                </c:pt>
                <c:pt idx="215">
                  <c:v>5811.06</c:v>
                </c:pt>
                <c:pt idx="216">
                  <c:v>3423.6</c:v>
                </c:pt>
                <c:pt idx="217">
                  <c:v>2330.94</c:v>
                </c:pt>
                <c:pt idx="218">
                  <c:v>1336</c:v>
                </c:pt>
                <c:pt idx="219">
                  <c:v>150.65</c:v>
                </c:pt>
                <c:pt idx="220">
                  <c:v>650.71</c:v>
                </c:pt>
                <c:pt idx="221">
                  <c:v>1675.39</c:v>
                </c:pt>
                <c:pt idx="222">
                  <c:v>1668.41</c:v>
                </c:pt>
                <c:pt idx="223">
                  <c:v>23699.42</c:v>
                </c:pt>
                <c:pt idx="224">
                  <c:v>5565.55</c:v>
                </c:pt>
                <c:pt idx="225">
                  <c:v>11403.42</c:v>
                </c:pt>
                <c:pt idx="226">
                  <c:v>8203.58</c:v>
                </c:pt>
                <c:pt idx="227">
                  <c:v>4025.36</c:v>
                </c:pt>
                <c:pt idx="228">
                  <c:v>0</c:v>
                </c:pt>
                <c:pt idx="229">
                  <c:v>0</c:v>
                </c:pt>
                <c:pt idx="230">
                  <c:v>159370.20000000001</c:v>
                </c:pt>
                <c:pt idx="231">
                  <c:v>14330</c:v>
                </c:pt>
                <c:pt idx="232">
                  <c:v>20045</c:v>
                </c:pt>
                <c:pt idx="233">
                  <c:v>16972.5</c:v>
                </c:pt>
                <c:pt idx="234">
                  <c:v>14924</c:v>
                </c:pt>
                <c:pt idx="235">
                  <c:v>87348.08</c:v>
                </c:pt>
                <c:pt idx="236">
                  <c:v>91830</c:v>
                </c:pt>
                <c:pt idx="237">
                  <c:v>34620</c:v>
                </c:pt>
                <c:pt idx="238">
                  <c:v>87384.7</c:v>
                </c:pt>
                <c:pt idx="239">
                  <c:v>3219.25</c:v>
                </c:pt>
                <c:pt idx="240">
                  <c:v>1284.97</c:v>
                </c:pt>
                <c:pt idx="241">
                  <c:v>35050.660000000003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1299.82</c:v>
                </c:pt>
                <c:pt idx="246">
                  <c:v>350</c:v>
                </c:pt>
                <c:pt idx="247">
                  <c:v>0</c:v>
                </c:pt>
                <c:pt idx="248">
                  <c:v>104895</c:v>
                </c:pt>
                <c:pt idx="249">
                  <c:v>192124.91</c:v>
                </c:pt>
                <c:pt idx="250">
                  <c:v>0</c:v>
                </c:pt>
                <c:pt idx="251">
                  <c:v>100000</c:v>
                </c:pt>
                <c:pt idx="252">
                  <c:v>190000</c:v>
                </c:pt>
                <c:pt idx="253">
                  <c:v>220000</c:v>
                </c:pt>
                <c:pt idx="254">
                  <c:v>230000</c:v>
                </c:pt>
                <c:pt idx="255">
                  <c:v>190000</c:v>
                </c:pt>
                <c:pt idx="256">
                  <c:v>43019</c:v>
                </c:pt>
                <c:pt idx="257">
                  <c:v>60272.27</c:v>
                </c:pt>
                <c:pt idx="258">
                  <c:v>7800</c:v>
                </c:pt>
                <c:pt idx="259">
                  <c:v>7800</c:v>
                </c:pt>
                <c:pt idx="260">
                  <c:v>4229.7</c:v>
                </c:pt>
                <c:pt idx="261">
                  <c:v>13645.5</c:v>
                </c:pt>
                <c:pt idx="262">
                  <c:v>309</c:v>
                </c:pt>
                <c:pt idx="263">
                  <c:v>6490</c:v>
                </c:pt>
                <c:pt idx="264">
                  <c:v>200</c:v>
                </c:pt>
                <c:pt idx="265">
                  <c:v>55962.99</c:v>
                </c:pt>
                <c:pt idx="266">
                  <c:v>2251.87</c:v>
                </c:pt>
                <c:pt idx="267">
                  <c:v>5020</c:v>
                </c:pt>
                <c:pt idx="268">
                  <c:v>500</c:v>
                </c:pt>
                <c:pt idx="269">
                  <c:v>480</c:v>
                </c:pt>
                <c:pt idx="270">
                  <c:v>480</c:v>
                </c:pt>
                <c:pt idx="271">
                  <c:v>4500</c:v>
                </c:pt>
                <c:pt idx="272">
                  <c:v>3070</c:v>
                </c:pt>
                <c:pt idx="273">
                  <c:v>1860</c:v>
                </c:pt>
                <c:pt idx="274">
                  <c:v>0</c:v>
                </c:pt>
                <c:pt idx="275">
                  <c:v>0</c:v>
                </c:pt>
                <c:pt idx="276">
                  <c:v>15340</c:v>
                </c:pt>
                <c:pt idx="277">
                  <c:v>8708</c:v>
                </c:pt>
                <c:pt idx="278">
                  <c:v>0</c:v>
                </c:pt>
                <c:pt idx="279">
                  <c:v>8708</c:v>
                </c:pt>
                <c:pt idx="280">
                  <c:v>15340</c:v>
                </c:pt>
                <c:pt idx="281">
                  <c:v>1200</c:v>
                </c:pt>
                <c:pt idx="282">
                  <c:v>4950</c:v>
                </c:pt>
                <c:pt idx="283">
                  <c:v>9952.26</c:v>
                </c:pt>
                <c:pt idx="284">
                  <c:v>769370.16</c:v>
                </c:pt>
                <c:pt idx="285">
                  <c:v>0</c:v>
                </c:pt>
                <c:pt idx="286">
                  <c:v>482.4</c:v>
                </c:pt>
                <c:pt idx="287">
                  <c:v>189.07</c:v>
                </c:pt>
                <c:pt idx="288">
                  <c:v>35.14</c:v>
                </c:pt>
                <c:pt idx="289">
                  <c:v>591.71</c:v>
                </c:pt>
                <c:pt idx="290">
                  <c:v>229.6</c:v>
                </c:pt>
                <c:pt idx="291">
                  <c:v>14560</c:v>
                </c:pt>
                <c:pt idx="292">
                  <c:v>6240</c:v>
                </c:pt>
                <c:pt idx="293">
                  <c:v>6240</c:v>
                </c:pt>
                <c:pt idx="294">
                  <c:v>7553</c:v>
                </c:pt>
                <c:pt idx="295">
                  <c:v>9833</c:v>
                </c:pt>
                <c:pt idx="296">
                  <c:v>0</c:v>
                </c:pt>
                <c:pt idx="298">
                  <c:v>1249895.56</c:v>
                </c:pt>
                <c:pt idx="299">
                  <c:v>82613.679999999993</c:v>
                </c:pt>
                <c:pt idx="300">
                  <c:v>507.99</c:v>
                </c:pt>
                <c:pt idx="301">
                  <c:v>14734</c:v>
                </c:pt>
                <c:pt idx="302">
                  <c:v>1805.5</c:v>
                </c:pt>
                <c:pt idx="303">
                  <c:v>143198</c:v>
                </c:pt>
                <c:pt idx="304">
                  <c:v>42</c:v>
                </c:pt>
                <c:pt idx="305">
                  <c:v>4596</c:v>
                </c:pt>
                <c:pt idx="306">
                  <c:v>1535.18</c:v>
                </c:pt>
                <c:pt idx="307">
                  <c:v>23810.27</c:v>
                </c:pt>
                <c:pt idx="308">
                  <c:v>62.58</c:v>
                </c:pt>
                <c:pt idx="309">
                  <c:v>4460.6499999999996</c:v>
                </c:pt>
                <c:pt idx="310">
                  <c:v>4232</c:v>
                </c:pt>
                <c:pt idx="311">
                  <c:v>341.36</c:v>
                </c:pt>
                <c:pt idx="312">
                  <c:v>1100</c:v>
                </c:pt>
                <c:pt idx="313">
                  <c:v>1653</c:v>
                </c:pt>
                <c:pt idx="314">
                  <c:v>108704.96000000001</c:v>
                </c:pt>
                <c:pt idx="315">
                  <c:v>1500</c:v>
                </c:pt>
                <c:pt idx="316">
                  <c:v>3340</c:v>
                </c:pt>
                <c:pt idx="317">
                  <c:v>0</c:v>
                </c:pt>
                <c:pt idx="318">
                  <c:v>49284.49</c:v>
                </c:pt>
                <c:pt idx="319">
                  <c:v>6000</c:v>
                </c:pt>
                <c:pt idx="320">
                  <c:v>12399.43</c:v>
                </c:pt>
                <c:pt idx="321">
                  <c:v>1288.72</c:v>
                </c:pt>
                <c:pt idx="322">
                  <c:v>1869</c:v>
                </c:pt>
                <c:pt idx="323">
                  <c:v>9168</c:v>
                </c:pt>
                <c:pt idx="324">
                  <c:v>4927.1000000000004</c:v>
                </c:pt>
                <c:pt idx="325">
                  <c:v>0</c:v>
                </c:pt>
                <c:pt idx="326">
                  <c:v>722.8</c:v>
                </c:pt>
                <c:pt idx="327">
                  <c:v>518.78</c:v>
                </c:pt>
                <c:pt idx="328">
                  <c:v>160000</c:v>
                </c:pt>
                <c:pt idx="329">
                  <c:v>472478.4</c:v>
                </c:pt>
                <c:pt idx="330">
                  <c:v>2636.34</c:v>
                </c:pt>
                <c:pt idx="331">
                  <c:v>3900</c:v>
                </c:pt>
                <c:pt idx="332">
                  <c:v>4358.08</c:v>
                </c:pt>
                <c:pt idx="333">
                  <c:v>4222.1400000000003</c:v>
                </c:pt>
                <c:pt idx="334">
                  <c:v>1288.92</c:v>
                </c:pt>
                <c:pt idx="335">
                  <c:v>0</c:v>
                </c:pt>
                <c:pt idx="336">
                  <c:v>174400</c:v>
                </c:pt>
                <c:pt idx="337">
                  <c:v>18780.68</c:v>
                </c:pt>
                <c:pt idx="338">
                  <c:v>173855.35999999999</c:v>
                </c:pt>
                <c:pt idx="339">
                  <c:v>76110</c:v>
                </c:pt>
                <c:pt idx="340">
                  <c:v>49644.85</c:v>
                </c:pt>
                <c:pt idx="341">
                  <c:v>50343.11</c:v>
                </c:pt>
                <c:pt idx="342">
                  <c:v>5884.46</c:v>
                </c:pt>
                <c:pt idx="343">
                  <c:v>7308</c:v>
                </c:pt>
                <c:pt idx="344">
                  <c:v>12762</c:v>
                </c:pt>
                <c:pt idx="345">
                  <c:v>9137.92</c:v>
                </c:pt>
                <c:pt idx="346">
                  <c:v>13870.8</c:v>
                </c:pt>
                <c:pt idx="347">
                  <c:v>9994</c:v>
                </c:pt>
                <c:pt idx="348">
                  <c:v>0</c:v>
                </c:pt>
                <c:pt idx="349">
                  <c:v>348.67</c:v>
                </c:pt>
                <c:pt idx="350">
                  <c:v>348.6</c:v>
                </c:pt>
                <c:pt idx="351">
                  <c:v>1299.51</c:v>
                </c:pt>
                <c:pt idx="352">
                  <c:v>30032.6</c:v>
                </c:pt>
                <c:pt idx="353">
                  <c:v>1037.07</c:v>
                </c:pt>
                <c:pt idx="354">
                  <c:v>17863.28</c:v>
                </c:pt>
                <c:pt idx="355">
                  <c:v>14160</c:v>
                </c:pt>
                <c:pt idx="356">
                  <c:v>26100</c:v>
                </c:pt>
                <c:pt idx="357">
                  <c:v>29000</c:v>
                </c:pt>
                <c:pt idx="358">
                  <c:v>10620</c:v>
                </c:pt>
                <c:pt idx="359">
                  <c:v>16460</c:v>
                </c:pt>
                <c:pt idx="360">
                  <c:v>4880</c:v>
                </c:pt>
                <c:pt idx="361">
                  <c:v>225.82</c:v>
                </c:pt>
                <c:pt idx="362">
                  <c:v>260.31</c:v>
                </c:pt>
                <c:pt idx="363">
                  <c:v>408.92</c:v>
                </c:pt>
                <c:pt idx="364">
                  <c:v>309.85000000000002</c:v>
                </c:pt>
                <c:pt idx="365">
                  <c:v>600</c:v>
                </c:pt>
                <c:pt idx="366">
                  <c:v>600</c:v>
                </c:pt>
                <c:pt idx="367">
                  <c:v>1474.7</c:v>
                </c:pt>
                <c:pt idx="368">
                  <c:v>9428.51</c:v>
                </c:pt>
                <c:pt idx="369">
                  <c:v>13797.6</c:v>
                </c:pt>
                <c:pt idx="370">
                  <c:v>48180</c:v>
                </c:pt>
                <c:pt idx="371">
                  <c:v>72400</c:v>
                </c:pt>
                <c:pt idx="372">
                  <c:v>600</c:v>
                </c:pt>
                <c:pt idx="373">
                  <c:v>21340</c:v>
                </c:pt>
                <c:pt idx="374">
                  <c:v>600</c:v>
                </c:pt>
                <c:pt idx="375">
                  <c:v>21340</c:v>
                </c:pt>
                <c:pt idx="376">
                  <c:v>11600</c:v>
                </c:pt>
                <c:pt idx="377">
                  <c:v>13050</c:v>
                </c:pt>
                <c:pt idx="378">
                  <c:v>14500</c:v>
                </c:pt>
                <c:pt idx="379">
                  <c:v>7080</c:v>
                </c:pt>
                <c:pt idx="380">
                  <c:v>709.27</c:v>
                </c:pt>
                <c:pt idx="381">
                  <c:v>104159.34</c:v>
                </c:pt>
                <c:pt idx="382">
                  <c:v>5800</c:v>
                </c:pt>
                <c:pt idx="383">
                  <c:v>9440</c:v>
                </c:pt>
                <c:pt idx="384">
                  <c:v>2440</c:v>
                </c:pt>
                <c:pt idx="385">
                  <c:v>7080</c:v>
                </c:pt>
                <c:pt idx="386">
                  <c:v>9760</c:v>
                </c:pt>
                <c:pt idx="387">
                  <c:v>20300</c:v>
                </c:pt>
                <c:pt idx="388">
                  <c:v>5800</c:v>
                </c:pt>
                <c:pt idx="389">
                  <c:v>29000</c:v>
                </c:pt>
                <c:pt idx="390">
                  <c:v>9440</c:v>
                </c:pt>
                <c:pt idx="391">
                  <c:v>9760</c:v>
                </c:pt>
                <c:pt idx="392">
                  <c:v>4720</c:v>
                </c:pt>
                <c:pt idx="393">
                  <c:v>10620</c:v>
                </c:pt>
                <c:pt idx="394">
                  <c:v>16520</c:v>
                </c:pt>
                <c:pt idx="395">
                  <c:v>2440</c:v>
                </c:pt>
                <c:pt idx="396">
                  <c:v>10620</c:v>
                </c:pt>
                <c:pt idx="397">
                  <c:v>15950</c:v>
                </c:pt>
                <c:pt idx="398">
                  <c:v>38020</c:v>
                </c:pt>
                <c:pt idx="399">
                  <c:v>3000</c:v>
                </c:pt>
                <c:pt idx="400">
                  <c:v>220</c:v>
                </c:pt>
                <c:pt idx="401">
                  <c:v>3340</c:v>
                </c:pt>
                <c:pt idx="402">
                  <c:v>11800</c:v>
                </c:pt>
                <c:pt idx="403">
                  <c:v>950</c:v>
                </c:pt>
                <c:pt idx="404">
                  <c:v>58328.42</c:v>
                </c:pt>
                <c:pt idx="405">
                  <c:v>110159.59</c:v>
                </c:pt>
                <c:pt idx="406">
                  <c:v>255.71</c:v>
                </c:pt>
                <c:pt idx="407">
                  <c:v>14447.2</c:v>
                </c:pt>
                <c:pt idx="408">
                  <c:v>0</c:v>
                </c:pt>
                <c:pt idx="409">
                  <c:v>170.68</c:v>
                </c:pt>
                <c:pt idx="410">
                  <c:v>3621.56</c:v>
                </c:pt>
                <c:pt idx="411">
                  <c:v>247659.07</c:v>
                </c:pt>
                <c:pt idx="412">
                  <c:v>13916.66</c:v>
                </c:pt>
                <c:pt idx="413">
                  <c:v>9440</c:v>
                </c:pt>
                <c:pt idx="414">
                  <c:v>0</c:v>
                </c:pt>
                <c:pt idx="415">
                  <c:v>1509.25</c:v>
                </c:pt>
                <c:pt idx="416">
                  <c:v>0</c:v>
                </c:pt>
                <c:pt idx="417">
                  <c:v>37503</c:v>
                </c:pt>
                <c:pt idx="418">
                  <c:v>5000</c:v>
                </c:pt>
                <c:pt idx="419">
                  <c:v>171489.97</c:v>
                </c:pt>
                <c:pt idx="420">
                  <c:v>380846.43</c:v>
                </c:pt>
                <c:pt idx="421">
                  <c:v>80000</c:v>
                </c:pt>
                <c:pt idx="422">
                  <c:v>200000</c:v>
                </c:pt>
                <c:pt idx="423">
                  <c:v>11600</c:v>
                </c:pt>
                <c:pt idx="424">
                  <c:v>10192</c:v>
                </c:pt>
                <c:pt idx="425">
                  <c:v>1800</c:v>
                </c:pt>
                <c:pt idx="426">
                  <c:v>332.5</c:v>
                </c:pt>
                <c:pt idx="427">
                  <c:v>6200</c:v>
                </c:pt>
                <c:pt idx="428">
                  <c:v>4000</c:v>
                </c:pt>
                <c:pt idx="429">
                  <c:v>18286.04</c:v>
                </c:pt>
                <c:pt idx="430">
                  <c:v>12666.48</c:v>
                </c:pt>
                <c:pt idx="431">
                  <c:v>1288.72</c:v>
                </c:pt>
                <c:pt idx="432">
                  <c:v>8786.0400000000009</c:v>
                </c:pt>
                <c:pt idx="433">
                  <c:v>128.01</c:v>
                </c:pt>
                <c:pt idx="434">
                  <c:v>16903.05</c:v>
                </c:pt>
                <c:pt idx="435">
                  <c:v>2692.41</c:v>
                </c:pt>
                <c:pt idx="436">
                  <c:v>8934</c:v>
                </c:pt>
                <c:pt idx="437">
                  <c:v>18000</c:v>
                </c:pt>
                <c:pt idx="438">
                  <c:v>750810.49</c:v>
                </c:pt>
                <c:pt idx="439">
                  <c:v>433035.02</c:v>
                </c:pt>
                <c:pt idx="440">
                  <c:v>29280</c:v>
                </c:pt>
                <c:pt idx="441">
                  <c:v>386.28</c:v>
                </c:pt>
                <c:pt idx="442">
                  <c:v>1288.92</c:v>
                </c:pt>
                <c:pt idx="443">
                  <c:v>9200</c:v>
                </c:pt>
                <c:pt idx="444">
                  <c:v>16726.84</c:v>
                </c:pt>
                <c:pt idx="445">
                  <c:v>0</c:v>
                </c:pt>
                <c:pt idx="446">
                  <c:v>722.8</c:v>
                </c:pt>
                <c:pt idx="447">
                  <c:v>19800</c:v>
                </c:pt>
                <c:pt idx="448">
                  <c:v>20367</c:v>
                </c:pt>
                <c:pt idx="449">
                  <c:v>4413.3599999999997</c:v>
                </c:pt>
                <c:pt idx="450">
                  <c:v>3000</c:v>
                </c:pt>
                <c:pt idx="451">
                  <c:v>3000</c:v>
                </c:pt>
                <c:pt idx="452">
                  <c:v>3000</c:v>
                </c:pt>
                <c:pt idx="453">
                  <c:v>3000</c:v>
                </c:pt>
                <c:pt idx="454">
                  <c:v>35000</c:v>
                </c:pt>
                <c:pt idx="455">
                  <c:v>1140</c:v>
                </c:pt>
                <c:pt idx="456">
                  <c:v>0</c:v>
                </c:pt>
                <c:pt idx="457">
                  <c:v>1370.2</c:v>
                </c:pt>
                <c:pt idx="458">
                  <c:v>9715.5</c:v>
                </c:pt>
                <c:pt idx="459">
                  <c:v>13000</c:v>
                </c:pt>
                <c:pt idx="460">
                  <c:v>4040.21</c:v>
                </c:pt>
                <c:pt idx="461">
                  <c:v>90886.44</c:v>
                </c:pt>
                <c:pt idx="462">
                  <c:v>0</c:v>
                </c:pt>
                <c:pt idx="463">
                  <c:v>35433.71</c:v>
                </c:pt>
                <c:pt idx="464">
                  <c:v>192124.91</c:v>
                </c:pt>
                <c:pt idx="465">
                  <c:v>32310.36</c:v>
                </c:pt>
                <c:pt idx="466">
                  <c:v>12299.19</c:v>
                </c:pt>
                <c:pt idx="467">
                  <c:v>5000</c:v>
                </c:pt>
                <c:pt idx="468">
                  <c:v>8920</c:v>
                </c:pt>
                <c:pt idx="469">
                  <c:v>10500</c:v>
                </c:pt>
                <c:pt idx="470">
                  <c:v>10500</c:v>
                </c:pt>
                <c:pt idx="471">
                  <c:v>1243.5999999999999</c:v>
                </c:pt>
                <c:pt idx="472">
                  <c:v>4534.6499999999996</c:v>
                </c:pt>
                <c:pt idx="473">
                  <c:v>1534.6</c:v>
                </c:pt>
                <c:pt idx="474">
                  <c:v>4521.01</c:v>
                </c:pt>
                <c:pt idx="475">
                  <c:v>217.73</c:v>
                </c:pt>
                <c:pt idx="476">
                  <c:v>344.06</c:v>
                </c:pt>
                <c:pt idx="477">
                  <c:v>3000</c:v>
                </c:pt>
                <c:pt idx="478">
                  <c:v>4000</c:v>
                </c:pt>
                <c:pt idx="479">
                  <c:v>5000</c:v>
                </c:pt>
                <c:pt idx="480">
                  <c:v>104895</c:v>
                </c:pt>
                <c:pt idx="481">
                  <c:v>20976.35</c:v>
                </c:pt>
                <c:pt idx="482">
                  <c:v>71125.67</c:v>
                </c:pt>
                <c:pt idx="483">
                  <c:v>24802.3</c:v>
                </c:pt>
                <c:pt idx="484">
                  <c:v>1805.5</c:v>
                </c:pt>
                <c:pt idx="485">
                  <c:v>17956.46</c:v>
                </c:pt>
                <c:pt idx="486">
                  <c:v>406</c:v>
                </c:pt>
                <c:pt idx="487">
                  <c:v>20367</c:v>
                </c:pt>
                <c:pt idx="488">
                  <c:v>83793.8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212</c:v>
                </c:pt>
                <c:pt idx="494">
                  <c:v>120890</c:v>
                </c:pt>
                <c:pt idx="495">
                  <c:v>33000</c:v>
                </c:pt>
                <c:pt idx="496">
                  <c:v>20000</c:v>
                </c:pt>
                <c:pt idx="497">
                  <c:v>20000</c:v>
                </c:pt>
                <c:pt idx="498">
                  <c:v>0</c:v>
                </c:pt>
                <c:pt idx="499">
                  <c:v>32250</c:v>
                </c:pt>
                <c:pt idx="500">
                  <c:v>2889</c:v>
                </c:pt>
                <c:pt idx="501">
                  <c:v>135905</c:v>
                </c:pt>
                <c:pt idx="502">
                  <c:v>1251.6199999999999</c:v>
                </c:pt>
                <c:pt idx="503">
                  <c:v>9144</c:v>
                </c:pt>
                <c:pt idx="504">
                  <c:v>2227.61</c:v>
                </c:pt>
                <c:pt idx="505">
                  <c:v>5745.27</c:v>
                </c:pt>
                <c:pt idx="506">
                  <c:v>916</c:v>
                </c:pt>
                <c:pt idx="507">
                  <c:v>1917.39</c:v>
                </c:pt>
                <c:pt idx="508">
                  <c:v>24414.43</c:v>
                </c:pt>
                <c:pt idx="509">
                  <c:v>34252</c:v>
                </c:pt>
                <c:pt idx="510" formatCode="&quot;R$&quot;#,##0.00_);[Red]\(&quot;R$&quot;#,##0.00\)">
                  <c:v>0</c:v>
                </c:pt>
                <c:pt idx="511">
                  <c:v>170.68</c:v>
                </c:pt>
                <c:pt idx="512">
                  <c:v>0</c:v>
                </c:pt>
                <c:pt idx="513" formatCode="&quot;R$&quot;#,##0.00_);[Red]\(&quot;R$&quot;#,##0.00\)">
                  <c:v>0</c:v>
                </c:pt>
                <c:pt idx="514">
                  <c:v>76.75</c:v>
                </c:pt>
                <c:pt idx="515">
                  <c:v>2262.31</c:v>
                </c:pt>
                <c:pt idx="516">
                  <c:v>1024.01</c:v>
                </c:pt>
                <c:pt idx="517">
                  <c:v>1094.72</c:v>
                </c:pt>
                <c:pt idx="518">
                  <c:v>398.73</c:v>
                </c:pt>
                <c:pt idx="519">
                  <c:v>482.4</c:v>
                </c:pt>
                <c:pt idx="520">
                  <c:v>25530</c:v>
                </c:pt>
                <c:pt idx="521">
                  <c:v>100158.25</c:v>
                </c:pt>
                <c:pt idx="522">
                  <c:v>71.5</c:v>
                </c:pt>
                <c:pt idx="523">
                  <c:v>147.6</c:v>
                </c:pt>
                <c:pt idx="524">
                  <c:v>2366</c:v>
                </c:pt>
                <c:pt idx="525">
                  <c:v>5000</c:v>
                </c:pt>
                <c:pt idx="526">
                  <c:v>161</c:v>
                </c:pt>
                <c:pt idx="527">
                  <c:v>2351.73</c:v>
                </c:pt>
                <c:pt idx="528">
                  <c:v>184068.17</c:v>
                </c:pt>
                <c:pt idx="529">
                  <c:v>11785.83</c:v>
                </c:pt>
                <c:pt idx="530">
                  <c:v>9437.31</c:v>
                </c:pt>
                <c:pt idx="531">
                  <c:v>12768.68</c:v>
                </c:pt>
                <c:pt idx="532">
                  <c:v>4629.01</c:v>
                </c:pt>
                <c:pt idx="533">
                  <c:v>995.76</c:v>
                </c:pt>
                <c:pt idx="534">
                  <c:v>5393.5</c:v>
                </c:pt>
                <c:pt idx="535">
                  <c:v>13510</c:v>
                </c:pt>
                <c:pt idx="536">
                  <c:v>6500</c:v>
                </c:pt>
                <c:pt idx="537">
                  <c:v>1284.97</c:v>
                </c:pt>
                <c:pt idx="538">
                  <c:v>1284.97</c:v>
                </c:pt>
                <c:pt idx="539">
                  <c:v>1284.97</c:v>
                </c:pt>
                <c:pt idx="540">
                  <c:v>0</c:v>
                </c:pt>
                <c:pt idx="541">
                  <c:v>239370</c:v>
                </c:pt>
                <c:pt idx="542">
                  <c:v>801.6</c:v>
                </c:pt>
                <c:pt idx="543">
                  <c:v>4466</c:v>
                </c:pt>
                <c:pt idx="544">
                  <c:v>84880.94</c:v>
                </c:pt>
                <c:pt idx="545">
                  <c:v>9941.77</c:v>
                </c:pt>
                <c:pt idx="546">
                  <c:v>10188</c:v>
                </c:pt>
                <c:pt idx="547">
                  <c:v>44640</c:v>
                </c:pt>
                <c:pt idx="548">
                  <c:v>27360</c:v>
                </c:pt>
                <c:pt idx="549">
                  <c:v>12320.18</c:v>
                </c:pt>
                <c:pt idx="550">
                  <c:v>0</c:v>
                </c:pt>
                <c:pt idx="551">
                  <c:v>1284.97</c:v>
                </c:pt>
                <c:pt idx="552">
                  <c:v>12221.88</c:v>
                </c:pt>
                <c:pt idx="553">
                  <c:v>34252</c:v>
                </c:pt>
                <c:pt idx="554">
                  <c:v>430872.21</c:v>
                </c:pt>
                <c:pt idx="555">
                  <c:v>58520.81</c:v>
                </c:pt>
                <c:pt idx="556">
                  <c:v>22322.35</c:v>
                </c:pt>
                <c:pt idx="557">
                  <c:v>557.53</c:v>
                </c:pt>
                <c:pt idx="558">
                  <c:v>82355.83</c:v>
                </c:pt>
                <c:pt idx="559">
                  <c:v>897.47</c:v>
                </c:pt>
                <c:pt idx="560">
                  <c:v>1671.44</c:v>
                </c:pt>
                <c:pt idx="561">
                  <c:v>3987</c:v>
                </c:pt>
                <c:pt idx="562">
                  <c:v>717.22</c:v>
                </c:pt>
                <c:pt idx="563">
                  <c:v>1914.87</c:v>
                </c:pt>
                <c:pt idx="564">
                  <c:v>143.01</c:v>
                </c:pt>
                <c:pt idx="565">
                  <c:v>8184.59</c:v>
                </c:pt>
                <c:pt idx="566">
                  <c:v>2803.47</c:v>
                </c:pt>
                <c:pt idx="567">
                  <c:v>10812.88</c:v>
                </c:pt>
                <c:pt idx="568">
                  <c:v>1959.77</c:v>
                </c:pt>
                <c:pt idx="569">
                  <c:v>11280.77</c:v>
                </c:pt>
                <c:pt idx="570">
                  <c:v>61.75</c:v>
                </c:pt>
                <c:pt idx="571">
                  <c:v>0</c:v>
                </c:pt>
                <c:pt idx="572">
                  <c:v>122183.82</c:v>
                </c:pt>
                <c:pt idx="573">
                  <c:v>37186.379999999997</c:v>
                </c:pt>
                <c:pt idx="574">
                  <c:v>30979.39</c:v>
                </c:pt>
                <c:pt idx="575">
                  <c:v>106861.71</c:v>
                </c:pt>
                <c:pt idx="576">
                  <c:v>12399.43</c:v>
                </c:pt>
                <c:pt idx="579">
                  <c:v>1336</c:v>
                </c:pt>
                <c:pt idx="580">
                  <c:v>2100</c:v>
                </c:pt>
                <c:pt idx="581">
                  <c:v>1299.82</c:v>
                </c:pt>
                <c:pt idx="582">
                  <c:v>1800</c:v>
                </c:pt>
                <c:pt idx="583">
                  <c:v>2569.94</c:v>
                </c:pt>
                <c:pt idx="584">
                  <c:v>235000</c:v>
                </c:pt>
                <c:pt idx="585">
                  <c:v>1092</c:v>
                </c:pt>
                <c:pt idx="586">
                  <c:v>125428.8</c:v>
                </c:pt>
                <c:pt idx="587">
                  <c:v>46571.5</c:v>
                </c:pt>
                <c:pt idx="588">
                  <c:v>17861.400000000001</c:v>
                </c:pt>
                <c:pt idx="589">
                  <c:v>1255667.42</c:v>
                </c:pt>
                <c:pt idx="590">
                  <c:v>897.47</c:v>
                </c:pt>
                <c:pt idx="591">
                  <c:v>2638.75</c:v>
                </c:pt>
                <c:pt idx="592">
                  <c:v>2926.13</c:v>
                </c:pt>
                <c:pt idx="593">
                  <c:v>2327.6799999999998</c:v>
                </c:pt>
                <c:pt idx="595">
                  <c:v>984</c:v>
                </c:pt>
                <c:pt idx="596">
                  <c:v>4895</c:v>
                </c:pt>
                <c:pt idx="597">
                  <c:v>241</c:v>
                </c:pt>
                <c:pt idx="598">
                  <c:v>128.01</c:v>
                </c:pt>
                <c:pt idx="599">
                  <c:v>4502</c:v>
                </c:pt>
                <c:pt idx="600">
                  <c:v>32250</c:v>
                </c:pt>
                <c:pt idx="601">
                  <c:v>9000</c:v>
                </c:pt>
                <c:pt idx="602">
                  <c:v>300</c:v>
                </c:pt>
                <c:pt idx="603">
                  <c:v>22062.12</c:v>
                </c:pt>
                <c:pt idx="604">
                  <c:v>5950.69</c:v>
                </c:pt>
                <c:pt idx="605">
                  <c:v>65500</c:v>
                </c:pt>
                <c:pt idx="606">
                  <c:v>6272.54</c:v>
                </c:pt>
                <c:pt idx="607">
                  <c:v>28400</c:v>
                </c:pt>
                <c:pt idx="608">
                  <c:v>200000</c:v>
                </c:pt>
                <c:pt idx="609">
                  <c:v>80000</c:v>
                </c:pt>
                <c:pt idx="610">
                  <c:v>984</c:v>
                </c:pt>
                <c:pt idx="611">
                  <c:v>178283.95</c:v>
                </c:pt>
                <c:pt idx="612">
                  <c:v>14732.89</c:v>
                </c:pt>
                <c:pt idx="613">
                  <c:v>1243.1600000000001</c:v>
                </c:pt>
                <c:pt idx="614">
                  <c:v>8088.53</c:v>
                </c:pt>
                <c:pt idx="615">
                  <c:v>20800</c:v>
                </c:pt>
                <c:pt idx="616">
                  <c:v>5775</c:v>
                </c:pt>
                <c:pt idx="617">
                  <c:v>13380</c:v>
                </c:pt>
                <c:pt idx="618">
                  <c:v>20920</c:v>
                </c:pt>
                <c:pt idx="619">
                  <c:v>34586.43</c:v>
                </c:pt>
                <c:pt idx="620">
                  <c:v>8760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12031.38</c:v>
                </c:pt>
                <c:pt idx="625">
                  <c:v>250.92</c:v>
                </c:pt>
                <c:pt idx="626">
                  <c:v>39490.660000000003</c:v>
                </c:pt>
                <c:pt idx="627">
                  <c:v>2638.75</c:v>
                </c:pt>
                <c:pt idx="628">
                  <c:v>5775</c:v>
                </c:pt>
                <c:pt idx="629">
                  <c:v>10620</c:v>
                </c:pt>
                <c:pt idx="630">
                  <c:v>23200</c:v>
                </c:pt>
                <c:pt idx="631">
                  <c:v>13050</c:v>
                </c:pt>
                <c:pt idx="632">
                  <c:v>9760</c:v>
                </c:pt>
                <c:pt idx="633">
                  <c:v>16520</c:v>
                </c:pt>
                <c:pt idx="634">
                  <c:v>1800</c:v>
                </c:pt>
                <c:pt idx="635">
                  <c:v>10980</c:v>
                </c:pt>
                <c:pt idx="636">
                  <c:v>9440</c:v>
                </c:pt>
                <c:pt idx="637">
                  <c:v>14160</c:v>
                </c:pt>
                <c:pt idx="638">
                  <c:v>40240</c:v>
                </c:pt>
                <c:pt idx="639">
                  <c:v>9440</c:v>
                </c:pt>
                <c:pt idx="640">
                  <c:v>11600</c:v>
                </c:pt>
                <c:pt idx="641">
                  <c:v>30450</c:v>
                </c:pt>
                <c:pt idx="642">
                  <c:v>17680</c:v>
                </c:pt>
                <c:pt idx="643">
                  <c:v>11600</c:v>
                </c:pt>
                <c:pt idx="644">
                  <c:v>8934</c:v>
                </c:pt>
                <c:pt idx="645">
                  <c:v>13050</c:v>
                </c:pt>
                <c:pt idx="646">
                  <c:v>28640</c:v>
                </c:pt>
                <c:pt idx="647">
                  <c:v>4720</c:v>
                </c:pt>
                <c:pt idx="648">
                  <c:v>19010.32</c:v>
                </c:pt>
                <c:pt idx="649">
                  <c:v>6000</c:v>
                </c:pt>
                <c:pt idx="650">
                  <c:v>13012.85</c:v>
                </c:pt>
                <c:pt idx="651">
                  <c:v>3852</c:v>
                </c:pt>
                <c:pt idx="652">
                  <c:v>1456</c:v>
                </c:pt>
                <c:pt idx="653">
                  <c:v>40237.760000000002</c:v>
                </c:pt>
                <c:pt idx="654">
                  <c:v>38080.800000000003</c:v>
                </c:pt>
                <c:pt idx="655">
                  <c:v>38080.800000000003</c:v>
                </c:pt>
                <c:pt idx="656">
                  <c:v>3625.63</c:v>
                </c:pt>
                <c:pt idx="657">
                  <c:v>13916.66</c:v>
                </c:pt>
                <c:pt idx="658">
                  <c:v>27364.73</c:v>
                </c:pt>
                <c:pt idx="659">
                  <c:v>1780</c:v>
                </c:pt>
                <c:pt idx="660">
                  <c:v>3625.63</c:v>
                </c:pt>
                <c:pt idx="661">
                  <c:v>6500</c:v>
                </c:pt>
                <c:pt idx="662">
                  <c:v>6500</c:v>
                </c:pt>
                <c:pt idx="663">
                  <c:v>1250</c:v>
                </c:pt>
                <c:pt idx="664">
                  <c:v>12320</c:v>
                </c:pt>
                <c:pt idx="665">
                  <c:v>145275</c:v>
                </c:pt>
                <c:pt idx="666">
                  <c:v>0</c:v>
                </c:pt>
                <c:pt idx="667">
                  <c:v>484465.2</c:v>
                </c:pt>
                <c:pt idx="668">
                  <c:v>359.38</c:v>
                </c:pt>
                <c:pt idx="669">
                  <c:v>225.82</c:v>
                </c:pt>
                <c:pt idx="670">
                  <c:v>234.45</c:v>
                </c:pt>
                <c:pt idx="671">
                  <c:v>2327.7199999999998</c:v>
                </c:pt>
                <c:pt idx="672">
                  <c:v>13230.55</c:v>
                </c:pt>
                <c:pt idx="673">
                  <c:v>3040</c:v>
                </c:pt>
                <c:pt idx="674">
                  <c:v>13050</c:v>
                </c:pt>
                <c:pt idx="675">
                  <c:v>18300</c:v>
                </c:pt>
                <c:pt idx="676">
                  <c:v>7080</c:v>
                </c:pt>
                <c:pt idx="677">
                  <c:v>1603.93</c:v>
                </c:pt>
                <c:pt idx="678">
                  <c:v>1603.93</c:v>
                </c:pt>
                <c:pt idx="679">
                  <c:v>2569.94</c:v>
                </c:pt>
                <c:pt idx="680">
                  <c:v>10620</c:v>
                </c:pt>
                <c:pt idx="681">
                  <c:v>214614</c:v>
                </c:pt>
                <c:pt idx="682">
                  <c:v>3000</c:v>
                </c:pt>
                <c:pt idx="683">
                  <c:v>5000</c:v>
                </c:pt>
                <c:pt idx="684">
                  <c:v>309.85000000000002</c:v>
                </c:pt>
                <c:pt idx="685">
                  <c:v>896.14</c:v>
                </c:pt>
                <c:pt idx="686">
                  <c:v>436.94</c:v>
                </c:pt>
                <c:pt idx="687">
                  <c:v>104.86</c:v>
                </c:pt>
                <c:pt idx="688">
                  <c:v>524.29999999999995</c:v>
                </c:pt>
                <c:pt idx="689">
                  <c:v>1800</c:v>
                </c:pt>
                <c:pt idx="690">
                  <c:v>5654.74</c:v>
                </c:pt>
                <c:pt idx="691">
                  <c:v>27254.720000000001</c:v>
                </c:pt>
                <c:pt idx="692">
                  <c:v>88.99</c:v>
                </c:pt>
                <c:pt idx="693">
                  <c:v>2926.13</c:v>
                </c:pt>
                <c:pt idx="694">
                  <c:v>7503</c:v>
                </c:pt>
                <c:pt idx="695">
                  <c:v>4506</c:v>
                </c:pt>
                <c:pt idx="696">
                  <c:v>3030</c:v>
                </c:pt>
                <c:pt idx="697">
                  <c:v>9818</c:v>
                </c:pt>
                <c:pt idx="698">
                  <c:v>6624.27</c:v>
                </c:pt>
                <c:pt idx="699">
                  <c:v>4134.21</c:v>
                </c:pt>
                <c:pt idx="700">
                  <c:v>8579.94</c:v>
                </c:pt>
                <c:pt idx="701">
                  <c:v>11989.98</c:v>
                </c:pt>
                <c:pt idx="702">
                  <c:v>41500</c:v>
                </c:pt>
                <c:pt idx="703">
                  <c:v>1440</c:v>
                </c:pt>
                <c:pt idx="704">
                  <c:v>41500</c:v>
                </c:pt>
                <c:pt idx="705">
                  <c:v>6000</c:v>
                </c:pt>
                <c:pt idx="706">
                  <c:v>11800</c:v>
                </c:pt>
                <c:pt idx="707">
                  <c:v>340</c:v>
                </c:pt>
                <c:pt idx="708">
                  <c:v>310</c:v>
                </c:pt>
                <c:pt idx="709">
                  <c:v>0</c:v>
                </c:pt>
                <c:pt idx="710">
                  <c:v>15240</c:v>
                </c:pt>
                <c:pt idx="711">
                  <c:v>5800</c:v>
                </c:pt>
                <c:pt idx="712">
                  <c:v>23200</c:v>
                </c:pt>
                <c:pt idx="713">
                  <c:v>10620</c:v>
                </c:pt>
                <c:pt idx="714">
                  <c:v>12000</c:v>
                </c:pt>
                <c:pt idx="715">
                  <c:v>1085.6300000000001</c:v>
                </c:pt>
                <c:pt idx="716">
                  <c:v>2455.59</c:v>
                </c:pt>
                <c:pt idx="717">
                  <c:v>4761.82</c:v>
                </c:pt>
                <c:pt idx="718">
                  <c:v>1182.8800000000001</c:v>
                </c:pt>
                <c:pt idx="719">
                  <c:v>933.98</c:v>
                </c:pt>
                <c:pt idx="720">
                  <c:v>3000</c:v>
                </c:pt>
                <c:pt idx="721">
                  <c:v>310</c:v>
                </c:pt>
                <c:pt idx="722">
                  <c:v>219288.32000000001</c:v>
                </c:pt>
                <c:pt idx="723">
                  <c:v>152474.81</c:v>
                </c:pt>
                <c:pt idx="724">
                  <c:v>20800</c:v>
                </c:pt>
                <c:pt idx="725">
                  <c:v>1299.82</c:v>
                </c:pt>
                <c:pt idx="726">
                  <c:v>5800</c:v>
                </c:pt>
                <c:pt idx="727">
                  <c:v>213.35</c:v>
                </c:pt>
                <c:pt idx="728">
                  <c:v>195262.48</c:v>
                </c:pt>
                <c:pt idx="729">
                  <c:v>411023.58</c:v>
                </c:pt>
                <c:pt idx="730">
                  <c:v>4000</c:v>
                </c:pt>
                <c:pt idx="731">
                  <c:v>2889</c:v>
                </c:pt>
                <c:pt idx="732">
                  <c:v>99398</c:v>
                </c:pt>
                <c:pt idx="733">
                  <c:v>789.96</c:v>
                </c:pt>
                <c:pt idx="734">
                  <c:v>249436.24</c:v>
                </c:pt>
                <c:pt idx="735">
                  <c:v>3855.04</c:v>
                </c:pt>
                <c:pt idx="736">
                  <c:v>9440</c:v>
                </c:pt>
                <c:pt idx="737">
                  <c:v>1365.06</c:v>
                </c:pt>
                <c:pt idx="738">
                  <c:v>2335.5</c:v>
                </c:pt>
                <c:pt idx="739">
                  <c:v>46826.96</c:v>
                </c:pt>
                <c:pt idx="740">
                  <c:v>1257.76</c:v>
                </c:pt>
                <c:pt idx="741">
                  <c:v>4108.8599999999997</c:v>
                </c:pt>
                <c:pt idx="742">
                  <c:v>35002.800000000003</c:v>
                </c:pt>
                <c:pt idx="743">
                  <c:v>37714.04</c:v>
                </c:pt>
                <c:pt idx="744">
                  <c:v>1917.39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20000</c:v>
                </c:pt>
                <c:pt idx="751">
                  <c:v>1336</c:v>
                </c:pt>
                <c:pt idx="752">
                  <c:v>916</c:v>
                </c:pt>
                <c:pt idx="753">
                  <c:v>24414.43</c:v>
                </c:pt>
                <c:pt idx="754">
                  <c:v>258055.69</c:v>
                </c:pt>
                <c:pt idx="755">
                  <c:v>12180</c:v>
                </c:pt>
                <c:pt idx="756">
                  <c:v>4254</c:v>
                </c:pt>
                <c:pt idx="757">
                  <c:v>13870.8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6864</c:v>
                </c:pt>
                <c:pt idx="764">
                  <c:v>32620</c:v>
                </c:pt>
                <c:pt idx="765">
                  <c:v>17400</c:v>
                </c:pt>
                <c:pt idx="766">
                  <c:v>5000</c:v>
                </c:pt>
                <c:pt idx="767">
                  <c:v>9760</c:v>
                </c:pt>
                <c:pt idx="768">
                  <c:v>1257250.95</c:v>
                </c:pt>
                <c:pt idx="769">
                  <c:v>235000</c:v>
                </c:pt>
                <c:pt idx="770">
                  <c:v>4466</c:v>
                </c:pt>
                <c:pt idx="771">
                  <c:v>10188</c:v>
                </c:pt>
                <c:pt idx="772">
                  <c:v>84880.94</c:v>
                </c:pt>
                <c:pt idx="773">
                  <c:v>722.8</c:v>
                </c:pt>
                <c:pt idx="774">
                  <c:v>17595.66</c:v>
                </c:pt>
                <c:pt idx="775">
                  <c:v>44640</c:v>
                </c:pt>
                <c:pt idx="776">
                  <c:v>27360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231.2</c:v>
                </c:pt>
                <c:pt idx="781">
                  <c:v>23439.42</c:v>
                </c:pt>
                <c:pt idx="782">
                  <c:v>5030</c:v>
                </c:pt>
                <c:pt idx="783">
                  <c:v>8797.83</c:v>
                </c:pt>
                <c:pt idx="784">
                  <c:v>8797.83</c:v>
                </c:pt>
                <c:pt idx="785">
                  <c:v>51937</c:v>
                </c:pt>
                <c:pt idx="786">
                  <c:v>1178.76</c:v>
                </c:pt>
                <c:pt idx="787">
                  <c:v>79817.72</c:v>
                </c:pt>
                <c:pt idx="788">
                  <c:v>20277.759999999998</c:v>
                </c:pt>
                <c:pt idx="789">
                  <c:v>3382.8</c:v>
                </c:pt>
                <c:pt idx="790">
                  <c:v>12762</c:v>
                </c:pt>
                <c:pt idx="791">
                  <c:v>4623.5200000000004</c:v>
                </c:pt>
                <c:pt idx="792">
                  <c:v>1980</c:v>
                </c:pt>
                <c:pt idx="793">
                  <c:v>1980</c:v>
                </c:pt>
                <c:pt idx="794">
                  <c:v>23640</c:v>
                </c:pt>
                <c:pt idx="795">
                  <c:v>1110</c:v>
                </c:pt>
                <c:pt idx="796">
                  <c:v>10610</c:v>
                </c:pt>
                <c:pt idx="797">
                  <c:v>122128.85</c:v>
                </c:pt>
                <c:pt idx="798">
                  <c:v>179.52</c:v>
                </c:pt>
                <c:pt idx="799">
                  <c:v>121539.25</c:v>
                </c:pt>
                <c:pt idx="800">
                  <c:v>7080</c:v>
                </c:pt>
                <c:pt idx="801">
                  <c:v>3424</c:v>
                </c:pt>
                <c:pt idx="802">
                  <c:v>1546.02</c:v>
                </c:pt>
                <c:pt idx="803">
                  <c:v>26950.28</c:v>
                </c:pt>
                <c:pt idx="804">
                  <c:v>29950.28</c:v>
                </c:pt>
                <c:pt idx="805">
                  <c:v>4475.97</c:v>
                </c:pt>
                <c:pt idx="806">
                  <c:v>3718.18</c:v>
                </c:pt>
                <c:pt idx="807">
                  <c:v>3143.12</c:v>
                </c:pt>
                <c:pt idx="808">
                  <c:v>55737</c:v>
                </c:pt>
                <c:pt idx="809">
                  <c:v>15000</c:v>
                </c:pt>
                <c:pt idx="810">
                  <c:v>4290.28</c:v>
                </c:pt>
                <c:pt idx="811">
                  <c:v>2664.4</c:v>
                </c:pt>
                <c:pt idx="812">
                  <c:v>1284.97</c:v>
                </c:pt>
                <c:pt idx="813">
                  <c:v>1284.97</c:v>
                </c:pt>
                <c:pt idx="814">
                  <c:v>1284.97</c:v>
                </c:pt>
                <c:pt idx="815">
                  <c:v>2664.4</c:v>
                </c:pt>
                <c:pt idx="816">
                  <c:v>306607</c:v>
                </c:pt>
                <c:pt idx="817">
                  <c:v>148745.51999999999</c:v>
                </c:pt>
                <c:pt idx="818">
                  <c:v>5256</c:v>
                </c:pt>
                <c:pt idx="819">
                  <c:v>1687.5</c:v>
                </c:pt>
                <c:pt idx="820">
                  <c:v>1687.5</c:v>
                </c:pt>
                <c:pt idx="821">
                  <c:v>5148.82</c:v>
                </c:pt>
                <c:pt idx="822">
                  <c:v>3102.53</c:v>
                </c:pt>
                <c:pt idx="823">
                  <c:v>1103.31</c:v>
                </c:pt>
                <c:pt idx="824">
                  <c:v>376</c:v>
                </c:pt>
                <c:pt idx="825">
                  <c:v>73.25</c:v>
                </c:pt>
                <c:pt idx="826">
                  <c:v>1380.47</c:v>
                </c:pt>
                <c:pt idx="827">
                  <c:v>172977.5</c:v>
                </c:pt>
                <c:pt idx="828">
                  <c:v>50023.7</c:v>
                </c:pt>
                <c:pt idx="829">
                  <c:v>32158.27</c:v>
                </c:pt>
                <c:pt idx="830">
                  <c:v>373.95</c:v>
                </c:pt>
                <c:pt idx="831">
                  <c:v>482.41</c:v>
                </c:pt>
                <c:pt idx="832">
                  <c:v>396994.7</c:v>
                </c:pt>
                <c:pt idx="833">
                  <c:v>16903.05</c:v>
                </c:pt>
                <c:pt idx="834">
                  <c:v>0</c:v>
                </c:pt>
                <c:pt idx="835">
                  <c:v>20267.66</c:v>
                </c:pt>
                <c:pt idx="836">
                  <c:v>6510.72</c:v>
                </c:pt>
                <c:pt idx="837">
                  <c:v>127780.4</c:v>
                </c:pt>
                <c:pt idx="838">
                  <c:v>196753.92000000001</c:v>
                </c:pt>
                <c:pt idx="839">
                  <c:v>12299.19</c:v>
                </c:pt>
                <c:pt idx="840">
                  <c:v>32310.36</c:v>
                </c:pt>
                <c:pt idx="841">
                  <c:v>20000</c:v>
                </c:pt>
                <c:pt idx="843">
                  <c:v>0</c:v>
                </c:pt>
                <c:pt idx="844">
                  <c:v>0</c:v>
                </c:pt>
                <c:pt idx="845">
                  <c:v>71125.67</c:v>
                </c:pt>
                <c:pt idx="846">
                  <c:v>24802.3</c:v>
                </c:pt>
                <c:pt idx="847">
                  <c:v>104895</c:v>
                </c:pt>
                <c:pt idx="848">
                  <c:v>20976.35</c:v>
                </c:pt>
                <c:pt idx="849">
                  <c:v>600</c:v>
                </c:pt>
                <c:pt idx="850">
                  <c:v>1680</c:v>
                </c:pt>
                <c:pt idx="851">
                  <c:v>1120</c:v>
                </c:pt>
                <c:pt idx="852">
                  <c:v>600</c:v>
                </c:pt>
                <c:pt idx="853">
                  <c:v>3900</c:v>
                </c:pt>
                <c:pt idx="854">
                  <c:v>43117.599999999999</c:v>
                </c:pt>
                <c:pt idx="855">
                  <c:v>536798.38</c:v>
                </c:pt>
                <c:pt idx="856">
                  <c:v>249424.79</c:v>
                </c:pt>
                <c:pt idx="857">
                  <c:v>0</c:v>
                </c:pt>
                <c:pt idx="858">
                  <c:v>30000</c:v>
                </c:pt>
                <c:pt idx="859">
                  <c:v>100187.9</c:v>
                </c:pt>
                <c:pt idx="860">
                  <c:v>201866.1</c:v>
                </c:pt>
                <c:pt idx="861">
                  <c:v>0</c:v>
                </c:pt>
                <c:pt idx="862">
                  <c:v>19800</c:v>
                </c:pt>
                <c:pt idx="863">
                  <c:v>1875</c:v>
                </c:pt>
                <c:pt idx="864">
                  <c:v>19800</c:v>
                </c:pt>
                <c:pt idx="865">
                  <c:v>1875</c:v>
                </c:pt>
                <c:pt idx="866">
                  <c:v>5569.24</c:v>
                </c:pt>
                <c:pt idx="867">
                  <c:v>2283.4699999999998</c:v>
                </c:pt>
                <c:pt idx="868">
                  <c:v>80000</c:v>
                </c:pt>
                <c:pt idx="869">
                  <c:v>0</c:v>
                </c:pt>
                <c:pt idx="870">
                  <c:v>183682.74</c:v>
                </c:pt>
                <c:pt idx="871">
                  <c:v>0</c:v>
                </c:pt>
                <c:pt idx="872">
                  <c:v>0</c:v>
                </c:pt>
                <c:pt idx="873">
                  <c:v>18000</c:v>
                </c:pt>
                <c:pt idx="874">
                  <c:v>1100</c:v>
                </c:pt>
                <c:pt idx="875">
                  <c:v>3424</c:v>
                </c:pt>
                <c:pt idx="876">
                  <c:v>41134.9</c:v>
                </c:pt>
                <c:pt idx="877">
                  <c:v>27908.86</c:v>
                </c:pt>
                <c:pt idx="878">
                  <c:v>4628.75</c:v>
                </c:pt>
                <c:pt idx="879">
                  <c:v>1284.97</c:v>
                </c:pt>
                <c:pt idx="880">
                  <c:v>7800</c:v>
                </c:pt>
                <c:pt idx="881">
                  <c:v>11626.67</c:v>
                </c:pt>
                <c:pt idx="882">
                  <c:v>2270</c:v>
                </c:pt>
                <c:pt idx="883">
                  <c:v>2446.66</c:v>
                </c:pt>
                <c:pt idx="884">
                  <c:v>4056.8</c:v>
                </c:pt>
                <c:pt idx="885">
                  <c:v>2406.66</c:v>
                </c:pt>
                <c:pt idx="886">
                  <c:v>26100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13000</c:v>
                </c:pt>
                <c:pt idx="893">
                  <c:v>364338.75</c:v>
                </c:pt>
                <c:pt idx="894">
                  <c:v>65300</c:v>
                </c:pt>
                <c:pt idx="895">
                  <c:v>4040.21</c:v>
                </c:pt>
                <c:pt idx="896">
                  <c:v>7524.04</c:v>
                </c:pt>
                <c:pt idx="897">
                  <c:v>33500</c:v>
                </c:pt>
                <c:pt idx="898">
                  <c:v>374.01</c:v>
                </c:pt>
                <c:pt idx="899">
                  <c:v>57.68</c:v>
                </c:pt>
                <c:pt idx="900">
                  <c:v>712.81</c:v>
                </c:pt>
                <c:pt idx="901">
                  <c:v>459.55</c:v>
                </c:pt>
                <c:pt idx="902">
                  <c:v>12000</c:v>
                </c:pt>
                <c:pt idx="903">
                  <c:v>19800</c:v>
                </c:pt>
                <c:pt idx="904">
                  <c:v>11279.62</c:v>
                </c:pt>
                <c:pt idx="905">
                  <c:v>33000</c:v>
                </c:pt>
                <c:pt idx="906">
                  <c:v>9437.31</c:v>
                </c:pt>
                <c:pt idx="907">
                  <c:v>12768.68</c:v>
                </c:pt>
                <c:pt idx="908">
                  <c:v>4629.01</c:v>
                </c:pt>
                <c:pt idx="909">
                  <c:v>41362.01</c:v>
                </c:pt>
                <c:pt idx="910">
                  <c:v>220</c:v>
                </c:pt>
                <c:pt idx="911">
                  <c:v>12664.48</c:v>
                </c:pt>
                <c:pt idx="912">
                  <c:v>18286.04</c:v>
                </c:pt>
                <c:pt idx="913">
                  <c:v>3400</c:v>
                </c:pt>
                <c:pt idx="914">
                  <c:v>130</c:v>
                </c:pt>
                <c:pt idx="915">
                  <c:v>952</c:v>
                </c:pt>
                <c:pt idx="916">
                  <c:v>12221.88</c:v>
                </c:pt>
                <c:pt idx="917">
                  <c:v>2690</c:v>
                </c:pt>
                <c:pt idx="918">
                  <c:v>2878.25</c:v>
                </c:pt>
                <c:pt idx="919">
                  <c:v>12891.5</c:v>
                </c:pt>
                <c:pt idx="920">
                  <c:v>5598.25</c:v>
                </c:pt>
                <c:pt idx="921">
                  <c:v>420</c:v>
                </c:pt>
                <c:pt idx="922">
                  <c:v>270</c:v>
                </c:pt>
                <c:pt idx="923">
                  <c:v>35000</c:v>
                </c:pt>
                <c:pt idx="924">
                  <c:v>0</c:v>
                </c:pt>
                <c:pt idx="925">
                  <c:v>47887.66</c:v>
                </c:pt>
                <c:pt idx="926">
                  <c:v>8920</c:v>
                </c:pt>
                <c:pt idx="927">
                  <c:v>11150</c:v>
                </c:pt>
                <c:pt idx="928">
                  <c:v>10500</c:v>
                </c:pt>
                <c:pt idx="929">
                  <c:v>17116.39</c:v>
                </c:pt>
                <c:pt idx="930">
                  <c:v>9299.17</c:v>
                </c:pt>
                <c:pt idx="931">
                  <c:v>0</c:v>
                </c:pt>
                <c:pt idx="932">
                  <c:v>521.48</c:v>
                </c:pt>
                <c:pt idx="933">
                  <c:v>37583.14</c:v>
                </c:pt>
                <c:pt idx="934">
                  <c:v>82495.199999999997</c:v>
                </c:pt>
                <c:pt idx="935">
                  <c:v>12275.2</c:v>
                </c:pt>
                <c:pt idx="936">
                  <c:v>26547.040000000001</c:v>
                </c:pt>
                <c:pt idx="937">
                  <c:v>37490.89</c:v>
                </c:pt>
                <c:pt idx="938">
                  <c:v>4000</c:v>
                </c:pt>
                <c:pt idx="939">
                  <c:v>7000</c:v>
                </c:pt>
                <c:pt idx="940">
                  <c:v>5000</c:v>
                </c:pt>
                <c:pt idx="941">
                  <c:v>29991.360000000001</c:v>
                </c:pt>
                <c:pt idx="942">
                  <c:v>1509.2</c:v>
                </c:pt>
                <c:pt idx="943">
                  <c:v>4229.7</c:v>
                </c:pt>
                <c:pt idx="944">
                  <c:v>4229.7</c:v>
                </c:pt>
                <c:pt idx="945">
                  <c:v>4229.7</c:v>
                </c:pt>
                <c:pt idx="946">
                  <c:v>12516.18</c:v>
                </c:pt>
                <c:pt idx="947">
                  <c:v>1603.93</c:v>
                </c:pt>
                <c:pt idx="948">
                  <c:v>26950.28</c:v>
                </c:pt>
                <c:pt idx="949">
                  <c:v>134072</c:v>
                </c:pt>
                <c:pt idx="950">
                  <c:v>12774.58</c:v>
                </c:pt>
                <c:pt idx="951">
                  <c:v>132391.29</c:v>
                </c:pt>
                <c:pt idx="952">
                  <c:v>208577.3</c:v>
                </c:pt>
                <c:pt idx="959">
                  <c:v>10565.72</c:v>
                </c:pt>
                <c:pt idx="960">
                  <c:v>8566.7999999999993</c:v>
                </c:pt>
                <c:pt idx="961">
                  <c:v>1875</c:v>
                </c:pt>
                <c:pt idx="962">
                  <c:v>1875</c:v>
                </c:pt>
                <c:pt idx="966">
                  <c:v>3026.57</c:v>
                </c:pt>
                <c:pt idx="967">
                  <c:v>142000</c:v>
                </c:pt>
                <c:pt idx="968">
                  <c:v>8000</c:v>
                </c:pt>
                <c:pt idx="969">
                  <c:v>5640</c:v>
                </c:pt>
                <c:pt idx="970">
                  <c:v>2848.2</c:v>
                </c:pt>
                <c:pt idx="971">
                  <c:v>8274</c:v>
                </c:pt>
                <c:pt idx="972">
                  <c:v>2582.5</c:v>
                </c:pt>
                <c:pt idx="973">
                  <c:v>1414.04</c:v>
                </c:pt>
                <c:pt idx="974">
                  <c:v>2996</c:v>
                </c:pt>
                <c:pt idx="975">
                  <c:v>2193.96</c:v>
                </c:pt>
                <c:pt idx="976">
                  <c:v>1872.51</c:v>
                </c:pt>
                <c:pt idx="977">
                  <c:v>32200</c:v>
                </c:pt>
                <c:pt idx="980">
                  <c:v>4395</c:v>
                </c:pt>
                <c:pt idx="981">
                  <c:v>180650</c:v>
                </c:pt>
                <c:pt idx="982">
                  <c:v>16250</c:v>
                </c:pt>
                <c:pt idx="983">
                  <c:v>19800</c:v>
                </c:pt>
                <c:pt idx="985">
                  <c:v>7302.77</c:v>
                </c:pt>
                <c:pt idx="986">
                  <c:v>399.96</c:v>
                </c:pt>
                <c:pt idx="987">
                  <c:v>5400</c:v>
                </c:pt>
                <c:pt idx="988">
                  <c:v>9000</c:v>
                </c:pt>
                <c:pt idx="989">
                  <c:v>75520</c:v>
                </c:pt>
                <c:pt idx="990">
                  <c:v>767579.81</c:v>
                </c:pt>
                <c:pt idx="991">
                  <c:v>1598.4</c:v>
                </c:pt>
                <c:pt idx="992">
                  <c:v>179.52</c:v>
                </c:pt>
                <c:pt idx="993">
                  <c:v>110</c:v>
                </c:pt>
                <c:pt idx="995">
                  <c:v>7800</c:v>
                </c:pt>
                <c:pt idx="996">
                  <c:v>10500</c:v>
                </c:pt>
                <c:pt idx="997">
                  <c:v>11522.51</c:v>
                </c:pt>
                <c:pt idx="998">
                  <c:v>17694.400000000001</c:v>
                </c:pt>
                <c:pt idx="999">
                  <c:v>18946.03</c:v>
                </c:pt>
                <c:pt idx="1000">
                  <c:v>1287.5</c:v>
                </c:pt>
                <c:pt idx="1001">
                  <c:v>2825.67</c:v>
                </c:pt>
                <c:pt idx="1002">
                  <c:v>1064.27</c:v>
                </c:pt>
                <c:pt idx="1003">
                  <c:v>3829.12</c:v>
                </c:pt>
                <c:pt idx="1004">
                  <c:v>2230.4899999999998</c:v>
                </c:pt>
                <c:pt idx="1005">
                  <c:v>2631.84</c:v>
                </c:pt>
                <c:pt idx="1006">
                  <c:v>4947.7700000000004</c:v>
                </c:pt>
                <c:pt idx="1007">
                  <c:v>2579.2800000000002</c:v>
                </c:pt>
                <c:pt idx="1008">
                  <c:v>12958.33</c:v>
                </c:pt>
                <c:pt idx="1009">
                  <c:v>10197.219999999999</c:v>
                </c:pt>
                <c:pt idx="1010">
                  <c:v>7337.15</c:v>
                </c:pt>
                <c:pt idx="1011">
                  <c:v>13739.81</c:v>
                </c:pt>
                <c:pt idx="1012">
                  <c:v>3203.16</c:v>
                </c:pt>
                <c:pt idx="1013">
                  <c:v>1351.97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7975.01</c:v>
                </c:pt>
                <c:pt idx="1018">
                  <c:v>1017.72</c:v>
                </c:pt>
                <c:pt idx="1019">
                  <c:v>24226.6</c:v>
                </c:pt>
                <c:pt idx="1020">
                  <c:v>6950</c:v>
                </c:pt>
                <c:pt idx="1021">
                  <c:v>27013.79</c:v>
                </c:pt>
                <c:pt idx="1022">
                  <c:v>78372.73</c:v>
                </c:pt>
                <c:pt idx="1023">
                  <c:v>755.67</c:v>
                </c:pt>
                <c:pt idx="1024">
                  <c:v>225.82</c:v>
                </c:pt>
                <c:pt idx="1025">
                  <c:v>1052.8900000000001</c:v>
                </c:pt>
                <c:pt idx="1026">
                  <c:v>9000</c:v>
                </c:pt>
                <c:pt idx="1027">
                  <c:v>15702.5</c:v>
                </c:pt>
                <c:pt idx="1028">
                  <c:v>251.69</c:v>
                </c:pt>
                <c:pt idx="1029">
                  <c:v>28480.400000000001</c:v>
                </c:pt>
                <c:pt idx="1030">
                  <c:v>16589</c:v>
                </c:pt>
                <c:pt idx="1031">
                  <c:v>125428.8</c:v>
                </c:pt>
                <c:pt idx="1032">
                  <c:v>2638.75</c:v>
                </c:pt>
                <c:pt idx="1033">
                  <c:v>0</c:v>
                </c:pt>
                <c:pt idx="1034">
                  <c:v>34252</c:v>
                </c:pt>
                <c:pt idx="1035">
                  <c:v>61.5</c:v>
                </c:pt>
                <c:pt idx="1036">
                  <c:v>3900</c:v>
                </c:pt>
                <c:pt idx="1037">
                  <c:v>14306.5</c:v>
                </c:pt>
                <c:pt idx="1038">
                  <c:v>0</c:v>
                </c:pt>
                <c:pt idx="1039">
                  <c:v>179.52</c:v>
                </c:pt>
                <c:pt idx="1040">
                  <c:v>12399.43</c:v>
                </c:pt>
                <c:pt idx="1041">
                  <c:v>40496.9</c:v>
                </c:pt>
                <c:pt idx="1042">
                  <c:v>0</c:v>
                </c:pt>
                <c:pt idx="1043">
                  <c:v>0</c:v>
                </c:pt>
                <c:pt idx="1045">
                  <c:v>280</c:v>
                </c:pt>
                <c:pt idx="1046">
                  <c:v>3340</c:v>
                </c:pt>
                <c:pt idx="1047">
                  <c:v>25000</c:v>
                </c:pt>
                <c:pt idx="1048">
                  <c:v>4280</c:v>
                </c:pt>
                <c:pt idx="1049">
                  <c:v>39093.57</c:v>
                </c:pt>
                <c:pt idx="1050">
                  <c:v>121634.85</c:v>
                </c:pt>
                <c:pt idx="1051">
                  <c:v>35580.61</c:v>
                </c:pt>
                <c:pt idx="1052">
                  <c:v>0</c:v>
                </c:pt>
                <c:pt idx="1053">
                  <c:v>897.47</c:v>
                </c:pt>
                <c:pt idx="1054">
                  <c:v>23260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508.86</c:v>
                </c:pt>
                <c:pt idx="1059">
                  <c:v>179.52</c:v>
                </c:pt>
                <c:pt idx="1060">
                  <c:v>5161.3500000000004</c:v>
                </c:pt>
                <c:pt idx="1061">
                  <c:v>12750</c:v>
                </c:pt>
                <c:pt idx="1062">
                  <c:v>131839.70000000001</c:v>
                </c:pt>
                <c:pt idx="1063">
                  <c:v>33805.300000000003</c:v>
                </c:pt>
                <c:pt idx="1064">
                  <c:v>0</c:v>
                </c:pt>
                <c:pt idx="1065">
                  <c:v>12000</c:v>
                </c:pt>
                <c:pt idx="1066">
                  <c:v>2926.13</c:v>
                </c:pt>
                <c:pt idx="1067">
                  <c:v>19338</c:v>
                </c:pt>
                <c:pt idx="1068">
                  <c:v>0</c:v>
                </c:pt>
                <c:pt idx="1069">
                  <c:v>9015</c:v>
                </c:pt>
                <c:pt idx="1070">
                  <c:v>25000</c:v>
                </c:pt>
                <c:pt idx="1071">
                  <c:v>7578</c:v>
                </c:pt>
                <c:pt idx="1072">
                  <c:v>5000</c:v>
                </c:pt>
                <c:pt idx="1073">
                  <c:v>40000</c:v>
                </c:pt>
                <c:pt idx="1074">
                  <c:v>0</c:v>
                </c:pt>
                <c:pt idx="1075">
                  <c:v>102170</c:v>
                </c:pt>
                <c:pt idx="1076">
                  <c:v>0</c:v>
                </c:pt>
                <c:pt idx="1077">
                  <c:v>12000</c:v>
                </c:pt>
                <c:pt idx="1078">
                  <c:v>0</c:v>
                </c:pt>
                <c:pt idx="1079">
                  <c:v>6375</c:v>
                </c:pt>
                <c:pt idx="1080">
                  <c:v>10000</c:v>
                </c:pt>
                <c:pt idx="1081">
                  <c:v>13000</c:v>
                </c:pt>
                <c:pt idx="1082">
                  <c:v>40000</c:v>
                </c:pt>
                <c:pt idx="1083">
                  <c:v>5393.5</c:v>
                </c:pt>
                <c:pt idx="1084">
                  <c:v>13510</c:v>
                </c:pt>
                <c:pt idx="1085">
                  <c:v>12320.18</c:v>
                </c:pt>
                <c:pt idx="1086">
                  <c:v>6500</c:v>
                </c:pt>
                <c:pt idx="1087">
                  <c:v>0</c:v>
                </c:pt>
                <c:pt idx="1088">
                  <c:v>160748.64000000001</c:v>
                </c:pt>
                <c:pt idx="1089">
                  <c:v>1407.7</c:v>
                </c:pt>
                <c:pt idx="1090">
                  <c:v>7501</c:v>
                </c:pt>
                <c:pt idx="1091">
                  <c:v>928.45</c:v>
                </c:pt>
                <c:pt idx="1092">
                  <c:v>2500</c:v>
                </c:pt>
                <c:pt idx="1093">
                  <c:v>6813.65</c:v>
                </c:pt>
                <c:pt idx="1094">
                  <c:v>485965.69</c:v>
                </c:pt>
                <c:pt idx="1095">
                  <c:v>5000</c:v>
                </c:pt>
                <c:pt idx="1096">
                  <c:v>20000</c:v>
                </c:pt>
                <c:pt idx="1097">
                  <c:v>28480.400000000001</c:v>
                </c:pt>
                <c:pt idx="1098">
                  <c:v>1299.82</c:v>
                </c:pt>
                <c:pt idx="1099">
                  <c:v>2569.94</c:v>
                </c:pt>
                <c:pt idx="1100">
                  <c:v>12221.88</c:v>
                </c:pt>
                <c:pt idx="1101">
                  <c:v>706451.76</c:v>
                </c:pt>
                <c:pt idx="1103">
                  <c:v>3000</c:v>
                </c:pt>
                <c:pt idx="1104">
                  <c:v>122950.7</c:v>
                </c:pt>
                <c:pt idx="1105">
                  <c:v>27870</c:v>
                </c:pt>
                <c:pt idx="1106">
                  <c:v>1364.96</c:v>
                </c:pt>
                <c:pt idx="1107">
                  <c:v>13012.85</c:v>
                </c:pt>
                <c:pt idx="1108">
                  <c:v>14603.33</c:v>
                </c:pt>
                <c:pt idx="1109">
                  <c:v>60700</c:v>
                </c:pt>
                <c:pt idx="1110">
                  <c:v>16064.08</c:v>
                </c:pt>
                <c:pt idx="1111">
                  <c:v>35000</c:v>
                </c:pt>
                <c:pt idx="1112">
                  <c:v>252215.44</c:v>
                </c:pt>
                <c:pt idx="1113">
                  <c:v>514818.38</c:v>
                </c:pt>
                <c:pt idx="1114">
                  <c:v>7080</c:v>
                </c:pt>
                <c:pt idx="1115">
                  <c:v>14500</c:v>
                </c:pt>
                <c:pt idx="1116">
                  <c:v>47580</c:v>
                </c:pt>
                <c:pt idx="1117">
                  <c:v>30500</c:v>
                </c:pt>
                <c:pt idx="1118">
                  <c:v>14500</c:v>
                </c:pt>
                <c:pt idx="1119">
                  <c:v>6100</c:v>
                </c:pt>
                <c:pt idx="1120">
                  <c:v>31746.23</c:v>
                </c:pt>
                <c:pt idx="1121">
                  <c:v>31900</c:v>
                </c:pt>
                <c:pt idx="1122">
                  <c:v>5800</c:v>
                </c:pt>
                <c:pt idx="1123">
                  <c:v>37549.81</c:v>
                </c:pt>
                <c:pt idx="1124">
                  <c:v>987.16</c:v>
                </c:pt>
                <c:pt idx="1125">
                  <c:v>11600</c:v>
                </c:pt>
                <c:pt idx="1126">
                  <c:v>25620</c:v>
                </c:pt>
                <c:pt idx="1127">
                  <c:v>16520</c:v>
                </c:pt>
                <c:pt idx="1128">
                  <c:v>2440</c:v>
                </c:pt>
                <c:pt idx="1129">
                  <c:v>4720</c:v>
                </c:pt>
                <c:pt idx="1130">
                  <c:v>17400</c:v>
                </c:pt>
                <c:pt idx="1131">
                  <c:v>1340.75</c:v>
                </c:pt>
                <c:pt idx="1132">
                  <c:v>47698.25</c:v>
                </c:pt>
                <c:pt idx="1133">
                  <c:v>964.18</c:v>
                </c:pt>
                <c:pt idx="1134">
                  <c:v>11800</c:v>
                </c:pt>
                <c:pt idx="1135">
                  <c:v>3744.7</c:v>
                </c:pt>
                <c:pt idx="1136">
                  <c:v>5800</c:v>
                </c:pt>
                <c:pt idx="1137">
                  <c:v>17700</c:v>
                </c:pt>
                <c:pt idx="1138">
                  <c:v>74961.17</c:v>
                </c:pt>
                <c:pt idx="1139">
                  <c:v>26100</c:v>
                </c:pt>
                <c:pt idx="1140">
                  <c:v>518.78</c:v>
                </c:pt>
                <c:pt idx="1141">
                  <c:v>11600</c:v>
                </c:pt>
                <c:pt idx="1142">
                  <c:v>297.60000000000002</c:v>
                </c:pt>
                <c:pt idx="1143">
                  <c:v>17110</c:v>
                </c:pt>
                <c:pt idx="1144">
                  <c:v>13916.66</c:v>
                </c:pt>
                <c:pt idx="1145">
                  <c:v>4000</c:v>
                </c:pt>
                <c:pt idx="1146">
                  <c:v>8449.92</c:v>
                </c:pt>
                <c:pt idx="1147">
                  <c:v>10620</c:v>
                </c:pt>
                <c:pt idx="1149">
                  <c:v>10980</c:v>
                </c:pt>
                <c:pt idx="1150">
                  <c:v>14500</c:v>
                </c:pt>
                <c:pt idx="1151">
                  <c:v>26100</c:v>
                </c:pt>
                <c:pt idx="1152">
                  <c:v>37503</c:v>
                </c:pt>
                <c:pt idx="1153">
                  <c:v>13420</c:v>
                </c:pt>
                <c:pt idx="1154">
                  <c:v>1284.97</c:v>
                </c:pt>
                <c:pt idx="1155">
                  <c:v>1284.97</c:v>
                </c:pt>
                <c:pt idx="1156">
                  <c:v>1284.97</c:v>
                </c:pt>
                <c:pt idx="1157">
                  <c:v>2664.4</c:v>
                </c:pt>
                <c:pt idx="1158">
                  <c:v>2664.4</c:v>
                </c:pt>
                <c:pt idx="1159">
                  <c:v>26520</c:v>
                </c:pt>
                <c:pt idx="1160">
                  <c:v>40407.9</c:v>
                </c:pt>
                <c:pt idx="1161">
                  <c:v>20740</c:v>
                </c:pt>
                <c:pt idx="1162">
                  <c:v>9760</c:v>
                </c:pt>
                <c:pt idx="1163">
                  <c:v>4880</c:v>
                </c:pt>
                <c:pt idx="1164">
                  <c:v>11800</c:v>
                </c:pt>
                <c:pt idx="1165">
                  <c:v>10620</c:v>
                </c:pt>
                <c:pt idx="1166">
                  <c:v>228752.1</c:v>
                </c:pt>
                <c:pt idx="1167">
                  <c:v>0</c:v>
                </c:pt>
                <c:pt idx="1168">
                  <c:v>18286.04</c:v>
                </c:pt>
                <c:pt idx="1169">
                  <c:v>702.54</c:v>
                </c:pt>
                <c:pt idx="1170">
                  <c:v>81109</c:v>
                </c:pt>
                <c:pt idx="1171">
                  <c:v>11845.68</c:v>
                </c:pt>
                <c:pt idx="1172">
                  <c:v>1393.74</c:v>
                </c:pt>
                <c:pt idx="1173">
                  <c:v>84880.94</c:v>
                </c:pt>
                <c:pt idx="1174">
                  <c:v>5502.33</c:v>
                </c:pt>
                <c:pt idx="1175">
                  <c:v>6750.87</c:v>
                </c:pt>
                <c:pt idx="1176">
                  <c:v>1066.2</c:v>
                </c:pt>
                <c:pt idx="1177">
                  <c:v>11038.14</c:v>
                </c:pt>
                <c:pt idx="1178">
                  <c:v>16250</c:v>
                </c:pt>
                <c:pt idx="1179">
                  <c:v>6000</c:v>
                </c:pt>
                <c:pt idx="1180">
                  <c:v>1960.68</c:v>
                </c:pt>
                <c:pt idx="1181">
                  <c:v>0</c:v>
                </c:pt>
                <c:pt idx="1182">
                  <c:v>235000</c:v>
                </c:pt>
                <c:pt idx="1183">
                  <c:v>1263291.6299999999</c:v>
                </c:pt>
                <c:pt idx="1184">
                  <c:v>722.8</c:v>
                </c:pt>
                <c:pt idx="1185">
                  <c:v>5000</c:v>
                </c:pt>
                <c:pt idx="1186">
                  <c:v>3150</c:v>
                </c:pt>
                <c:pt idx="1187">
                  <c:v>10500</c:v>
                </c:pt>
                <c:pt idx="1188">
                  <c:v>1095.6500000000001</c:v>
                </c:pt>
                <c:pt idx="1189">
                  <c:v>3000</c:v>
                </c:pt>
                <c:pt idx="1190">
                  <c:v>379.59</c:v>
                </c:pt>
                <c:pt idx="1191">
                  <c:v>3554.76</c:v>
                </c:pt>
                <c:pt idx="1192">
                  <c:v>897.47</c:v>
                </c:pt>
                <c:pt idx="1193">
                  <c:v>4466</c:v>
                </c:pt>
                <c:pt idx="1194">
                  <c:v>10188</c:v>
                </c:pt>
                <c:pt idx="1195">
                  <c:v>9491.77</c:v>
                </c:pt>
                <c:pt idx="1196">
                  <c:v>12664.48</c:v>
                </c:pt>
                <c:pt idx="1197">
                  <c:v>3122.63</c:v>
                </c:pt>
                <c:pt idx="1198">
                  <c:v>395.84</c:v>
                </c:pt>
                <c:pt idx="1199">
                  <c:v>1800</c:v>
                </c:pt>
                <c:pt idx="1200">
                  <c:v>2327.7199999999998</c:v>
                </c:pt>
                <c:pt idx="1201">
                  <c:v>1635.12</c:v>
                </c:pt>
                <c:pt idx="1202">
                  <c:v>37200</c:v>
                </c:pt>
                <c:pt idx="1203">
                  <c:v>178747.5</c:v>
                </c:pt>
                <c:pt idx="1204">
                  <c:v>0</c:v>
                </c:pt>
                <c:pt idx="1205">
                  <c:v>1336</c:v>
                </c:pt>
                <c:pt idx="1206">
                  <c:v>33119</c:v>
                </c:pt>
                <c:pt idx="1207">
                  <c:v>7080</c:v>
                </c:pt>
                <c:pt idx="1208">
                  <c:v>4376.42</c:v>
                </c:pt>
                <c:pt idx="1209">
                  <c:v>85.22</c:v>
                </c:pt>
                <c:pt idx="1210">
                  <c:v>28287.599999999999</c:v>
                </c:pt>
                <c:pt idx="1211">
                  <c:v>2129.48</c:v>
                </c:pt>
                <c:pt idx="1212">
                  <c:v>4734.84</c:v>
                </c:pt>
                <c:pt idx="1213">
                  <c:v>6500</c:v>
                </c:pt>
                <c:pt idx="1214">
                  <c:v>161</c:v>
                </c:pt>
                <c:pt idx="1215">
                  <c:v>18000</c:v>
                </c:pt>
                <c:pt idx="1216">
                  <c:v>1917.39</c:v>
                </c:pt>
                <c:pt idx="1217">
                  <c:v>32250</c:v>
                </c:pt>
                <c:pt idx="1218">
                  <c:v>8797.83</c:v>
                </c:pt>
                <c:pt idx="1219">
                  <c:v>22548.62</c:v>
                </c:pt>
                <c:pt idx="1220">
                  <c:v>9440</c:v>
                </c:pt>
                <c:pt idx="1221">
                  <c:v>15570</c:v>
                </c:pt>
                <c:pt idx="1222">
                  <c:v>44640</c:v>
                </c:pt>
                <c:pt idx="1223">
                  <c:v>5043.84</c:v>
                </c:pt>
                <c:pt idx="1224">
                  <c:v>6304.8</c:v>
                </c:pt>
                <c:pt idx="1225">
                  <c:v>27360</c:v>
                </c:pt>
                <c:pt idx="1226">
                  <c:v>18561.400000000001</c:v>
                </c:pt>
                <c:pt idx="1227">
                  <c:v>4254</c:v>
                </c:pt>
                <c:pt idx="1228">
                  <c:v>0</c:v>
                </c:pt>
                <c:pt idx="1229">
                  <c:v>1284.97</c:v>
                </c:pt>
                <c:pt idx="1230">
                  <c:v>8260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64974</c:v>
                </c:pt>
                <c:pt idx="1236">
                  <c:v>5245</c:v>
                </c:pt>
                <c:pt idx="1237">
                  <c:v>16903.05</c:v>
                </c:pt>
                <c:pt idx="1238">
                  <c:v>14000.7</c:v>
                </c:pt>
                <c:pt idx="1239">
                  <c:v>3106.2</c:v>
                </c:pt>
                <c:pt idx="1240">
                  <c:v>2715</c:v>
                </c:pt>
                <c:pt idx="1241">
                  <c:v>6060</c:v>
                </c:pt>
                <c:pt idx="1242">
                  <c:v>15566.07</c:v>
                </c:pt>
                <c:pt idx="1243">
                  <c:v>928.45</c:v>
                </c:pt>
                <c:pt idx="1244">
                  <c:v>928.45</c:v>
                </c:pt>
                <c:pt idx="1245">
                  <c:v>928.45</c:v>
                </c:pt>
                <c:pt idx="1246">
                  <c:v>7308</c:v>
                </c:pt>
                <c:pt idx="1247">
                  <c:v>8000</c:v>
                </c:pt>
                <c:pt idx="1248">
                  <c:v>667.5</c:v>
                </c:pt>
                <c:pt idx="1249">
                  <c:v>347.5</c:v>
                </c:pt>
                <c:pt idx="1250">
                  <c:v>207473.14</c:v>
                </c:pt>
                <c:pt idx="1251">
                  <c:v>2500</c:v>
                </c:pt>
                <c:pt idx="1252">
                  <c:v>10500</c:v>
                </c:pt>
                <c:pt idx="1253">
                  <c:v>4254</c:v>
                </c:pt>
                <c:pt idx="1254">
                  <c:v>116190.8</c:v>
                </c:pt>
                <c:pt idx="1255">
                  <c:v>6199.72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196413.97</c:v>
                </c:pt>
                <c:pt idx="1262">
                  <c:v>413935.05</c:v>
                </c:pt>
                <c:pt idx="1263">
                  <c:v>11800</c:v>
                </c:pt>
                <c:pt idx="1264">
                  <c:v>18275.84</c:v>
                </c:pt>
                <c:pt idx="1265">
                  <c:v>18561.400000000001</c:v>
                </c:pt>
                <c:pt idx="1266">
                  <c:v>82447.53</c:v>
                </c:pt>
                <c:pt idx="1267">
                  <c:v>2889</c:v>
                </c:pt>
                <c:pt idx="1268">
                  <c:v>916</c:v>
                </c:pt>
                <c:pt idx="1269">
                  <c:v>9256</c:v>
                </c:pt>
                <c:pt idx="1270">
                  <c:v>24414.3</c:v>
                </c:pt>
                <c:pt idx="1271">
                  <c:v>482.41</c:v>
                </c:pt>
                <c:pt idx="1272">
                  <c:v>8797.83</c:v>
                </c:pt>
                <c:pt idx="1273">
                  <c:v>16308.76</c:v>
                </c:pt>
                <c:pt idx="1274">
                  <c:v>33000</c:v>
                </c:pt>
                <c:pt idx="1275">
                  <c:v>33000</c:v>
                </c:pt>
                <c:pt idx="1276">
                  <c:v>26950.28</c:v>
                </c:pt>
                <c:pt idx="1277">
                  <c:v>141693.71</c:v>
                </c:pt>
                <c:pt idx="1278">
                  <c:v>2996</c:v>
                </c:pt>
                <c:pt idx="1279">
                  <c:v>4513</c:v>
                </c:pt>
                <c:pt idx="1280">
                  <c:v>3130</c:v>
                </c:pt>
                <c:pt idx="1281">
                  <c:v>6743</c:v>
                </c:pt>
                <c:pt idx="1282">
                  <c:v>10363</c:v>
                </c:pt>
                <c:pt idx="1283">
                  <c:v>5045.04</c:v>
                </c:pt>
                <c:pt idx="1284">
                  <c:v>600</c:v>
                </c:pt>
                <c:pt idx="1285">
                  <c:v>540</c:v>
                </c:pt>
                <c:pt idx="1286">
                  <c:v>1510</c:v>
                </c:pt>
                <c:pt idx="1287">
                  <c:v>320</c:v>
                </c:pt>
                <c:pt idx="1288">
                  <c:v>280</c:v>
                </c:pt>
                <c:pt idx="1289">
                  <c:v>1580</c:v>
                </c:pt>
                <c:pt idx="1290">
                  <c:v>520</c:v>
                </c:pt>
                <c:pt idx="1291">
                  <c:v>440</c:v>
                </c:pt>
                <c:pt idx="1292">
                  <c:v>0</c:v>
                </c:pt>
                <c:pt idx="1293">
                  <c:v>440</c:v>
                </c:pt>
                <c:pt idx="1294">
                  <c:v>240</c:v>
                </c:pt>
                <c:pt idx="1295">
                  <c:v>26588.63</c:v>
                </c:pt>
                <c:pt idx="1296">
                  <c:v>2996.0010000000002</c:v>
                </c:pt>
                <c:pt idx="1297">
                  <c:v>159370.20000000001</c:v>
                </c:pt>
                <c:pt idx="1298">
                  <c:v>11046.13</c:v>
                </c:pt>
                <c:pt idx="1299">
                  <c:v>5600.12</c:v>
                </c:pt>
                <c:pt idx="1300">
                  <c:v>4102.54</c:v>
                </c:pt>
                <c:pt idx="1301">
                  <c:v>4320</c:v>
                </c:pt>
                <c:pt idx="1302">
                  <c:v>0</c:v>
                </c:pt>
                <c:pt idx="1303">
                  <c:v>0</c:v>
                </c:pt>
                <c:pt idx="1304">
                  <c:v>179361.17</c:v>
                </c:pt>
                <c:pt idx="1305">
                  <c:v>30080.48</c:v>
                </c:pt>
                <c:pt idx="1306">
                  <c:v>1769.44</c:v>
                </c:pt>
                <c:pt idx="1307">
                  <c:v>9363.19</c:v>
                </c:pt>
                <c:pt idx="1308">
                  <c:v>4000</c:v>
                </c:pt>
                <c:pt idx="1309">
                  <c:v>7800</c:v>
                </c:pt>
                <c:pt idx="1310">
                  <c:v>736000</c:v>
                </c:pt>
                <c:pt idx="1311">
                  <c:v>36954.53</c:v>
                </c:pt>
                <c:pt idx="1312">
                  <c:v>0</c:v>
                </c:pt>
                <c:pt idx="1313">
                  <c:v>266800</c:v>
                </c:pt>
                <c:pt idx="1314">
                  <c:v>23840</c:v>
                </c:pt>
                <c:pt idx="1315">
                  <c:v>11222.5</c:v>
                </c:pt>
                <c:pt idx="1316">
                  <c:v>19679.650000000001</c:v>
                </c:pt>
                <c:pt idx="1318">
                  <c:v>28462.16</c:v>
                </c:pt>
                <c:pt idx="1319">
                  <c:v>3900</c:v>
                </c:pt>
                <c:pt idx="1320">
                  <c:v>9100</c:v>
                </c:pt>
                <c:pt idx="1321">
                  <c:v>4040.21</c:v>
                </c:pt>
                <c:pt idx="1322">
                  <c:v>5882.76</c:v>
                </c:pt>
                <c:pt idx="1323">
                  <c:v>238.42</c:v>
                </c:pt>
                <c:pt idx="1324">
                  <c:v>192.78</c:v>
                </c:pt>
                <c:pt idx="1325">
                  <c:v>36.049999999999997</c:v>
                </c:pt>
                <c:pt idx="1326">
                  <c:v>861.07</c:v>
                </c:pt>
                <c:pt idx="1327">
                  <c:v>0</c:v>
                </c:pt>
                <c:pt idx="1328">
                  <c:v>0</c:v>
                </c:pt>
                <c:pt idx="1329">
                  <c:v>179.52</c:v>
                </c:pt>
                <c:pt idx="1330">
                  <c:v>43117.599999999999</c:v>
                </c:pt>
                <c:pt idx="1331">
                  <c:v>378446.11</c:v>
                </c:pt>
                <c:pt idx="1332">
                  <c:v>6600</c:v>
                </c:pt>
                <c:pt idx="1333">
                  <c:v>0</c:v>
                </c:pt>
                <c:pt idx="1334">
                  <c:v>35000</c:v>
                </c:pt>
                <c:pt idx="1335">
                  <c:v>180515.03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37490</c:v>
                </c:pt>
                <c:pt idx="1340">
                  <c:v>8920</c:v>
                </c:pt>
                <c:pt idx="1341">
                  <c:v>7000</c:v>
                </c:pt>
                <c:pt idx="1342">
                  <c:v>6690</c:v>
                </c:pt>
                <c:pt idx="1343">
                  <c:v>19968</c:v>
                </c:pt>
                <c:pt idx="1344">
                  <c:v>219536.9</c:v>
                </c:pt>
                <c:pt idx="1345">
                  <c:v>208069.18</c:v>
                </c:pt>
                <c:pt idx="1346">
                  <c:v>1934.86</c:v>
                </c:pt>
                <c:pt idx="1347">
                  <c:v>43492.9</c:v>
                </c:pt>
                <c:pt idx="1348">
                  <c:v>19800</c:v>
                </c:pt>
                <c:pt idx="1349">
                  <c:v>19800</c:v>
                </c:pt>
                <c:pt idx="1350">
                  <c:v>11490</c:v>
                </c:pt>
                <c:pt idx="1351">
                  <c:v>23640</c:v>
                </c:pt>
                <c:pt idx="1352">
                  <c:v>52498</c:v>
                </c:pt>
                <c:pt idx="1353">
                  <c:v>2520</c:v>
                </c:pt>
                <c:pt idx="1354">
                  <c:v>7459.6</c:v>
                </c:pt>
                <c:pt idx="1356">
                  <c:v>0</c:v>
                </c:pt>
                <c:pt idx="1357">
                  <c:v>2257.94</c:v>
                </c:pt>
                <c:pt idx="1358">
                  <c:v>3198.18</c:v>
                </c:pt>
                <c:pt idx="1359">
                  <c:v>0</c:v>
                </c:pt>
                <c:pt idx="1360">
                  <c:v>950</c:v>
                </c:pt>
                <c:pt idx="1361">
                  <c:v>950</c:v>
                </c:pt>
                <c:pt idx="1362">
                  <c:v>63210.3</c:v>
                </c:pt>
                <c:pt idx="1363">
                  <c:v>71538</c:v>
                </c:pt>
                <c:pt idx="1364">
                  <c:v>58816.07</c:v>
                </c:pt>
                <c:pt idx="1365">
                  <c:v>3672</c:v>
                </c:pt>
                <c:pt idx="1366">
                  <c:v>8444.81</c:v>
                </c:pt>
                <c:pt idx="1367">
                  <c:v>104895</c:v>
                </c:pt>
                <c:pt idx="1368">
                  <c:v>3000</c:v>
                </c:pt>
                <c:pt idx="1369">
                  <c:v>3750</c:v>
                </c:pt>
                <c:pt idx="1370">
                  <c:v>0</c:v>
                </c:pt>
                <c:pt idx="1371">
                  <c:v>0</c:v>
                </c:pt>
                <c:pt idx="1372">
                  <c:v>10003.19</c:v>
                </c:pt>
                <c:pt idx="1373">
                  <c:v>526.4</c:v>
                </c:pt>
                <c:pt idx="1374">
                  <c:v>1875</c:v>
                </c:pt>
                <c:pt idx="1375">
                  <c:v>1875</c:v>
                </c:pt>
                <c:pt idx="1376">
                  <c:v>1875</c:v>
                </c:pt>
                <c:pt idx="1377">
                  <c:v>126</c:v>
                </c:pt>
                <c:pt idx="1378">
                  <c:v>280</c:v>
                </c:pt>
                <c:pt idx="1379">
                  <c:v>95223.69</c:v>
                </c:pt>
                <c:pt idx="1380">
                  <c:v>656</c:v>
                </c:pt>
                <c:pt idx="1381">
                  <c:v>1605.12</c:v>
                </c:pt>
                <c:pt idx="1382">
                  <c:v>5784.5</c:v>
                </c:pt>
                <c:pt idx="1383">
                  <c:v>0</c:v>
                </c:pt>
                <c:pt idx="1384">
                  <c:v>0</c:v>
                </c:pt>
                <c:pt idx="1385">
                  <c:v>86349.63</c:v>
                </c:pt>
                <c:pt idx="1386">
                  <c:v>7005.27</c:v>
                </c:pt>
                <c:pt idx="1387">
                  <c:v>0</c:v>
                </c:pt>
                <c:pt idx="1388">
                  <c:v>3000</c:v>
                </c:pt>
                <c:pt idx="1389">
                  <c:v>1875</c:v>
                </c:pt>
                <c:pt idx="1390">
                  <c:v>1875</c:v>
                </c:pt>
                <c:pt idx="1391">
                  <c:v>3750</c:v>
                </c:pt>
                <c:pt idx="1392">
                  <c:v>35284.550000000003</c:v>
                </c:pt>
                <c:pt idx="1393">
                  <c:v>453</c:v>
                </c:pt>
                <c:pt idx="1394">
                  <c:v>440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7335.72</c:v>
                </c:pt>
                <c:pt idx="1399">
                  <c:v>14112</c:v>
                </c:pt>
                <c:pt idx="1400">
                  <c:v>28350</c:v>
                </c:pt>
                <c:pt idx="1401">
                  <c:v>31908.83</c:v>
                </c:pt>
                <c:pt idx="1402">
                  <c:v>181642.83</c:v>
                </c:pt>
                <c:pt idx="1403">
                  <c:v>343056.35</c:v>
                </c:pt>
                <c:pt idx="1404">
                  <c:v>46493.52</c:v>
                </c:pt>
                <c:pt idx="1405">
                  <c:v>1009.33</c:v>
                </c:pt>
                <c:pt idx="1406">
                  <c:v>5000</c:v>
                </c:pt>
                <c:pt idx="1407">
                  <c:v>7704</c:v>
                </c:pt>
                <c:pt idx="1408">
                  <c:v>220</c:v>
                </c:pt>
                <c:pt idx="1409">
                  <c:v>7443.69</c:v>
                </c:pt>
                <c:pt idx="1410">
                  <c:v>712.57</c:v>
                </c:pt>
                <c:pt idx="1411">
                  <c:v>33418.01</c:v>
                </c:pt>
                <c:pt idx="1412">
                  <c:v>49990</c:v>
                </c:pt>
                <c:pt idx="1413">
                  <c:v>2228.2199999999998</c:v>
                </c:pt>
                <c:pt idx="1414">
                  <c:v>2228.2199999999998</c:v>
                </c:pt>
                <c:pt idx="1415">
                  <c:v>3900</c:v>
                </c:pt>
                <c:pt idx="1416">
                  <c:v>508.86</c:v>
                </c:pt>
                <c:pt idx="1417">
                  <c:v>52.44</c:v>
                </c:pt>
                <c:pt idx="1418">
                  <c:v>3230.68</c:v>
                </c:pt>
                <c:pt idx="1419">
                  <c:v>28350</c:v>
                </c:pt>
                <c:pt idx="1420">
                  <c:v>1390</c:v>
                </c:pt>
                <c:pt idx="1421">
                  <c:v>11240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23881</c:v>
                </c:pt>
                <c:pt idx="1429">
                  <c:v>22802.639999999999</c:v>
                </c:pt>
                <c:pt idx="1430">
                  <c:v>78387.64</c:v>
                </c:pt>
                <c:pt idx="1431">
                  <c:v>39946.9</c:v>
                </c:pt>
                <c:pt idx="1432">
                  <c:v>0</c:v>
                </c:pt>
                <c:pt idx="1433">
                  <c:v>250015.9</c:v>
                </c:pt>
                <c:pt idx="1434">
                  <c:v>439</c:v>
                </c:pt>
                <c:pt idx="1435" formatCode="&quot;R$&quot;#,##0.00_);[Red]\(&quot;R$&quot;#,##0.00\)">
                  <c:v>2440</c:v>
                </c:pt>
                <c:pt idx="1436">
                  <c:v>2651</c:v>
                </c:pt>
                <c:pt idx="1437">
                  <c:v>7020</c:v>
                </c:pt>
                <c:pt idx="1438">
                  <c:v>5000</c:v>
                </c:pt>
                <c:pt idx="1439">
                  <c:v>1200</c:v>
                </c:pt>
                <c:pt idx="1440">
                  <c:v>33500</c:v>
                </c:pt>
                <c:pt idx="1441">
                  <c:v>41134.9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6080</c:v>
                </c:pt>
                <c:pt idx="1449">
                  <c:v>4452</c:v>
                </c:pt>
                <c:pt idx="1450">
                  <c:v>12276.34</c:v>
                </c:pt>
                <c:pt idx="1451">
                  <c:v>5780</c:v>
                </c:pt>
                <c:pt idx="1452">
                  <c:v>1603.93</c:v>
                </c:pt>
                <c:pt idx="1453">
                  <c:v>4229.7</c:v>
                </c:pt>
                <c:pt idx="1454">
                  <c:v>761698.37</c:v>
                </c:pt>
                <c:pt idx="1455">
                  <c:v>17769.47</c:v>
                </c:pt>
                <c:pt idx="1456">
                  <c:v>656.6</c:v>
                </c:pt>
                <c:pt idx="1457">
                  <c:v>225.82</c:v>
                </c:pt>
                <c:pt idx="1458">
                  <c:v>243.07</c:v>
                </c:pt>
                <c:pt idx="1459">
                  <c:v>234.45</c:v>
                </c:pt>
                <c:pt idx="1460">
                  <c:v>3351.2</c:v>
                </c:pt>
                <c:pt idx="1461">
                  <c:v>976.42</c:v>
                </c:pt>
                <c:pt idx="1462">
                  <c:v>7879.09</c:v>
                </c:pt>
                <c:pt idx="1463">
                  <c:v>7541.35</c:v>
                </c:pt>
                <c:pt idx="1464">
                  <c:v>820.86</c:v>
                </c:pt>
                <c:pt idx="1465">
                  <c:v>940.22</c:v>
                </c:pt>
                <c:pt idx="1466">
                  <c:v>456.17</c:v>
                </c:pt>
                <c:pt idx="1467">
                  <c:v>17351.64</c:v>
                </c:pt>
                <c:pt idx="1468">
                  <c:v>224552.54</c:v>
                </c:pt>
                <c:pt idx="1469">
                  <c:v>31946.07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125428.8</c:v>
                </c:pt>
                <c:pt idx="1474">
                  <c:v>12399.43</c:v>
                </c:pt>
                <c:pt idx="1475">
                  <c:v>24243.45</c:v>
                </c:pt>
                <c:pt idx="1476">
                  <c:v>61200</c:v>
                </c:pt>
                <c:pt idx="1477">
                  <c:v>22700.58</c:v>
                </c:pt>
                <c:pt idx="1478">
                  <c:v>176280.64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31689.82</c:v>
                </c:pt>
                <c:pt idx="1483">
                  <c:v>0</c:v>
                </c:pt>
                <c:pt idx="1484">
                  <c:v>0</c:v>
                </c:pt>
                <c:pt idx="1485">
                  <c:v>34252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3340</c:v>
                </c:pt>
                <c:pt idx="1491">
                  <c:v>13583.6</c:v>
                </c:pt>
                <c:pt idx="1492">
                  <c:v>474</c:v>
                </c:pt>
                <c:pt idx="1493">
                  <c:v>7500</c:v>
                </c:pt>
                <c:pt idx="1494">
                  <c:v>2785.68</c:v>
                </c:pt>
                <c:pt idx="1495">
                  <c:v>3200</c:v>
                </c:pt>
                <c:pt idx="1496">
                  <c:v>540</c:v>
                </c:pt>
                <c:pt idx="1497">
                  <c:v>11180</c:v>
                </c:pt>
                <c:pt idx="1498">
                  <c:v>408.92</c:v>
                </c:pt>
                <c:pt idx="1499">
                  <c:v>93332</c:v>
                </c:pt>
                <c:pt idx="1500">
                  <c:v>674561.4</c:v>
                </c:pt>
                <c:pt idx="1501">
                  <c:v>612776.6</c:v>
                </c:pt>
                <c:pt idx="1502">
                  <c:v>278850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9000</c:v>
                </c:pt>
                <c:pt idx="1509">
                  <c:v>17812.599999999999</c:v>
                </c:pt>
                <c:pt idx="1510">
                  <c:v>1370.2</c:v>
                </c:pt>
                <c:pt idx="1511">
                  <c:v>130457.27</c:v>
                </c:pt>
                <c:pt idx="1512">
                  <c:v>11456.65</c:v>
                </c:pt>
                <c:pt idx="1513">
                  <c:v>4415.55</c:v>
                </c:pt>
                <c:pt idx="1514">
                  <c:v>250.92</c:v>
                </c:pt>
                <c:pt idx="1515">
                  <c:v>12000</c:v>
                </c:pt>
                <c:pt idx="1516">
                  <c:v>40542.230000000003</c:v>
                </c:pt>
                <c:pt idx="1517">
                  <c:v>7553.37</c:v>
                </c:pt>
                <c:pt idx="1518">
                  <c:v>11960</c:v>
                </c:pt>
                <c:pt idx="1519">
                  <c:v>2916</c:v>
                </c:pt>
                <c:pt idx="1520">
                  <c:v>3887</c:v>
                </c:pt>
                <c:pt idx="1521">
                  <c:v>22078</c:v>
                </c:pt>
                <c:pt idx="1522">
                  <c:v>33155</c:v>
                </c:pt>
                <c:pt idx="1523">
                  <c:v>708</c:v>
                </c:pt>
                <c:pt idx="1525">
                  <c:v>0</c:v>
                </c:pt>
                <c:pt idx="1526">
                  <c:v>2500</c:v>
                </c:pt>
                <c:pt idx="1527">
                  <c:v>7045</c:v>
                </c:pt>
                <c:pt idx="1528">
                  <c:v>5393.5</c:v>
                </c:pt>
                <c:pt idx="1529">
                  <c:v>20000</c:v>
                </c:pt>
                <c:pt idx="1530">
                  <c:v>476794.65</c:v>
                </c:pt>
                <c:pt idx="1531">
                  <c:v>130643.85</c:v>
                </c:pt>
                <c:pt idx="1532">
                  <c:v>0</c:v>
                </c:pt>
                <c:pt idx="1533">
                  <c:v>950</c:v>
                </c:pt>
                <c:pt idx="1534">
                  <c:v>508.86</c:v>
                </c:pt>
                <c:pt idx="1535">
                  <c:v>6500</c:v>
                </c:pt>
                <c:pt idx="1536">
                  <c:v>13510</c:v>
                </c:pt>
                <c:pt idx="1537">
                  <c:v>6105.19</c:v>
                </c:pt>
                <c:pt idx="1538">
                  <c:v>905.5</c:v>
                </c:pt>
                <c:pt idx="1539">
                  <c:v>13602.81</c:v>
                </c:pt>
                <c:pt idx="1540">
                  <c:v>37483.949999999997</c:v>
                </c:pt>
                <c:pt idx="1541">
                  <c:v>2232</c:v>
                </c:pt>
                <c:pt idx="1542">
                  <c:v>390</c:v>
                </c:pt>
                <c:pt idx="1543">
                  <c:v>3801.03</c:v>
                </c:pt>
                <c:pt idx="1544">
                  <c:v>1080</c:v>
                </c:pt>
                <c:pt idx="1545">
                  <c:v>2569.94</c:v>
                </c:pt>
                <c:pt idx="1546">
                  <c:v>3997</c:v>
                </c:pt>
                <c:pt idx="1547">
                  <c:v>480</c:v>
                </c:pt>
                <c:pt idx="1548">
                  <c:v>460</c:v>
                </c:pt>
                <c:pt idx="1549">
                  <c:v>520</c:v>
                </c:pt>
                <c:pt idx="1550">
                  <c:v>500</c:v>
                </c:pt>
                <c:pt idx="1551">
                  <c:v>0</c:v>
                </c:pt>
                <c:pt idx="1552">
                  <c:v>347.5</c:v>
                </c:pt>
                <c:pt idx="1553">
                  <c:v>122950.47</c:v>
                </c:pt>
                <c:pt idx="1554">
                  <c:v>19338</c:v>
                </c:pt>
                <c:pt idx="1555">
                  <c:v>22548.62</c:v>
                </c:pt>
                <c:pt idx="1556">
                  <c:v>8000</c:v>
                </c:pt>
                <c:pt idx="1557">
                  <c:v>667.5</c:v>
                </c:pt>
                <c:pt idx="1558">
                  <c:v>27870</c:v>
                </c:pt>
                <c:pt idx="1559">
                  <c:v>12000</c:v>
                </c:pt>
                <c:pt idx="1560">
                  <c:v>58439.59</c:v>
                </c:pt>
                <c:pt idx="1561">
                  <c:v>2500</c:v>
                </c:pt>
                <c:pt idx="1562">
                  <c:v>20997.33</c:v>
                </c:pt>
                <c:pt idx="1563">
                  <c:v>14200.41</c:v>
                </c:pt>
                <c:pt idx="1564">
                  <c:v>6516.03</c:v>
                </c:pt>
                <c:pt idx="1565">
                  <c:v>1449.64</c:v>
                </c:pt>
                <c:pt idx="1566">
                  <c:v>2669.01</c:v>
                </c:pt>
                <c:pt idx="1567">
                  <c:v>2363.91</c:v>
                </c:pt>
                <c:pt idx="1568">
                  <c:v>10714</c:v>
                </c:pt>
                <c:pt idx="1569">
                  <c:v>12000</c:v>
                </c:pt>
                <c:pt idx="1570">
                  <c:v>857967.73</c:v>
                </c:pt>
                <c:pt idx="1571">
                  <c:v>2720</c:v>
                </c:pt>
                <c:pt idx="1572">
                  <c:v>1200</c:v>
                </c:pt>
                <c:pt idx="1573">
                  <c:v>6350.4</c:v>
                </c:pt>
                <c:pt idx="1574">
                  <c:v>4693.08</c:v>
                </c:pt>
                <c:pt idx="1575">
                  <c:v>330</c:v>
                </c:pt>
                <c:pt idx="1576">
                  <c:v>84880.94</c:v>
                </c:pt>
                <c:pt idx="1577">
                  <c:v>5000</c:v>
                </c:pt>
                <c:pt idx="1578">
                  <c:v>8094.02</c:v>
                </c:pt>
                <c:pt idx="1579">
                  <c:v>0</c:v>
                </c:pt>
                <c:pt idx="1580">
                  <c:v>7080</c:v>
                </c:pt>
                <c:pt idx="1581">
                  <c:v>6666.67</c:v>
                </c:pt>
                <c:pt idx="1582">
                  <c:v>19985.12</c:v>
                </c:pt>
                <c:pt idx="1583">
                  <c:v>10620</c:v>
                </c:pt>
                <c:pt idx="1584">
                  <c:v>18986.88</c:v>
                </c:pt>
                <c:pt idx="1585">
                  <c:v>2449.92</c:v>
                </c:pt>
                <c:pt idx="1586">
                  <c:v>11600</c:v>
                </c:pt>
                <c:pt idx="1587">
                  <c:v>2449.92</c:v>
                </c:pt>
                <c:pt idx="1588">
                  <c:v>6992.54</c:v>
                </c:pt>
                <c:pt idx="1589">
                  <c:v>11600</c:v>
                </c:pt>
                <c:pt idx="1590">
                  <c:v>5800</c:v>
                </c:pt>
                <c:pt idx="1591">
                  <c:v>9799.68</c:v>
                </c:pt>
                <c:pt idx="1592">
                  <c:v>7080</c:v>
                </c:pt>
                <c:pt idx="1593">
                  <c:v>16520</c:v>
                </c:pt>
                <c:pt idx="1594">
                  <c:v>4720</c:v>
                </c:pt>
                <c:pt idx="1595">
                  <c:v>5800</c:v>
                </c:pt>
                <c:pt idx="1596">
                  <c:v>0</c:v>
                </c:pt>
                <c:pt idx="1597">
                  <c:v>15950</c:v>
                </c:pt>
                <c:pt idx="1598">
                  <c:v>18300</c:v>
                </c:pt>
                <c:pt idx="1599">
                  <c:v>11600</c:v>
                </c:pt>
                <c:pt idx="1600">
                  <c:v>1299.82</c:v>
                </c:pt>
                <c:pt idx="1601">
                  <c:v>10862.4</c:v>
                </c:pt>
                <c:pt idx="1602">
                  <c:v>11800</c:v>
                </c:pt>
                <c:pt idx="1603">
                  <c:v>26222.03</c:v>
                </c:pt>
                <c:pt idx="1604">
                  <c:v>6992.54</c:v>
                </c:pt>
                <c:pt idx="1605">
                  <c:v>1800</c:v>
                </c:pt>
                <c:pt idx="1606">
                  <c:v>2327.7199999999998</c:v>
                </c:pt>
                <c:pt idx="1607">
                  <c:v>18286.04</c:v>
                </c:pt>
                <c:pt idx="1608">
                  <c:v>12664.48</c:v>
                </c:pt>
                <c:pt idx="1609">
                  <c:v>24414.43</c:v>
                </c:pt>
                <c:pt idx="1610">
                  <c:v>12320.18</c:v>
                </c:pt>
                <c:pt idx="1611">
                  <c:v>59572.74</c:v>
                </c:pt>
                <c:pt idx="1612">
                  <c:v>13012.85</c:v>
                </c:pt>
                <c:pt idx="1613">
                  <c:v>3424</c:v>
                </c:pt>
                <c:pt idx="1614">
                  <c:v>2996</c:v>
                </c:pt>
                <c:pt idx="1615">
                  <c:v>2664.4</c:v>
                </c:pt>
                <c:pt idx="1616">
                  <c:v>10188</c:v>
                </c:pt>
                <c:pt idx="1617">
                  <c:v>3000</c:v>
                </c:pt>
                <c:pt idx="1618">
                  <c:v>37503</c:v>
                </c:pt>
                <c:pt idx="1619">
                  <c:v>40407.9</c:v>
                </c:pt>
                <c:pt idx="1620">
                  <c:v>4899.84</c:v>
                </c:pt>
                <c:pt idx="1621">
                  <c:v>14699.52</c:v>
                </c:pt>
                <c:pt idx="1622">
                  <c:v>7080</c:v>
                </c:pt>
                <c:pt idx="1623">
                  <c:v>13985.08</c:v>
                </c:pt>
                <c:pt idx="1624">
                  <c:v>1284.97</c:v>
                </c:pt>
                <c:pt idx="1625">
                  <c:v>73320</c:v>
                </c:pt>
                <c:pt idx="1626">
                  <c:v>508.86</c:v>
                </c:pt>
                <c:pt idx="1627">
                  <c:v>12980</c:v>
                </c:pt>
                <c:pt idx="1628">
                  <c:v>6000</c:v>
                </c:pt>
                <c:pt idx="1629">
                  <c:v>1336</c:v>
                </c:pt>
                <c:pt idx="1630">
                  <c:v>21940</c:v>
                </c:pt>
                <c:pt idx="1631">
                  <c:v>9491.77</c:v>
                </c:pt>
                <c:pt idx="1632">
                  <c:v>18300</c:v>
                </c:pt>
                <c:pt idx="1633">
                  <c:v>159370.20000000001</c:v>
                </c:pt>
                <c:pt idx="1634">
                  <c:v>2664.4</c:v>
                </c:pt>
                <c:pt idx="1635">
                  <c:v>1284.97</c:v>
                </c:pt>
                <c:pt idx="1636">
                  <c:v>1284.97</c:v>
                </c:pt>
                <c:pt idx="1637">
                  <c:v>21750</c:v>
                </c:pt>
                <c:pt idx="1638">
                  <c:v>32716</c:v>
                </c:pt>
                <c:pt idx="1639">
                  <c:v>21033.46</c:v>
                </c:pt>
                <c:pt idx="1640">
                  <c:v>1537.38</c:v>
                </c:pt>
                <c:pt idx="1641">
                  <c:v>51020.95</c:v>
                </c:pt>
                <c:pt idx="1642">
                  <c:v>3679.79</c:v>
                </c:pt>
                <c:pt idx="1643">
                  <c:v>29101.200000000001</c:v>
                </c:pt>
                <c:pt idx="1644">
                  <c:v>842.95</c:v>
                </c:pt>
                <c:pt idx="1645">
                  <c:v>16884</c:v>
                </c:pt>
                <c:pt idx="1646">
                  <c:v>10500</c:v>
                </c:pt>
                <c:pt idx="1647">
                  <c:v>16250</c:v>
                </c:pt>
                <c:pt idx="1648">
                  <c:v>10500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10125</c:v>
                </c:pt>
                <c:pt idx="1656">
                  <c:v>45140</c:v>
                </c:pt>
                <c:pt idx="1657">
                  <c:v>11800</c:v>
                </c:pt>
                <c:pt idx="1658">
                  <c:v>18604.82</c:v>
                </c:pt>
                <c:pt idx="1659">
                  <c:v>71538</c:v>
                </c:pt>
                <c:pt idx="1660">
                  <c:v>19520</c:v>
                </c:pt>
                <c:pt idx="1661">
                  <c:v>23200</c:v>
                </c:pt>
                <c:pt idx="1662">
                  <c:v>0</c:v>
                </c:pt>
                <c:pt idx="1663">
                  <c:v>0</c:v>
                </c:pt>
                <c:pt idx="1664">
                  <c:v>44640</c:v>
                </c:pt>
                <c:pt idx="1665">
                  <c:v>27360</c:v>
                </c:pt>
                <c:pt idx="1666">
                  <c:v>722.8</c:v>
                </c:pt>
                <c:pt idx="1667">
                  <c:v>234271.14</c:v>
                </c:pt>
                <c:pt idx="1668">
                  <c:v>1284.97</c:v>
                </c:pt>
                <c:pt idx="1669">
                  <c:v>145.1</c:v>
                </c:pt>
                <c:pt idx="1670">
                  <c:v>110000</c:v>
                </c:pt>
                <c:pt idx="1671">
                  <c:v>916</c:v>
                </c:pt>
                <c:pt idx="1672">
                  <c:v>1917.39</c:v>
                </c:pt>
                <c:pt idx="1673">
                  <c:v>840.68</c:v>
                </c:pt>
                <c:pt idx="1674">
                  <c:v>4000</c:v>
                </c:pt>
                <c:pt idx="1675">
                  <c:v>694.67</c:v>
                </c:pt>
                <c:pt idx="1676">
                  <c:v>438</c:v>
                </c:pt>
                <c:pt idx="1677">
                  <c:v>15999.3</c:v>
                </c:pt>
                <c:pt idx="1678">
                  <c:v>103235.92</c:v>
                </c:pt>
                <c:pt idx="1679">
                  <c:v>4743</c:v>
                </c:pt>
                <c:pt idx="1680">
                  <c:v>11877.75</c:v>
                </c:pt>
                <c:pt idx="1681">
                  <c:v>10326</c:v>
                </c:pt>
                <c:pt idx="1682">
                  <c:v>3770</c:v>
                </c:pt>
                <c:pt idx="1683">
                  <c:v>482.41</c:v>
                </c:pt>
                <c:pt idx="1684">
                  <c:v>189.23</c:v>
                </c:pt>
                <c:pt idx="1685">
                  <c:v>0</c:v>
                </c:pt>
                <c:pt idx="1686">
                  <c:v>196753.92000000001</c:v>
                </c:pt>
                <c:pt idx="1687">
                  <c:v>196753.92000000001</c:v>
                </c:pt>
                <c:pt idx="1688">
                  <c:v>344.06</c:v>
                </c:pt>
                <c:pt idx="1689">
                  <c:v>119685</c:v>
                </c:pt>
                <c:pt idx="1690">
                  <c:v>12221.88</c:v>
                </c:pt>
                <c:pt idx="1691">
                  <c:v>7393.39</c:v>
                </c:pt>
                <c:pt idx="1692">
                  <c:v>2889</c:v>
                </c:pt>
                <c:pt idx="1693">
                  <c:v>183021.63</c:v>
                </c:pt>
                <c:pt idx="1694">
                  <c:v>7624.5</c:v>
                </c:pt>
                <c:pt idx="1697">
                  <c:v>4465.4799999999996</c:v>
                </c:pt>
                <c:pt idx="1698">
                  <c:v>21750</c:v>
                </c:pt>
                <c:pt idx="1699">
                  <c:v>19227.759999999998</c:v>
                </c:pt>
                <c:pt idx="1700">
                  <c:v>26950.28</c:v>
                </c:pt>
                <c:pt idx="1701">
                  <c:v>13000</c:v>
                </c:pt>
                <c:pt idx="1702">
                  <c:v>8797.83</c:v>
                </c:pt>
                <c:pt idx="1703">
                  <c:v>0</c:v>
                </c:pt>
                <c:pt idx="1704">
                  <c:v>4466</c:v>
                </c:pt>
                <c:pt idx="1705">
                  <c:v>6531.75</c:v>
                </c:pt>
                <c:pt idx="1706">
                  <c:v>686.72</c:v>
                </c:pt>
                <c:pt idx="1707">
                  <c:v>276620.95</c:v>
                </c:pt>
                <c:pt idx="1708">
                  <c:v>600</c:v>
                </c:pt>
                <c:pt idx="1709">
                  <c:v>600</c:v>
                </c:pt>
                <c:pt idx="1710">
                  <c:v>104895</c:v>
                </c:pt>
                <c:pt idx="1711">
                  <c:v>73579.67</c:v>
                </c:pt>
                <c:pt idx="1712">
                  <c:v>8797.83</c:v>
                </c:pt>
                <c:pt idx="1713">
                  <c:v>86.02</c:v>
                </c:pt>
                <c:pt idx="1714">
                  <c:v>0</c:v>
                </c:pt>
                <c:pt idx="1715">
                  <c:v>0</c:v>
                </c:pt>
                <c:pt idx="1716">
                  <c:v>51508.4</c:v>
                </c:pt>
                <c:pt idx="1717">
                  <c:v>1227.03</c:v>
                </c:pt>
                <c:pt idx="1718">
                  <c:v>1354.66</c:v>
                </c:pt>
                <c:pt idx="1719">
                  <c:v>1113.1199999999999</c:v>
                </c:pt>
                <c:pt idx="1720">
                  <c:v>6797.38</c:v>
                </c:pt>
                <c:pt idx="1721">
                  <c:v>6012</c:v>
                </c:pt>
                <c:pt idx="1722">
                  <c:v>6793</c:v>
                </c:pt>
                <c:pt idx="1723">
                  <c:v>551002.34</c:v>
                </c:pt>
                <c:pt idx="1724">
                  <c:v>7700.29</c:v>
                </c:pt>
                <c:pt idx="1725">
                  <c:v>4474.3999999999996</c:v>
                </c:pt>
                <c:pt idx="1726">
                  <c:v>24529.03</c:v>
                </c:pt>
                <c:pt idx="1727">
                  <c:v>6217.98</c:v>
                </c:pt>
                <c:pt idx="1728">
                  <c:v>3272</c:v>
                </c:pt>
                <c:pt idx="1729">
                  <c:v>7962.24</c:v>
                </c:pt>
                <c:pt idx="1730">
                  <c:v>5800</c:v>
                </c:pt>
                <c:pt idx="1731">
                  <c:v>7367.94</c:v>
                </c:pt>
                <c:pt idx="1732">
                  <c:v>17700</c:v>
                </c:pt>
                <c:pt idx="1733">
                  <c:v>161</c:v>
                </c:pt>
                <c:pt idx="1734">
                  <c:v>3926.82</c:v>
                </c:pt>
                <c:pt idx="1735">
                  <c:v>4517.0600000000004</c:v>
                </c:pt>
                <c:pt idx="1736">
                  <c:v>170238.42</c:v>
                </c:pt>
                <c:pt idx="1737">
                  <c:v>17662.98</c:v>
                </c:pt>
                <c:pt idx="1738">
                  <c:v>0</c:v>
                </c:pt>
                <c:pt idx="1739">
                  <c:v>3240</c:v>
                </c:pt>
                <c:pt idx="1740">
                  <c:v>380918.12</c:v>
                </c:pt>
                <c:pt idx="1741">
                  <c:v>5684</c:v>
                </c:pt>
                <c:pt idx="1742">
                  <c:v>32115.27</c:v>
                </c:pt>
                <c:pt idx="1743">
                  <c:v>37490</c:v>
                </c:pt>
                <c:pt idx="1744">
                  <c:v>9240</c:v>
                </c:pt>
                <c:pt idx="1745">
                  <c:v>42727.7</c:v>
                </c:pt>
                <c:pt idx="1746">
                  <c:v>150</c:v>
                </c:pt>
                <c:pt idx="1747">
                  <c:v>28741.73</c:v>
                </c:pt>
                <c:pt idx="1748">
                  <c:v>4314.6000000000004</c:v>
                </c:pt>
                <c:pt idx="1749">
                  <c:v>508.86</c:v>
                </c:pt>
                <c:pt idx="1750">
                  <c:v>169492.14</c:v>
                </c:pt>
                <c:pt idx="1751">
                  <c:v>194</c:v>
                </c:pt>
                <c:pt idx="1752">
                  <c:v>0</c:v>
                </c:pt>
                <c:pt idx="1753">
                  <c:v>0</c:v>
                </c:pt>
                <c:pt idx="1754">
                  <c:v>602.63</c:v>
                </c:pt>
                <c:pt idx="1755">
                  <c:v>311.5</c:v>
                </c:pt>
                <c:pt idx="1756">
                  <c:v>75.25</c:v>
                </c:pt>
                <c:pt idx="1757">
                  <c:v>266.83999999999997</c:v>
                </c:pt>
                <c:pt idx="1758">
                  <c:v>960</c:v>
                </c:pt>
                <c:pt idx="1759">
                  <c:v>201118.91</c:v>
                </c:pt>
                <c:pt idx="1760">
                  <c:v>990</c:v>
                </c:pt>
                <c:pt idx="1761">
                  <c:v>7624.5</c:v>
                </c:pt>
                <c:pt idx="1762">
                  <c:v>550</c:v>
                </c:pt>
                <c:pt idx="1763">
                  <c:v>518.78</c:v>
                </c:pt>
                <c:pt idx="1764">
                  <c:v>2945</c:v>
                </c:pt>
                <c:pt idx="1765">
                  <c:v>52640.13</c:v>
                </c:pt>
                <c:pt idx="1766">
                  <c:v>2110.04</c:v>
                </c:pt>
                <c:pt idx="1767">
                  <c:v>480</c:v>
                </c:pt>
                <c:pt idx="1768">
                  <c:v>438790.8</c:v>
                </c:pt>
                <c:pt idx="1769">
                  <c:v>201619.7</c:v>
                </c:pt>
                <c:pt idx="1770">
                  <c:v>2893.85</c:v>
                </c:pt>
                <c:pt idx="1771">
                  <c:v>64.48</c:v>
                </c:pt>
                <c:pt idx="1772">
                  <c:v>375.12</c:v>
                </c:pt>
                <c:pt idx="1773">
                  <c:v>827.26</c:v>
                </c:pt>
                <c:pt idx="1774">
                  <c:v>800</c:v>
                </c:pt>
                <c:pt idx="1775">
                  <c:v>13916.66</c:v>
                </c:pt>
                <c:pt idx="1776">
                  <c:v>15400</c:v>
                </c:pt>
                <c:pt idx="1777">
                  <c:v>1483.13</c:v>
                </c:pt>
                <c:pt idx="1778">
                  <c:v>7590</c:v>
                </c:pt>
                <c:pt idx="1779">
                  <c:v>5430</c:v>
                </c:pt>
                <c:pt idx="1780">
                  <c:v>6780</c:v>
                </c:pt>
                <c:pt idx="1781">
                  <c:v>1488</c:v>
                </c:pt>
                <c:pt idx="1782">
                  <c:v>4792</c:v>
                </c:pt>
                <c:pt idx="1783">
                  <c:v>0</c:v>
                </c:pt>
                <c:pt idx="1784">
                  <c:v>2638.75</c:v>
                </c:pt>
                <c:pt idx="1785">
                  <c:v>1017.72</c:v>
                </c:pt>
                <c:pt idx="1786">
                  <c:v>15273.08</c:v>
                </c:pt>
                <c:pt idx="1787">
                  <c:v>136747.48000000001</c:v>
                </c:pt>
                <c:pt idx="1788">
                  <c:v>10668</c:v>
                </c:pt>
                <c:pt idx="1789">
                  <c:v>67672</c:v>
                </c:pt>
                <c:pt idx="1790">
                  <c:v>17775.75</c:v>
                </c:pt>
                <c:pt idx="1791">
                  <c:v>17249.77</c:v>
                </c:pt>
                <c:pt idx="1792">
                  <c:v>41969.45</c:v>
                </c:pt>
                <c:pt idx="1793">
                  <c:v>43117.599999999999</c:v>
                </c:pt>
                <c:pt idx="1794">
                  <c:v>0</c:v>
                </c:pt>
                <c:pt idx="1795">
                  <c:v>10450.799999999999</c:v>
                </c:pt>
                <c:pt idx="1796">
                  <c:v>1272</c:v>
                </c:pt>
                <c:pt idx="1797">
                  <c:v>402</c:v>
                </c:pt>
                <c:pt idx="1798">
                  <c:v>1680</c:v>
                </c:pt>
                <c:pt idx="1799">
                  <c:v>3000</c:v>
                </c:pt>
                <c:pt idx="1800">
                  <c:v>12139</c:v>
                </c:pt>
                <c:pt idx="1801">
                  <c:v>16800</c:v>
                </c:pt>
                <c:pt idx="1802">
                  <c:v>4842.97</c:v>
                </c:pt>
                <c:pt idx="1803">
                  <c:v>11960</c:v>
                </c:pt>
                <c:pt idx="1804">
                  <c:v>347055.2</c:v>
                </c:pt>
                <c:pt idx="1805">
                  <c:v>308</c:v>
                </c:pt>
                <c:pt idx="1806">
                  <c:v>23848.57</c:v>
                </c:pt>
                <c:pt idx="1807">
                  <c:v>4000</c:v>
                </c:pt>
                <c:pt idx="1808">
                  <c:v>135837</c:v>
                </c:pt>
                <c:pt idx="1809">
                  <c:v>725094.36</c:v>
                </c:pt>
                <c:pt idx="1810">
                  <c:v>4300</c:v>
                </c:pt>
                <c:pt idx="1811">
                  <c:v>4005</c:v>
                </c:pt>
                <c:pt idx="1812">
                  <c:v>4400</c:v>
                </c:pt>
                <c:pt idx="1813">
                  <c:v>2898</c:v>
                </c:pt>
                <c:pt idx="1814">
                  <c:v>5960</c:v>
                </c:pt>
                <c:pt idx="1815">
                  <c:v>28857.15</c:v>
                </c:pt>
                <c:pt idx="1816">
                  <c:v>141.1</c:v>
                </c:pt>
                <c:pt idx="1817">
                  <c:v>15950.24</c:v>
                </c:pt>
                <c:pt idx="1818">
                  <c:v>1643.25</c:v>
                </c:pt>
                <c:pt idx="1819">
                  <c:v>196</c:v>
                </c:pt>
                <c:pt idx="1820">
                  <c:v>15664.02</c:v>
                </c:pt>
                <c:pt idx="1821">
                  <c:v>1520</c:v>
                </c:pt>
                <c:pt idx="1822">
                  <c:v>3150</c:v>
                </c:pt>
                <c:pt idx="1823">
                  <c:v>7800</c:v>
                </c:pt>
                <c:pt idx="1824">
                  <c:v>31.3</c:v>
                </c:pt>
                <c:pt idx="1825">
                  <c:v>3987.6</c:v>
                </c:pt>
                <c:pt idx="1826">
                  <c:v>17455</c:v>
                </c:pt>
                <c:pt idx="1827">
                  <c:v>2942.9</c:v>
                </c:pt>
                <c:pt idx="1828">
                  <c:v>7705.8</c:v>
                </c:pt>
                <c:pt idx="1829">
                  <c:v>24970</c:v>
                </c:pt>
                <c:pt idx="1830">
                  <c:v>3400</c:v>
                </c:pt>
                <c:pt idx="1831">
                  <c:v>6800</c:v>
                </c:pt>
                <c:pt idx="1832">
                  <c:v>1161.75</c:v>
                </c:pt>
                <c:pt idx="1833">
                  <c:v>1044.5999999999999</c:v>
                </c:pt>
                <c:pt idx="1834">
                  <c:v>1811.5</c:v>
                </c:pt>
                <c:pt idx="1835">
                  <c:v>128</c:v>
                </c:pt>
                <c:pt idx="1836">
                  <c:v>17811.599999999999</c:v>
                </c:pt>
                <c:pt idx="1837">
                  <c:v>16435</c:v>
                </c:pt>
                <c:pt idx="1838">
                  <c:v>2754.9</c:v>
                </c:pt>
                <c:pt idx="1839">
                  <c:v>2902.4</c:v>
                </c:pt>
                <c:pt idx="1840">
                  <c:v>207.46</c:v>
                </c:pt>
                <c:pt idx="1841">
                  <c:v>2117.8000000000002</c:v>
                </c:pt>
                <c:pt idx="1842">
                  <c:v>1735.6</c:v>
                </c:pt>
                <c:pt idx="1843">
                  <c:v>22030</c:v>
                </c:pt>
                <c:pt idx="1844">
                  <c:v>2250</c:v>
                </c:pt>
                <c:pt idx="1845">
                  <c:v>45445</c:v>
                </c:pt>
                <c:pt idx="1846">
                  <c:v>1636.64</c:v>
                </c:pt>
                <c:pt idx="1847">
                  <c:v>2100</c:v>
                </c:pt>
                <c:pt idx="1848">
                  <c:v>6790</c:v>
                </c:pt>
                <c:pt idx="1849">
                  <c:v>4195.71</c:v>
                </c:pt>
                <c:pt idx="1850">
                  <c:v>3093</c:v>
                </c:pt>
                <c:pt idx="1851">
                  <c:v>5000</c:v>
                </c:pt>
                <c:pt idx="1852">
                  <c:v>35584.629999999997</c:v>
                </c:pt>
                <c:pt idx="1853">
                  <c:v>1535.7</c:v>
                </c:pt>
                <c:pt idx="1854">
                  <c:v>80</c:v>
                </c:pt>
                <c:pt idx="1855">
                  <c:v>1954.22</c:v>
                </c:pt>
                <c:pt idx="1856">
                  <c:v>1827.18</c:v>
                </c:pt>
                <c:pt idx="1857">
                  <c:v>18768</c:v>
                </c:pt>
                <c:pt idx="1858">
                  <c:v>28752.44</c:v>
                </c:pt>
                <c:pt idx="1859">
                  <c:v>4416.28</c:v>
                </c:pt>
                <c:pt idx="1860">
                  <c:v>5183.97</c:v>
                </c:pt>
                <c:pt idx="1861">
                  <c:v>2096.63</c:v>
                </c:pt>
                <c:pt idx="1862">
                  <c:v>13209.09</c:v>
                </c:pt>
                <c:pt idx="1863">
                  <c:v>5722</c:v>
                </c:pt>
                <c:pt idx="1864">
                  <c:v>7730</c:v>
                </c:pt>
                <c:pt idx="1865">
                  <c:v>4795.8999999999996</c:v>
                </c:pt>
                <c:pt idx="1866">
                  <c:v>4899.84</c:v>
                </c:pt>
                <c:pt idx="1867">
                  <c:v>500</c:v>
                </c:pt>
                <c:pt idx="1868">
                  <c:v>976.25</c:v>
                </c:pt>
                <c:pt idx="1869">
                  <c:v>7226.39</c:v>
                </c:pt>
                <c:pt idx="1870">
                  <c:v>5754.15</c:v>
                </c:pt>
                <c:pt idx="1871">
                  <c:v>18680.29</c:v>
                </c:pt>
                <c:pt idx="1872">
                  <c:v>6984.84</c:v>
                </c:pt>
                <c:pt idx="1873">
                  <c:v>3121.87</c:v>
                </c:pt>
                <c:pt idx="1874">
                  <c:v>2765.72</c:v>
                </c:pt>
                <c:pt idx="1875">
                  <c:v>33884.400000000001</c:v>
                </c:pt>
                <c:pt idx="1876">
                  <c:v>2295</c:v>
                </c:pt>
                <c:pt idx="1877">
                  <c:v>5000</c:v>
                </c:pt>
                <c:pt idx="1878">
                  <c:v>11960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300</c:v>
                </c:pt>
                <c:pt idx="1883">
                  <c:v>832.81</c:v>
                </c:pt>
                <c:pt idx="1884">
                  <c:v>2241.75</c:v>
                </c:pt>
                <c:pt idx="1885">
                  <c:v>12597.37</c:v>
                </c:pt>
                <c:pt idx="1886">
                  <c:v>0</c:v>
                </c:pt>
                <c:pt idx="1887">
                  <c:v>0</c:v>
                </c:pt>
                <c:pt idx="1888">
                  <c:v>2100.1799999999998</c:v>
                </c:pt>
                <c:pt idx="1889">
                  <c:v>35000</c:v>
                </c:pt>
                <c:pt idx="1890">
                  <c:v>3100</c:v>
                </c:pt>
                <c:pt idx="1891">
                  <c:v>1410</c:v>
                </c:pt>
                <c:pt idx="1892">
                  <c:v>1536</c:v>
                </c:pt>
                <c:pt idx="1893">
                  <c:v>1700</c:v>
                </c:pt>
                <c:pt idx="1894">
                  <c:v>21600</c:v>
                </c:pt>
                <c:pt idx="1895">
                  <c:v>9870</c:v>
                </c:pt>
                <c:pt idx="1896">
                  <c:v>1500</c:v>
                </c:pt>
                <c:pt idx="1897">
                  <c:v>4728.6000000000004</c:v>
                </c:pt>
                <c:pt idx="1898">
                  <c:v>13200</c:v>
                </c:pt>
                <c:pt idx="1899">
                  <c:v>1554</c:v>
                </c:pt>
                <c:pt idx="1900">
                  <c:v>4833.68</c:v>
                </c:pt>
                <c:pt idx="1901">
                  <c:v>532005.91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79-4229-B512-91E511F75732}"/>
            </c:ext>
          </c:extLst>
        </c:ser>
        <c:ser>
          <c:idx val="11"/>
          <c:order val="11"/>
          <c:tx>
            <c:strRef>
              <c:f>'INVENTÁRIO 2026'!$K$2</c:f>
              <c:strCache>
                <c:ptCount val="1"/>
                <c:pt idx="0">
                  <c:v>DESTINO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2026'!$K$3:$K$11811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79-4229-B512-91E511F75732}"/>
            </c:ext>
          </c:extLst>
        </c:ser>
        <c:ser>
          <c:idx val="12"/>
          <c:order val="12"/>
          <c:tx>
            <c:strRef>
              <c:f>'INVENTÁRIO 2026'!$L$2</c:f>
              <c:strCache>
                <c:ptCount val="1"/>
                <c:pt idx="0">
                  <c:v>SITUAÇÃO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2026'!$L$3:$L$11811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79-4229-B512-91E511F75732}"/>
            </c:ext>
          </c:extLst>
        </c:ser>
        <c:ser>
          <c:idx val="13"/>
          <c:order val="13"/>
          <c:tx>
            <c:strRef>
              <c:f>'INVENTÁRIO 2026'!$M$2</c:f>
              <c:strCache>
                <c:ptCount val="1"/>
                <c:pt idx="0">
                  <c:v>DATA DE SAÍDA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2026'!$M$3:$M$11811</c:f>
              <c:numCache>
                <c:formatCode>m/d/yyyy</c:formatCode>
                <c:ptCount val="11809"/>
                <c:pt idx="0">
                  <c:v>45665</c:v>
                </c:pt>
                <c:pt idx="1">
                  <c:v>45664</c:v>
                </c:pt>
                <c:pt idx="2">
                  <c:v>45666</c:v>
                </c:pt>
                <c:pt idx="3">
                  <c:v>45666</c:v>
                </c:pt>
                <c:pt idx="4">
                  <c:v>45670</c:v>
                </c:pt>
                <c:pt idx="5">
                  <c:v>45664</c:v>
                </c:pt>
                <c:pt idx="6">
                  <c:v>45664</c:v>
                </c:pt>
                <c:pt idx="7">
                  <c:v>46037</c:v>
                </c:pt>
                <c:pt idx="8">
                  <c:v>45664</c:v>
                </c:pt>
                <c:pt idx="9">
                  <c:v>45975</c:v>
                </c:pt>
                <c:pt idx="10">
                  <c:v>45669</c:v>
                </c:pt>
                <c:pt idx="11">
                  <c:v>45666</c:v>
                </c:pt>
                <c:pt idx="12">
                  <c:v>45670</c:v>
                </c:pt>
                <c:pt idx="13">
                  <c:v>46038</c:v>
                </c:pt>
                <c:pt idx="15">
                  <c:v>45670</c:v>
                </c:pt>
                <c:pt idx="16">
                  <c:v>45669</c:v>
                </c:pt>
                <c:pt idx="17">
                  <c:v>45670</c:v>
                </c:pt>
                <c:pt idx="18">
                  <c:v>46051</c:v>
                </c:pt>
                <c:pt idx="19">
                  <c:v>45669</c:v>
                </c:pt>
                <c:pt idx="20">
                  <c:v>45670</c:v>
                </c:pt>
                <c:pt idx="21">
                  <c:v>46034</c:v>
                </c:pt>
                <c:pt idx="22">
                  <c:v>46034</c:v>
                </c:pt>
                <c:pt idx="24">
                  <c:v>46034</c:v>
                </c:pt>
                <c:pt idx="26">
                  <c:v>45670</c:v>
                </c:pt>
                <c:pt idx="27">
                  <c:v>45672</c:v>
                </c:pt>
                <c:pt idx="28">
                  <c:v>46042</c:v>
                </c:pt>
                <c:pt idx="29">
                  <c:v>45670</c:v>
                </c:pt>
                <c:pt idx="30">
                  <c:v>45670</c:v>
                </c:pt>
                <c:pt idx="31">
                  <c:v>45670</c:v>
                </c:pt>
                <c:pt idx="32">
                  <c:v>45670</c:v>
                </c:pt>
                <c:pt idx="33">
                  <c:v>46036</c:v>
                </c:pt>
                <c:pt idx="34">
                  <c:v>45670</c:v>
                </c:pt>
                <c:pt idx="35">
                  <c:v>46035</c:v>
                </c:pt>
                <c:pt idx="36">
                  <c:v>46035</c:v>
                </c:pt>
                <c:pt idx="37">
                  <c:v>46035</c:v>
                </c:pt>
                <c:pt idx="38">
                  <c:v>45671</c:v>
                </c:pt>
                <c:pt idx="40">
                  <c:v>45670</c:v>
                </c:pt>
                <c:pt idx="41">
                  <c:v>46036</c:v>
                </c:pt>
                <c:pt idx="42">
                  <c:v>46038</c:v>
                </c:pt>
                <c:pt idx="43">
                  <c:v>46038</c:v>
                </c:pt>
                <c:pt idx="44">
                  <c:v>46036</c:v>
                </c:pt>
                <c:pt idx="45">
                  <c:v>46037</c:v>
                </c:pt>
                <c:pt idx="46">
                  <c:v>46035</c:v>
                </c:pt>
                <c:pt idx="47">
                  <c:v>46036</c:v>
                </c:pt>
                <c:pt idx="48">
                  <c:v>45670</c:v>
                </c:pt>
                <c:pt idx="49">
                  <c:v>45670</c:v>
                </c:pt>
                <c:pt idx="50">
                  <c:v>45670</c:v>
                </c:pt>
                <c:pt idx="51">
                  <c:v>45670</c:v>
                </c:pt>
                <c:pt idx="52">
                  <c:v>45670</c:v>
                </c:pt>
                <c:pt idx="53">
                  <c:v>46036</c:v>
                </c:pt>
                <c:pt idx="54">
                  <c:v>46041</c:v>
                </c:pt>
                <c:pt idx="55">
                  <c:v>46038</c:v>
                </c:pt>
                <c:pt idx="56">
                  <c:v>46038</c:v>
                </c:pt>
                <c:pt idx="57">
                  <c:v>45669</c:v>
                </c:pt>
                <c:pt idx="58">
                  <c:v>46035</c:v>
                </c:pt>
                <c:pt idx="59">
                  <c:v>45670</c:v>
                </c:pt>
                <c:pt idx="60">
                  <c:v>46072</c:v>
                </c:pt>
                <c:pt idx="61">
                  <c:v>46064</c:v>
                </c:pt>
                <c:pt idx="62">
                  <c:v>46041</c:v>
                </c:pt>
                <c:pt idx="63">
                  <c:v>46036</c:v>
                </c:pt>
                <c:pt idx="64">
                  <c:v>46035</c:v>
                </c:pt>
                <c:pt idx="65">
                  <c:v>46037</c:v>
                </c:pt>
                <c:pt idx="66">
                  <c:v>46038</c:v>
                </c:pt>
                <c:pt idx="67">
                  <c:v>46037</c:v>
                </c:pt>
                <c:pt idx="68">
                  <c:v>46037</c:v>
                </c:pt>
                <c:pt idx="69">
                  <c:v>46036</c:v>
                </c:pt>
                <c:pt idx="70">
                  <c:v>46037</c:v>
                </c:pt>
                <c:pt idx="71">
                  <c:v>46038</c:v>
                </c:pt>
                <c:pt idx="72">
                  <c:v>46037</c:v>
                </c:pt>
                <c:pt idx="73">
                  <c:v>46042</c:v>
                </c:pt>
                <c:pt idx="74">
                  <c:v>46037</c:v>
                </c:pt>
                <c:pt idx="75">
                  <c:v>46038</c:v>
                </c:pt>
                <c:pt idx="76">
                  <c:v>46037</c:v>
                </c:pt>
                <c:pt idx="77">
                  <c:v>46037</c:v>
                </c:pt>
                <c:pt idx="78">
                  <c:v>46037</c:v>
                </c:pt>
                <c:pt idx="79">
                  <c:v>46037</c:v>
                </c:pt>
                <c:pt idx="80">
                  <c:v>46037</c:v>
                </c:pt>
                <c:pt idx="81">
                  <c:v>46037</c:v>
                </c:pt>
                <c:pt idx="82">
                  <c:v>46037</c:v>
                </c:pt>
                <c:pt idx="83">
                  <c:v>46038</c:v>
                </c:pt>
                <c:pt idx="84">
                  <c:v>46038</c:v>
                </c:pt>
                <c:pt idx="85">
                  <c:v>46038</c:v>
                </c:pt>
                <c:pt idx="86">
                  <c:v>46038</c:v>
                </c:pt>
                <c:pt idx="87">
                  <c:v>46041</c:v>
                </c:pt>
                <c:pt idx="88">
                  <c:v>46037</c:v>
                </c:pt>
                <c:pt idx="89">
                  <c:v>46038</c:v>
                </c:pt>
                <c:pt idx="90">
                  <c:v>46042</c:v>
                </c:pt>
                <c:pt idx="91">
                  <c:v>46041</c:v>
                </c:pt>
                <c:pt idx="92">
                  <c:v>46037</c:v>
                </c:pt>
                <c:pt idx="93">
                  <c:v>46037</c:v>
                </c:pt>
                <c:pt idx="94">
                  <c:v>46037</c:v>
                </c:pt>
                <c:pt idx="95">
                  <c:v>46037</c:v>
                </c:pt>
                <c:pt idx="96">
                  <c:v>46041</c:v>
                </c:pt>
                <c:pt idx="97">
                  <c:v>46038</c:v>
                </c:pt>
                <c:pt idx="98">
                  <c:v>46038</c:v>
                </c:pt>
                <c:pt idx="99">
                  <c:v>46038</c:v>
                </c:pt>
                <c:pt idx="100">
                  <c:v>46041</c:v>
                </c:pt>
                <c:pt idx="101">
                  <c:v>46041</c:v>
                </c:pt>
                <c:pt idx="102">
                  <c:v>46042</c:v>
                </c:pt>
                <c:pt idx="103">
                  <c:v>46038</c:v>
                </c:pt>
                <c:pt idx="104">
                  <c:v>46038</c:v>
                </c:pt>
                <c:pt idx="105">
                  <c:v>46037</c:v>
                </c:pt>
                <c:pt idx="106">
                  <c:v>46037</c:v>
                </c:pt>
                <c:pt idx="107">
                  <c:v>46037</c:v>
                </c:pt>
                <c:pt idx="108">
                  <c:v>46037</c:v>
                </c:pt>
                <c:pt idx="109">
                  <c:v>46041</c:v>
                </c:pt>
                <c:pt idx="110">
                  <c:v>46038</c:v>
                </c:pt>
                <c:pt idx="111">
                  <c:v>46038</c:v>
                </c:pt>
                <c:pt idx="112">
                  <c:v>46038</c:v>
                </c:pt>
                <c:pt idx="113">
                  <c:v>46037</c:v>
                </c:pt>
                <c:pt idx="114">
                  <c:v>46037</c:v>
                </c:pt>
                <c:pt idx="115">
                  <c:v>45672</c:v>
                </c:pt>
                <c:pt idx="116">
                  <c:v>45672</c:v>
                </c:pt>
                <c:pt idx="117">
                  <c:v>46037</c:v>
                </c:pt>
                <c:pt idx="118">
                  <c:v>46037</c:v>
                </c:pt>
                <c:pt idx="119">
                  <c:v>46037</c:v>
                </c:pt>
                <c:pt idx="120">
                  <c:v>46041</c:v>
                </c:pt>
                <c:pt idx="121">
                  <c:v>46038</c:v>
                </c:pt>
                <c:pt idx="122">
                  <c:v>46037</c:v>
                </c:pt>
                <c:pt idx="123">
                  <c:v>46038</c:v>
                </c:pt>
                <c:pt idx="124">
                  <c:v>46037</c:v>
                </c:pt>
                <c:pt idx="125">
                  <c:v>46042</c:v>
                </c:pt>
                <c:pt idx="126">
                  <c:v>46037</c:v>
                </c:pt>
                <c:pt idx="127">
                  <c:v>46038</c:v>
                </c:pt>
                <c:pt idx="128">
                  <c:v>46037</c:v>
                </c:pt>
                <c:pt idx="129">
                  <c:v>46038</c:v>
                </c:pt>
                <c:pt idx="130">
                  <c:v>46038</c:v>
                </c:pt>
                <c:pt idx="131">
                  <c:v>46038</c:v>
                </c:pt>
                <c:pt idx="132">
                  <c:v>46038</c:v>
                </c:pt>
                <c:pt idx="133">
                  <c:v>46038</c:v>
                </c:pt>
                <c:pt idx="134">
                  <c:v>46041</c:v>
                </c:pt>
                <c:pt idx="135">
                  <c:v>46041</c:v>
                </c:pt>
                <c:pt idx="136">
                  <c:v>46042</c:v>
                </c:pt>
                <c:pt idx="137">
                  <c:v>46041</c:v>
                </c:pt>
                <c:pt idx="138">
                  <c:v>46041</c:v>
                </c:pt>
                <c:pt idx="139">
                  <c:v>46042</c:v>
                </c:pt>
                <c:pt idx="140">
                  <c:v>46042</c:v>
                </c:pt>
                <c:pt idx="141">
                  <c:v>46041</c:v>
                </c:pt>
                <c:pt idx="142">
                  <c:v>46043</c:v>
                </c:pt>
                <c:pt idx="143">
                  <c:v>46043</c:v>
                </c:pt>
                <c:pt idx="144">
                  <c:v>46044</c:v>
                </c:pt>
                <c:pt idx="145">
                  <c:v>46042</c:v>
                </c:pt>
                <c:pt idx="146">
                  <c:v>46041</c:v>
                </c:pt>
                <c:pt idx="147">
                  <c:v>46041</c:v>
                </c:pt>
                <c:pt idx="148">
                  <c:v>46042</c:v>
                </c:pt>
                <c:pt idx="149">
                  <c:v>46042</c:v>
                </c:pt>
                <c:pt idx="150">
                  <c:v>46041</c:v>
                </c:pt>
                <c:pt idx="151">
                  <c:v>46038</c:v>
                </c:pt>
                <c:pt idx="152">
                  <c:v>46038</c:v>
                </c:pt>
                <c:pt idx="153">
                  <c:v>46041</c:v>
                </c:pt>
                <c:pt idx="154">
                  <c:v>46038</c:v>
                </c:pt>
                <c:pt idx="155">
                  <c:v>46042</c:v>
                </c:pt>
                <c:pt idx="156">
                  <c:v>46042</c:v>
                </c:pt>
                <c:pt idx="157">
                  <c:v>46059</c:v>
                </c:pt>
                <c:pt idx="158">
                  <c:v>46059</c:v>
                </c:pt>
                <c:pt idx="159">
                  <c:v>46041</c:v>
                </c:pt>
                <c:pt idx="160">
                  <c:v>46044</c:v>
                </c:pt>
                <c:pt idx="161">
                  <c:v>46044</c:v>
                </c:pt>
                <c:pt idx="162">
                  <c:v>46044</c:v>
                </c:pt>
                <c:pt idx="163">
                  <c:v>46044</c:v>
                </c:pt>
                <c:pt idx="164">
                  <c:v>46049</c:v>
                </c:pt>
                <c:pt idx="165">
                  <c:v>46042</c:v>
                </c:pt>
                <c:pt idx="166">
                  <c:v>46042</c:v>
                </c:pt>
                <c:pt idx="167">
                  <c:v>46042</c:v>
                </c:pt>
                <c:pt idx="168">
                  <c:v>46042</c:v>
                </c:pt>
                <c:pt idx="169">
                  <c:v>46042</c:v>
                </c:pt>
                <c:pt idx="170">
                  <c:v>46063</c:v>
                </c:pt>
                <c:pt idx="171">
                  <c:v>46050</c:v>
                </c:pt>
                <c:pt idx="172">
                  <c:v>46049</c:v>
                </c:pt>
                <c:pt idx="173">
                  <c:v>46044</c:v>
                </c:pt>
                <c:pt idx="174">
                  <c:v>46042</c:v>
                </c:pt>
                <c:pt idx="175">
                  <c:v>46043</c:v>
                </c:pt>
                <c:pt idx="176">
                  <c:v>46042</c:v>
                </c:pt>
                <c:pt idx="177">
                  <c:v>46044</c:v>
                </c:pt>
                <c:pt idx="178">
                  <c:v>46044</c:v>
                </c:pt>
                <c:pt idx="179">
                  <c:v>46045</c:v>
                </c:pt>
                <c:pt idx="180">
                  <c:v>46043</c:v>
                </c:pt>
                <c:pt idx="181">
                  <c:v>46084</c:v>
                </c:pt>
                <c:pt idx="182">
                  <c:v>46084</c:v>
                </c:pt>
                <c:pt idx="183">
                  <c:v>46043</c:v>
                </c:pt>
                <c:pt idx="184">
                  <c:v>46084</c:v>
                </c:pt>
                <c:pt idx="185">
                  <c:v>46044</c:v>
                </c:pt>
                <c:pt idx="186">
                  <c:v>46044</c:v>
                </c:pt>
                <c:pt idx="187">
                  <c:v>46044</c:v>
                </c:pt>
                <c:pt idx="188">
                  <c:v>46045</c:v>
                </c:pt>
                <c:pt idx="189">
                  <c:v>46049</c:v>
                </c:pt>
                <c:pt idx="190">
                  <c:v>46044</c:v>
                </c:pt>
                <c:pt idx="191">
                  <c:v>46044</c:v>
                </c:pt>
                <c:pt idx="192">
                  <c:v>46044</c:v>
                </c:pt>
                <c:pt idx="193">
                  <c:v>46045</c:v>
                </c:pt>
                <c:pt idx="194">
                  <c:v>46044</c:v>
                </c:pt>
                <c:pt idx="195">
                  <c:v>46044</c:v>
                </c:pt>
                <c:pt idx="196">
                  <c:v>46045</c:v>
                </c:pt>
                <c:pt idx="197">
                  <c:v>46050</c:v>
                </c:pt>
                <c:pt idx="198">
                  <c:v>46045</c:v>
                </c:pt>
                <c:pt idx="199">
                  <c:v>46056</c:v>
                </c:pt>
                <c:pt idx="200">
                  <c:v>46049</c:v>
                </c:pt>
                <c:pt idx="201">
                  <c:v>46051</c:v>
                </c:pt>
                <c:pt idx="202">
                  <c:v>46048</c:v>
                </c:pt>
                <c:pt idx="203">
                  <c:v>46048</c:v>
                </c:pt>
                <c:pt idx="204">
                  <c:v>46048</c:v>
                </c:pt>
                <c:pt idx="205">
                  <c:v>46048</c:v>
                </c:pt>
                <c:pt idx="206">
                  <c:v>46048</c:v>
                </c:pt>
                <c:pt idx="207">
                  <c:v>46048</c:v>
                </c:pt>
                <c:pt idx="208">
                  <c:v>46048</c:v>
                </c:pt>
                <c:pt idx="209">
                  <c:v>46050</c:v>
                </c:pt>
                <c:pt idx="210">
                  <c:v>46049</c:v>
                </c:pt>
                <c:pt idx="211">
                  <c:v>46051</c:v>
                </c:pt>
                <c:pt idx="212">
                  <c:v>46048</c:v>
                </c:pt>
                <c:pt idx="213">
                  <c:v>46048</c:v>
                </c:pt>
                <c:pt idx="214">
                  <c:v>46048</c:v>
                </c:pt>
                <c:pt idx="215">
                  <c:v>46048</c:v>
                </c:pt>
                <c:pt idx="216">
                  <c:v>46048</c:v>
                </c:pt>
                <c:pt idx="217">
                  <c:v>46048</c:v>
                </c:pt>
                <c:pt idx="218">
                  <c:v>46048</c:v>
                </c:pt>
                <c:pt idx="219">
                  <c:v>46048</c:v>
                </c:pt>
                <c:pt idx="220">
                  <c:v>46048</c:v>
                </c:pt>
                <c:pt idx="221">
                  <c:v>46048</c:v>
                </c:pt>
                <c:pt idx="222">
                  <c:v>46048</c:v>
                </c:pt>
                <c:pt idx="223">
                  <c:v>46048</c:v>
                </c:pt>
                <c:pt idx="224">
                  <c:v>46052</c:v>
                </c:pt>
                <c:pt idx="225">
                  <c:v>46048</c:v>
                </c:pt>
                <c:pt idx="226">
                  <c:v>46048</c:v>
                </c:pt>
                <c:pt idx="227">
                  <c:v>46048</c:v>
                </c:pt>
                <c:pt idx="228">
                  <c:v>46049</c:v>
                </c:pt>
                <c:pt idx="229">
                  <c:v>46100</c:v>
                </c:pt>
                <c:pt idx="230">
                  <c:v>46044</c:v>
                </c:pt>
                <c:pt idx="231">
                  <c:v>46050</c:v>
                </c:pt>
                <c:pt idx="232">
                  <c:v>46051</c:v>
                </c:pt>
                <c:pt idx="233">
                  <c:v>46050</c:v>
                </c:pt>
                <c:pt idx="234">
                  <c:v>46056</c:v>
                </c:pt>
                <c:pt idx="235">
                  <c:v>46052</c:v>
                </c:pt>
                <c:pt idx="236">
                  <c:v>46057</c:v>
                </c:pt>
                <c:pt idx="237">
                  <c:v>46052</c:v>
                </c:pt>
                <c:pt idx="238">
                  <c:v>46072</c:v>
                </c:pt>
                <c:pt idx="239">
                  <c:v>46050</c:v>
                </c:pt>
                <c:pt idx="240">
                  <c:v>46051</c:v>
                </c:pt>
                <c:pt idx="241">
                  <c:v>46045</c:v>
                </c:pt>
                <c:pt idx="242">
                  <c:v>46064</c:v>
                </c:pt>
                <c:pt idx="243">
                  <c:v>46063</c:v>
                </c:pt>
                <c:pt idx="244">
                  <c:v>46063</c:v>
                </c:pt>
                <c:pt idx="245">
                  <c:v>46049</c:v>
                </c:pt>
                <c:pt idx="246">
                  <c:v>46048</c:v>
                </c:pt>
                <c:pt idx="247">
                  <c:v>46160</c:v>
                </c:pt>
                <c:pt idx="248">
                  <c:v>46049</c:v>
                </c:pt>
                <c:pt idx="249">
                  <c:v>46050</c:v>
                </c:pt>
                <c:pt idx="250">
                  <c:v>46056</c:v>
                </c:pt>
                <c:pt idx="251">
                  <c:v>46051</c:v>
                </c:pt>
                <c:pt idx="252">
                  <c:v>46049</c:v>
                </c:pt>
                <c:pt idx="253">
                  <c:v>46050</c:v>
                </c:pt>
                <c:pt idx="254">
                  <c:v>46050</c:v>
                </c:pt>
                <c:pt idx="255">
                  <c:v>46051</c:v>
                </c:pt>
                <c:pt idx="256">
                  <c:v>46049</c:v>
                </c:pt>
                <c:pt idx="257">
                  <c:v>46048</c:v>
                </c:pt>
                <c:pt idx="258">
                  <c:v>46055</c:v>
                </c:pt>
                <c:pt idx="259">
                  <c:v>46055</c:v>
                </c:pt>
                <c:pt idx="260">
                  <c:v>46048</c:v>
                </c:pt>
                <c:pt idx="261">
                  <c:v>46076</c:v>
                </c:pt>
                <c:pt idx="263">
                  <c:v>46055</c:v>
                </c:pt>
                <c:pt idx="264">
                  <c:v>46050</c:v>
                </c:pt>
                <c:pt idx="265">
                  <c:v>46050</c:v>
                </c:pt>
                <c:pt idx="266">
                  <c:v>46048</c:v>
                </c:pt>
                <c:pt idx="267">
                  <c:v>46048</c:v>
                </c:pt>
                <c:pt idx="268">
                  <c:v>46051</c:v>
                </c:pt>
                <c:pt idx="269">
                  <c:v>46051</c:v>
                </c:pt>
                <c:pt idx="270">
                  <c:v>46051</c:v>
                </c:pt>
                <c:pt idx="271">
                  <c:v>46050</c:v>
                </c:pt>
                <c:pt idx="272">
                  <c:v>46051</c:v>
                </c:pt>
                <c:pt idx="273">
                  <c:v>46051</c:v>
                </c:pt>
                <c:pt idx="274">
                  <c:v>46049</c:v>
                </c:pt>
                <c:pt idx="275">
                  <c:v>46049</c:v>
                </c:pt>
                <c:pt idx="276">
                  <c:v>46051</c:v>
                </c:pt>
                <c:pt idx="277">
                  <c:v>46055</c:v>
                </c:pt>
                <c:pt idx="278">
                  <c:v>46063</c:v>
                </c:pt>
                <c:pt idx="280">
                  <c:v>46051</c:v>
                </c:pt>
                <c:pt idx="281">
                  <c:v>46050</c:v>
                </c:pt>
                <c:pt idx="282">
                  <c:v>46050</c:v>
                </c:pt>
                <c:pt idx="283">
                  <c:v>46052</c:v>
                </c:pt>
                <c:pt idx="284">
                  <c:v>46050</c:v>
                </c:pt>
                <c:pt idx="285">
                  <c:v>46055</c:v>
                </c:pt>
                <c:pt idx="286">
                  <c:v>46063</c:v>
                </c:pt>
                <c:pt idx="287">
                  <c:v>46055</c:v>
                </c:pt>
                <c:pt idx="288">
                  <c:v>46055</c:v>
                </c:pt>
                <c:pt idx="289">
                  <c:v>46055</c:v>
                </c:pt>
                <c:pt idx="290">
                  <c:v>46052</c:v>
                </c:pt>
                <c:pt idx="291">
                  <c:v>46055</c:v>
                </c:pt>
                <c:pt idx="292">
                  <c:v>46052</c:v>
                </c:pt>
                <c:pt idx="293">
                  <c:v>46055</c:v>
                </c:pt>
                <c:pt idx="294">
                  <c:v>46057</c:v>
                </c:pt>
                <c:pt idx="295">
                  <c:v>46057</c:v>
                </c:pt>
                <c:pt idx="296">
                  <c:v>46055</c:v>
                </c:pt>
                <c:pt idx="297">
                  <c:v>46063</c:v>
                </c:pt>
                <c:pt idx="298">
                  <c:v>46052</c:v>
                </c:pt>
                <c:pt idx="299">
                  <c:v>46055</c:v>
                </c:pt>
                <c:pt idx="300">
                  <c:v>46055</c:v>
                </c:pt>
                <c:pt idx="301">
                  <c:v>46055</c:v>
                </c:pt>
                <c:pt idx="302">
                  <c:v>46056</c:v>
                </c:pt>
                <c:pt idx="303">
                  <c:v>46055</c:v>
                </c:pt>
                <c:pt idx="304">
                  <c:v>46055</c:v>
                </c:pt>
                <c:pt idx="305">
                  <c:v>46055</c:v>
                </c:pt>
                <c:pt idx="306">
                  <c:v>46056</c:v>
                </c:pt>
                <c:pt idx="307">
                  <c:v>46056</c:v>
                </c:pt>
                <c:pt idx="308">
                  <c:v>46056</c:v>
                </c:pt>
                <c:pt idx="309">
                  <c:v>46056</c:v>
                </c:pt>
                <c:pt idx="310">
                  <c:v>46058</c:v>
                </c:pt>
                <c:pt idx="311">
                  <c:v>46056</c:v>
                </c:pt>
                <c:pt idx="312">
                  <c:v>46056</c:v>
                </c:pt>
                <c:pt idx="313">
                  <c:v>46059</c:v>
                </c:pt>
                <c:pt idx="314">
                  <c:v>46057</c:v>
                </c:pt>
                <c:pt idx="315">
                  <c:v>46057</c:v>
                </c:pt>
                <c:pt idx="316">
                  <c:v>46057</c:v>
                </c:pt>
                <c:pt idx="317">
                  <c:v>46059</c:v>
                </c:pt>
                <c:pt idx="318">
                  <c:v>46057</c:v>
                </c:pt>
                <c:pt idx="319">
                  <c:v>46062</c:v>
                </c:pt>
                <c:pt idx="320">
                  <c:v>46057</c:v>
                </c:pt>
                <c:pt idx="321">
                  <c:v>46077</c:v>
                </c:pt>
                <c:pt idx="322">
                  <c:v>46058</c:v>
                </c:pt>
                <c:pt idx="323">
                  <c:v>46084</c:v>
                </c:pt>
                <c:pt idx="324">
                  <c:v>46062</c:v>
                </c:pt>
                <c:pt idx="325">
                  <c:v>46097</c:v>
                </c:pt>
                <c:pt idx="326">
                  <c:v>46077</c:v>
                </c:pt>
                <c:pt idx="327">
                  <c:v>46059</c:v>
                </c:pt>
                <c:pt idx="328">
                  <c:v>46058</c:v>
                </c:pt>
                <c:pt idx="329">
                  <c:v>46058</c:v>
                </c:pt>
                <c:pt idx="330">
                  <c:v>46058</c:v>
                </c:pt>
                <c:pt idx="331">
                  <c:v>46058</c:v>
                </c:pt>
                <c:pt idx="332">
                  <c:v>46058</c:v>
                </c:pt>
                <c:pt idx="333">
                  <c:v>46063</c:v>
                </c:pt>
                <c:pt idx="334">
                  <c:v>46084</c:v>
                </c:pt>
                <c:pt idx="335">
                  <c:v>46064</c:v>
                </c:pt>
                <c:pt idx="336">
                  <c:v>46059</c:v>
                </c:pt>
                <c:pt idx="337">
                  <c:v>46059</c:v>
                </c:pt>
                <c:pt idx="338">
                  <c:v>46062</c:v>
                </c:pt>
                <c:pt idx="339">
                  <c:v>46063</c:v>
                </c:pt>
                <c:pt idx="340">
                  <c:v>46063</c:v>
                </c:pt>
                <c:pt idx="341">
                  <c:v>46062</c:v>
                </c:pt>
                <c:pt idx="342">
                  <c:v>46063</c:v>
                </c:pt>
                <c:pt idx="343">
                  <c:v>46064</c:v>
                </c:pt>
                <c:pt idx="344">
                  <c:v>46064</c:v>
                </c:pt>
                <c:pt idx="345">
                  <c:v>46062</c:v>
                </c:pt>
                <c:pt idx="346">
                  <c:v>46062</c:v>
                </c:pt>
                <c:pt idx="347">
                  <c:v>46062</c:v>
                </c:pt>
                <c:pt idx="348">
                  <c:v>46072</c:v>
                </c:pt>
                <c:pt idx="349">
                  <c:v>46077</c:v>
                </c:pt>
                <c:pt idx="350">
                  <c:v>46063</c:v>
                </c:pt>
                <c:pt idx="351">
                  <c:v>46062</c:v>
                </c:pt>
                <c:pt idx="352">
                  <c:v>46062</c:v>
                </c:pt>
                <c:pt idx="353">
                  <c:v>46059</c:v>
                </c:pt>
                <c:pt idx="354">
                  <c:v>46059</c:v>
                </c:pt>
                <c:pt idx="355">
                  <c:v>46062</c:v>
                </c:pt>
                <c:pt idx="356">
                  <c:v>46065</c:v>
                </c:pt>
                <c:pt idx="357">
                  <c:v>46064</c:v>
                </c:pt>
                <c:pt idx="358">
                  <c:v>46064</c:v>
                </c:pt>
                <c:pt idx="359">
                  <c:v>46065</c:v>
                </c:pt>
                <c:pt idx="360">
                  <c:v>46064</c:v>
                </c:pt>
                <c:pt idx="361">
                  <c:v>46059</c:v>
                </c:pt>
                <c:pt idx="362">
                  <c:v>46059</c:v>
                </c:pt>
                <c:pt idx="363">
                  <c:v>46059</c:v>
                </c:pt>
                <c:pt idx="364">
                  <c:v>46059</c:v>
                </c:pt>
                <c:pt idx="365">
                  <c:v>46065</c:v>
                </c:pt>
                <c:pt idx="366">
                  <c:v>46065</c:v>
                </c:pt>
                <c:pt idx="367">
                  <c:v>46064</c:v>
                </c:pt>
                <c:pt idx="368">
                  <c:v>46062</c:v>
                </c:pt>
                <c:pt idx="369">
                  <c:v>46063</c:v>
                </c:pt>
                <c:pt idx="370">
                  <c:v>46064</c:v>
                </c:pt>
                <c:pt idx="371">
                  <c:v>46062</c:v>
                </c:pt>
                <c:pt idx="372">
                  <c:v>46072</c:v>
                </c:pt>
                <c:pt idx="373">
                  <c:v>46065</c:v>
                </c:pt>
                <c:pt idx="374">
                  <c:v>46072</c:v>
                </c:pt>
                <c:pt idx="375">
                  <c:v>46065</c:v>
                </c:pt>
                <c:pt idx="376">
                  <c:v>46065</c:v>
                </c:pt>
                <c:pt idx="377">
                  <c:v>46064</c:v>
                </c:pt>
                <c:pt idx="378">
                  <c:v>46064</c:v>
                </c:pt>
                <c:pt idx="379">
                  <c:v>46063</c:v>
                </c:pt>
                <c:pt idx="380">
                  <c:v>46063</c:v>
                </c:pt>
                <c:pt idx="381">
                  <c:v>46063</c:v>
                </c:pt>
                <c:pt idx="382">
                  <c:v>46063</c:v>
                </c:pt>
                <c:pt idx="383">
                  <c:v>46063</c:v>
                </c:pt>
                <c:pt idx="384">
                  <c:v>46063</c:v>
                </c:pt>
                <c:pt idx="385">
                  <c:v>46065</c:v>
                </c:pt>
                <c:pt idx="386">
                  <c:v>46065</c:v>
                </c:pt>
                <c:pt idx="387">
                  <c:v>46064</c:v>
                </c:pt>
                <c:pt idx="388">
                  <c:v>46065</c:v>
                </c:pt>
                <c:pt idx="389">
                  <c:v>46065</c:v>
                </c:pt>
                <c:pt idx="390">
                  <c:v>46064</c:v>
                </c:pt>
                <c:pt idx="391">
                  <c:v>46064</c:v>
                </c:pt>
                <c:pt idx="392">
                  <c:v>46064</c:v>
                </c:pt>
                <c:pt idx="393">
                  <c:v>46062</c:v>
                </c:pt>
                <c:pt idx="394">
                  <c:v>46062</c:v>
                </c:pt>
                <c:pt idx="395">
                  <c:v>46066</c:v>
                </c:pt>
                <c:pt idx="396">
                  <c:v>46072</c:v>
                </c:pt>
                <c:pt idx="397">
                  <c:v>46062</c:v>
                </c:pt>
                <c:pt idx="398">
                  <c:v>46063</c:v>
                </c:pt>
                <c:pt idx="399">
                  <c:v>46065</c:v>
                </c:pt>
                <c:pt idx="400">
                  <c:v>46063</c:v>
                </c:pt>
                <c:pt idx="401">
                  <c:v>46083</c:v>
                </c:pt>
                <c:pt idx="402">
                  <c:v>46063</c:v>
                </c:pt>
                <c:pt idx="403">
                  <c:v>46080</c:v>
                </c:pt>
                <c:pt idx="404">
                  <c:v>46064</c:v>
                </c:pt>
                <c:pt idx="405">
                  <c:v>46062</c:v>
                </c:pt>
                <c:pt idx="406">
                  <c:v>46062</c:v>
                </c:pt>
                <c:pt idx="407">
                  <c:v>46062</c:v>
                </c:pt>
                <c:pt idx="408">
                  <c:v>46065</c:v>
                </c:pt>
                <c:pt idx="409">
                  <c:v>46063</c:v>
                </c:pt>
                <c:pt idx="410">
                  <c:v>46072</c:v>
                </c:pt>
                <c:pt idx="411">
                  <c:v>46072</c:v>
                </c:pt>
                <c:pt idx="412">
                  <c:v>46065</c:v>
                </c:pt>
                <c:pt idx="413">
                  <c:v>46065</c:v>
                </c:pt>
                <c:pt idx="414">
                  <c:v>46146</c:v>
                </c:pt>
                <c:pt idx="415">
                  <c:v>46093</c:v>
                </c:pt>
                <c:pt idx="416">
                  <c:v>46077</c:v>
                </c:pt>
                <c:pt idx="417">
                  <c:v>46064</c:v>
                </c:pt>
                <c:pt idx="418">
                  <c:v>46065</c:v>
                </c:pt>
                <c:pt idx="419">
                  <c:v>46066</c:v>
                </c:pt>
                <c:pt idx="420">
                  <c:v>46072</c:v>
                </c:pt>
                <c:pt idx="421">
                  <c:v>46064</c:v>
                </c:pt>
                <c:pt idx="422">
                  <c:v>46064</c:v>
                </c:pt>
                <c:pt idx="423">
                  <c:v>46065</c:v>
                </c:pt>
                <c:pt idx="424">
                  <c:v>46072</c:v>
                </c:pt>
                <c:pt idx="425">
                  <c:v>46073</c:v>
                </c:pt>
                <c:pt idx="427">
                  <c:v>46065</c:v>
                </c:pt>
                <c:pt idx="428">
                  <c:v>46066</c:v>
                </c:pt>
                <c:pt idx="429">
                  <c:v>46072</c:v>
                </c:pt>
                <c:pt idx="430">
                  <c:v>46072</c:v>
                </c:pt>
                <c:pt idx="431">
                  <c:v>46104</c:v>
                </c:pt>
                <c:pt idx="432">
                  <c:v>46073</c:v>
                </c:pt>
                <c:pt idx="434">
                  <c:v>46073</c:v>
                </c:pt>
                <c:pt idx="435">
                  <c:v>46065</c:v>
                </c:pt>
                <c:pt idx="437">
                  <c:v>46072</c:v>
                </c:pt>
                <c:pt idx="438">
                  <c:v>46079</c:v>
                </c:pt>
                <c:pt idx="439">
                  <c:v>46065</c:v>
                </c:pt>
                <c:pt idx="441">
                  <c:v>46072</c:v>
                </c:pt>
                <c:pt idx="442">
                  <c:v>46064</c:v>
                </c:pt>
                <c:pt idx="443">
                  <c:v>46066</c:v>
                </c:pt>
                <c:pt idx="444">
                  <c:v>46064</c:v>
                </c:pt>
                <c:pt idx="445">
                  <c:v>46073</c:v>
                </c:pt>
                <c:pt idx="446">
                  <c:v>46091</c:v>
                </c:pt>
                <c:pt idx="447">
                  <c:v>46080</c:v>
                </c:pt>
                <c:pt idx="448">
                  <c:v>46072</c:v>
                </c:pt>
                <c:pt idx="449">
                  <c:v>46080</c:v>
                </c:pt>
                <c:pt idx="450">
                  <c:v>46080</c:v>
                </c:pt>
                <c:pt idx="451">
                  <c:v>46080</c:v>
                </c:pt>
                <c:pt idx="452">
                  <c:v>46080</c:v>
                </c:pt>
                <c:pt idx="453">
                  <c:v>46080</c:v>
                </c:pt>
                <c:pt idx="454">
                  <c:v>46065</c:v>
                </c:pt>
                <c:pt idx="455">
                  <c:v>46065</c:v>
                </c:pt>
                <c:pt idx="457">
                  <c:v>46066</c:v>
                </c:pt>
                <c:pt idx="458">
                  <c:v>46066</c:v>
                </c:pt>
                <c:pt idx="459">
                  <c:v>46076</c:v>
                </c:pt>
                <c:pt idx="460">
                  <c:v>46076</c:v>
                </c:pt>
                <c:pt idx="461">
                  <c:v>46072</c:v>
                </c:pt>
                <c:pt idx="462">
                  <c:v>46146</c:v>
                </c:pt>
                <c:pt idx="463">
                  <c:v>46072</c:v>
                </c:pt>
                <c:pt idx="464">
                  <c:v>46065</c:v>
                </c:pt>
                <c:pt idx="465">
                  <c:v>46066</c:v>
                </c:pt>
                <c:pt idx="466">
                  <c:v>46066</c:v>
                </c:pt>
                <c:pt idx="467">
                  <c:v>46080</c:v>
                </c:pt>
                <c:pt idx="468">
                  <c:v>46080</c:v>
                </c:pt>
                <c:pt idx="469">
                  <c:v>46080</c:v>
                </c:pt>
                <c:pt idx="470">
                  <c:v>46080</c:v>
                </c:pt>
                <c:pt idx="471">
                  <c:v>46072</c:v>
                </c:pt>
                <c:pt idx="472">
                  <c:v>46072</c:v>
                </c:pt>
                <c:pt idx="473">
                  <c:v>46072</c:v>
                </c:pt>
                <c:pt idx="474">
                  <c:v>46072</c:v>
                </c:pt>
                <c:pt idx="475">
                  <c:v>46072</c:v>
                </c:pt>
                <c:pt idx="477">
                  <c:v>46072</c:v>
                </c:pt>
                <c:pt idx="478">
                  <c:v>46080</c:v>
                </c:pt>
                <c:pt idx="479">
                  <c:v>46080</c:v>
                </c:pt>
                <c:pt idx="481">
                  <c:v>46091</c:v>
                </c:pt>
                <c:pt idx="482">
                  <c:v>46073</c:v>
                </c:pt>
                <c:pt idx="483">
                  <c:v>46080</c:v>
                </c:pt>
                <c:pt idx="484">
                  <c:v>46077</c:v>
                </c:pt>
                <c:pt idx="485">
                  <c:v>46076</c:v>
                </c:pt>
                <c:pt idx="486">
                  <c:v>46073</c:v>
                </c:pt>
                <c:pt idx="487">
                  <c:v>46072</c:v>
                </c:pt>
                <c:pt idx="488">
                  <c:v>46076</c:v>
                </c:pt>
                <c:pt idx="489">
                  <c:v>46100</c:v>
                </c:pt>
                <c:pt idx="490">
                  <c:v>46083</c:v>
                </c:pt>
                <c:pt idx="491">
                  <c:v>46077</c:v>
                </c:pt>
                <c:pt idx="492">
                  <c:v>46077</c:v>
                </c:pt>
                <c:pt idx="493">
                  <c:v>46076</c:v>
                </c:pt>
                <c:pt idx="494">
                  <c:v>46076</c:v>
                </c:pt>
                <c:pt idx="495">
                  <c:v>46077</c:v>
                </c:pt>
                <c:pt idx="496">
                  <c:v>46077</c:v>
                </c:pt>
                <c:pt idx="497">
                  <c:v>46073</c:v>
                </c:pt>
                <c:pt idx="498">
                  <c:v>46077</c:v>
                </c:pt>
                <c:pt idx="499">
                  <c:v>46076</c:v>
                </c:pt>
                <c:pt idx="500">
                  <c:v>46076</c:v>
                </c:pt>
                <c:pt idx="501">
                  <c:v>46076</c:v>
                </c:pt>
                <c:pt idx="502">
                  <c:v>46076</c:v>
                </c:pt>
                <c:pt idx="503">
                  <c:v>46076</c:v>
                </c:pt>
                <c:pt idx="504">
                  <c:v>46077</c:v>
                </c:pt>
                <c:pt idx="505">
                  <c:v>46076</c:v>
                </c:pt>
                <c:pt idx="506">
                  <c:v>46076</c:v>
                </c:pt>
                <c:pt idx="507">
                  <c:v>46076</c:v>
                </c:pt>
                <c:pt idx="508">
                  <c:v>46090</c:v>
                </c:pt>
                <c:pt idx="509">
                  <c:v>46077</c:v>
                </c:pt>
                <c:pt idx="510">
                  <c:v>46100</c:v>
                </c:pt>
                <c:pt idx="511">
                  <c:v>46076</c:v>
                </c:pt>
                <c:pt idx="512">
                  <c:v>46083</c:v>
                </c:pt>
                <c:pt idx="513">
                  <c:v>46083</c:v>
                </c:pt>
                <c:pt idx="514">
                  <c:v>46076</c:v>
                </c:pt>
                <c:pt idx="515">
                  <c:v>46076</c:v>
                </c:pt>
                <c:pt idx="516">
                  <c:v>46076</c:v>
                </c:pt>
                <c:pt idx="517">
                  <c:v>46076</c:v>
                </c:pt>
                <c:pt idx="518">
                  <c:v>46076</c:v>
                </c:pt>
                <c:pt idx="519">
                  <c:v>46085</c:v>
                </c:pt>
                <c:pt idx="520">
                  <c:v>46076</c:v>
                </c:pt>
                <c:pt idx="521">
                  <c:v>46099</c:v>
                </c:pt>
                <c:pt idx="522">
                  <c:v>46079</c:v>
                </c:pt>
                <c:pt idx="523">
                  <c:v>46079</c:v>
                </c:pt>
                <c:pt idx="524">
                  <c:v>46083</c:v>
                </c:pt>
                <c:pt idx="525">
                  <c:v>46085</c:v>
                </c:pt>
                <c:pt idx="526">
                  <c:v>46083</c:v>
                </c:pt>
                <c:pt idx="527">
                  <c:v>46080</c:v>
                </c:pt>
                <c:pt idx="528">
                  <c:v>46079</c:v>
                </c:pt>
                <c:pt idx="529">
                  <c:v>46079</c:v>
                </c:pt>
                <c:pt idx="530">
                  <c:v>46077</c:v>
                </c:pt>
                <c:pt idx="531">
                  <c:v>46077</c:v>
                </c:pt>
                <c:pt idx="532">
                  <c:v>46077</c:v>
                </c:pt>
                <c:pt idx="533">
                  <c:v>46079</c:v>
                </c:pt>
                <c:pt idx="534">
                  <c:v>46080</c:v>
                </c:pt>
                <c:pt idx="535">
                  <c:v>46079</c:v>
                </c:pt>
                <c:pt idx="536">
                  <c:v>46079</c:v>
                </c:pt>
                <c:pt idx="537">
                  <c:v>46079</c:v>
                </c:pt>
                <c:pt idx="538">
                  <c:v>46079</c:v>
                </c:pt>
                <c:pt idx="539">
                  <c:v>46079</c:v>
                </c:pt>
                <c:pt idx="541">
                  <c:v>46083</c:v>
                </c:pt>
                <c:pt idx="542">
                  <c:v>46083</c:v>
                </c:pt>
                <c:pt idx="543">
                  <c:v>46085</c:v>
                </c:pt>
                <c:pt idx="544">
                  <c:v>46080</c:v>
                </c:pt>
                <c:pt idx="545">
                  <c:v>46079</c:v>
                </c:pt>
                <c:pt idx="546">
                  <c:v>46085</c:v>
                </c:pt>
                <c:pt idx="547">
                  <c:v>46080</c:v>
                </c:pt>
                <c:pt idx="548">
                  <c:v>46080</c:v>
                </c:pt>
                <c:pt idx="549">
                  <c:v>46084</c:v>
                </c:pt>
                <c:pt idx="550">
                  <c:v>46079</c:v>
                </c:pt>
                <c:pt idx="551">
                  <c:v>46079</c:v>
                </c:pt>
                <c:pt idx="552">
                  <c:v>46083</c:v>
                </c:pt>
                <c:pt idx="553">
                  <c:v>46079</c:v>
                </c:pt>
                <c:pt idx="554">
                  <c:v>46079</c:v>
                </c:pt>
                <c:pt idx="555">
                  <c:v>46079</c:v>
                </c:pt>
                <c:pt idx="556">
                  <c:v>46084</c:v>
                </c:pt>
                <c:pt idx="557">
                  <c:v>46080</c:v>
                </c:pt>
                <c:pt idx="558">
                  <c:v>46080</c:v>
                </c:pt>
                <c:pt idx="559">
                  <c:v>46080</c:v>
                </c:pt>
                <c:pt idx="560">
                  <c:v>46080</c:v>
                </c:pt>
                <c:pt idx="561">
                  <c:v>46084</c:v>
                </c:pt>
                <c:pt idx="562">
                  <c:v>46084</c:v>
                </c:pt>
                <c:pt idx="563">
                  <c:v>46083</c:v>
                </c:pt>
                <c:pt idx="564">
                  <c:v>46084</c:v>
                </c:pt>
                <c:pt idx="565">
                  <c:v>46080</c:v>
                </c:pt>
                <c:pt idx="566">
                  <c:v>46080</c:v>
                </c:pt>
                <c:pt idx="567">
                  <c:v>46080</c:v>
                </c:pt>
                <c:pt idx="568">
                  <c:v>46080</c:v>
                </c:pt>
                <c:pt idx="569">
                  <c:v>46083</c:v>
                </c:pt>
                <c:pt idx="570">
                  <c:v>46080</c:v>
                </c:pt>
                <c:pt idx="571">
                  <c:v>46084</c:v>
                </c:pt>
                <c:pt idx="572">
                  <c:v>46080</c:v>
                </c:pt>
                <c:pt idx="573">
                  <c:v>46083</c:v>
                </c:pt>
                <c:pt idx="574">
                  <c:v>46080</c:v>
                </c:pt>
                <c:pt idx="575">
                  <c:v>46083</c:v>
                </c:pt>
                <c:pt idx="576">
                  <c:v>46079</c:v>
                </c:pt>
                <c:pt idx="579">
                  <c:v>46085</c:v>
                </c:pt>
                <c:pt idx="580">
                  <c:v>46084</c:v>
                </c:pt>
                <c:pt idx="581">
                  <c:v>46085</c:v>
                </c:pt>
                <c:pt idx="582">
                  <c:v>46085</c:v>
                </c:pt>
                <c:pt idx="583">
                  <c:v>46080</c:v>
                </c:pt>
                <c:pt idx="584">
                  <c:v>46080</c:v>
                </c:pt>
                <c:pt idx="585">
                  <c:v>46083</c:v>
                </c:pt>
                <c:pt idx="586">
                  <c:v>46083</c:v>
                </c:pt>
                <c:pt idx="587">
                  <c:v>46083</c:v>
                </c:pt>
                <c:pt idx="588">
                  <c:v>46083</c:v>
                </c:pt>
                <c:pt idx="589">
                  <c:v>46080</c:v>
                </c:pt>
                <c:pt idx="590">
                  <c:v>46084</c:v>
                </c:pt>
                <c:pt idx="591">
                  <c:v>46084</c:v>
                </c:pt>
                <c:pt idx="592">
                  <c:v>46084</c:v>
                </c:pt>
                <c:pt idx="593">
                  <c:v>46086</c:v>
                </c:pt>
                <c:pt idx="594">
                  <c:v>46093</c:v>
                </c:pt>
                <c:pt idx="595">
                  <c:v>46085</c:v>
                </c:pt>
                <c:pt idx="596">
                  <c:v>46084</c:v>
                </c:pt>
                <c:pt idx="597">
                  <c:v>46084</c:v>
                </c:pt>
                <c:pt idx="598">
                  <c:v>46083</c:v>
                </c:pt>
                <c:pt idx="599">
                  <c:v>46085</c:v>
                </c:pt>
                <c:pt idx="600">
                  <c:v>46085</c:v>
                </c:pt>
                <c:pt idx="601">
                  <c:v>46085</c:v>
                </c:pt>
                <c:pt idx="602">
                  <c:v>46084</c:v>
                </c:pt>
                <c:pt idx="603">
                  <c:v>46085</c:v>
                </c:pt>
                <c:pt idx="604">
                  <c:v>46084</c:v>
                </c:pt>
                <c:pt idx="605">
                  <c:v>46085</c:v>
                </c:pt>
                <c:pt idx="606">
                  <c:v>46085</c:v>
                </c:pt>
                <c:pt idx="607">
                  <c:v>46085</c:v>
                </c:pt>
                <c:pt idx="608">
                  <c:v>46084</c:v>
                </c:pt>
                <c:pt idx="609">
                  <c:v>46084</c:v>
                </c:pt>
                <c:pt idx="610">
                  <c:v>46093</c:v>
                </c:pt>
                <c:pt idx="611">
                  <c:v>46084</c:v>
                </c:pt>
                <c:pt idx="612">
                  <c:v>46092</c:v>
                </c:pt>
                <c:pt idx="613">
                  <c:v>46085</c:v>
                </c:pt>
                <c:pt idx="614">
                  <c:v>46084</c:v>
                </c:pt>
                <c:pt idx="615">
                  <c:v>46084</c:v>
                </c:pt>
                <c:pt idx="616">
                  <c:v>46085</c:v>
                </c:pt>
                <c:pt idx="617">
                  <c:v>46087</c:v>
                </c:pt>
                <c:pt idx="618">
                  <c:v>46087</c:v>
                </c:pt>
                <c:pt idx="619">
                  <c:v>46087</c:v>
                </c:pt>
                <c:pt idx="620">
                  <c:v>46085</c:v>
                </c:pt>
                <c:pt idx="621">
                  <c:v>46085</c:v>
                </c:pt>
                <c:pt idx="622">
                  <c:v>46086</c:v>
                </c:pt>
                <c:pt idx="623">
                  <c:v>46084</c:v>
                </c:pt>
                <c:pt idx="624">
                  <c:v>46085</c:v>
                </c:pt>
                <c:pt idx="625">
                  <c:v>46084</c:v>
                </c:pt>
                <c:pt idx="626">
                  <c:v>46085</c:v>
                </c:pt>
                <c:pt idx="627">
                  <c:v>46084</c:v>
                </c:pt>
                <c:pt idx="628">
                  <c:v>46085</c:v>
                </c:pt>
                <c:pt idx="629">
                  <c:v>46086</c:v>
                </c:pt>
                <c:pt idx="630">
                  <c:v>46086</c:v>
                </c:pt>
                <c:pt idx="631">
                  <c:v>46086</c:v>
                </c:pt>
                <c:pt idx="632">
                  <c:v>46086</c:v>
                </c:pt>
                <c:pt idx="633">
                  <c:v>46086</c:v>
                </c:pt>
                <c:pt idx="634">
                  <c:v>46086</c:v>
                </c:pt>
                <c:pt idx="635">
                  <c:v>46086</c:v>
                </c:pt>
                <c:pt idx="636">
                  <c:v>46086</c:v>
                </c:pt>
                <c:pt idx="637">
                  <c:v>46085</c:v>
                </c:pt>
                <c:pt idx="638">
                  <c:v>46085</c:v>
                </c:pt>
                <c:pt idx="639">
                  <c:v>46085</c:v>
                </c:pt>
                <c:pt idx="640">
                  <c:v>46084</c:v>
                </c:pt>
                <c:pt idx="641">
                  <c:v>46084</c:v>
                </c:pt>
                <c:pt idx="642">
                  <c:v>46084</c:v>
                </c:pt>
                <c:pt idx="643">
                  <c:v>46084</c:v>
                </c:pt>
                <c:pt idx="644">
                  <c:v>46086</c:v>
                </c:pt>
                <c:pt idx="645">
                  <c:v>46085</c:v>
                </c:pt>
                <c:pt idx="646">
                  <c:v>46085</c:v>
                </c:pt>
                <c:pt idx="647">
                  <c:v>46085</c:v>
                </c:pt>
                <c:pt idx="648">
                  <c:v>46085</c:v>
                </c:pt>
                <c:pt idx="649">
                  <c:v>46086</c:v>
                </c:pt>
                <c:pt idx="650">
                  <c:v>46087</c:v>
                </c:pt>
                <c:pt idx="651">
                  <c:v>46086</c:v>
                </c:pt>
                <c:pt idx="652">
                  <c:v>46091</c:v>
                </c:pt>
                <c:pt idx="653">
                  <c:v>46086</c:v>
                </c:pt>
                <c:pt idx="654">
                  <c:v>46093</c:v>
                </c:pt>
                <c:pt idx="655">
                  <c:v>46108</c:v>
                </c:pt>
                <c:pt idx="656">
                  <c:v>46087</c:v>
                </c:pt>
                <c:pt idx="657">
                  <c:v>46092</c:v>
                </c:pt>
                <c:pt idx="658">
                  <c:v>46091</c:v>
                </c:pt>
                <c:pt idx="659">
                  <c:v>46086</c:v>
                </c:pt>
                <c:pt idx="660">
                  <c:v>46087</c:v>
                </c:pt>
                <c:pt idx="661">
                  <c:v>46086</c:v>
                </c:pt>
                <c:pt idx="662">
                  <c:v>46086</c:v>
                </c:pt>
                <c:pt idx="663">
                  <c:v>46091</c:v>
                </c:pt>
                <c:pt idx="664">
                  <c:v>46092</c:v>
                </c:pt>
                <c:pt idx="665">
                  <c:v>46086</c:v>
                </c:pt>
                <c:pt idx="666">
                  <c:v>44989</c:v>
                </c:pt>
                <c:pt idx="667">
                  <c:v>46086</c:v>
                </c:pt>
                <c:pt idx="668">
                  <c:v>46086</c:v>
                </c:pt>
                <c:pt idx="669">
                  <c:v>46086</c:v>
                </c:pt>
                <c:pt idx="670">
                  <c:v>46086</c:v>
                </c:pt>
                <c:pt idx="671">
                  <c:v>46087</c:v>
                </c:pt>
                <c:pt idx="672">
                  <c:v>46087</c:v>
                </c:pt>
                <c:pt idx="673">
                  <c:v>46087</c:v>
                </c:pt>
                <c:pt idx="674">
                  <c:v>46087</c:v>
                </c:pt>
                <c:pt idx="675">
                  <c:v>46090</c:v>
                </c:pt>
                <c:pt idx="676">
                  <c:v>46087</c:v>
                </c:pt>
                <c:pt idx="677">
                  <c:v>46090</c:v>
                </c:pt>
                <c:pt idx="678">
                  <c:v>46090</c:v>
                </c:pt>
                <c:pt idx="679">
                  <c:v>46086</c:v>
                </c:pt>
                <c:pt idx="680">
                  <c:v>46087</c:v>
                </c:pt>
                <c:pt idx="681">
                  <c:v>46087</c:v>
                </c:pt>
                <c:pt idx="682">
                  <c:v>46087</c:v>
                </c:pt>
                <c:pt idx="683">
                  <c:v>46087</c:v>
                </c:pt>
                <c:pt idx="684">
                  <c:v>46087</c:v>
                </c:pt>
                <c:pt idx="685">
                  <c:v>46090</c:v>
                </c:pt>
                <c:pt idx="686">
                  <c:v>46090</c:v>
                </c:pt>
                <c:pt idx="687">
                  <c:v>46090</c:v>
                </c:pt>
                <c:pt idx="688">
                  <c:v>46090</c:v>
                </c:pt>
                <c:pt idx="689">
                  <c:v>46086</c:v>
                </c:pt>
                <c:pt idx="690">
                  <c:v>46086</c:v>
                </c:pt>
                <c:pt idx="691">
                  <c:v>46086</c:v>
                </c:pt>
                <c:pt idx="692">
                  <c:v>46090</c:v>
                </c:pt>
                <c:pt idx="693">
                  <c:v>46087</c:v>
                </c:pt>
                <c:pt idx="694">
                  <c:v>46090</c:v>
                </c:pt>
                <c:pt idx="695">
                  <c:v>46090</c:v>
                </c:pt>
                <c:pt idx="696">
                  <c:v>46098</c:v>
                </c:pt>
                <c:pt idx="697">
                  <c:v>46098</c:v>
                </c:pt>
                <c:pt idx="698">
                  <c:v>46094</c:v>
                </c:pt>
                <c:pt idx="699">
                  <c:v>46092</c:v>
                </c:pt>
                <c:pt idx="700">
                  <c:v>46091</c:v>
                </c:pt>
                <c:pt idx="701">
                  <c:v>46094</c:v>
                </c:pt>
                <c:pt idx="702">
                  <c:v>46092</c:v>
                </c:pt>
                <c:pt idx="703">
                  <c:v>46087</c:v>
                </c:pt>
                <c:pt idx="704">
                  <c:v>46094</c:v>
                </c:pt>
                <c:pt idx="705">
                  <c:v>46090</c:v>
                </c:pt>
                <c:pt idx="706">
                  <c:v>46087</c:v>
                </c:pt>
                <c:pt idx="707">
                  <c:v>46090</c:v>
                </c:pt>
                <c:pt idx="708">
                  <c:v>46097</c:v>
                </c:pt>
                <c:pt idx="709">
                  <c:v>46087</c:v>
                </c:pt>
                <c:pt idx="710">
                  <c:v>46087</c:v>
                </c:pt>
                <c:pt idx="711">
                  <c:v>46090</c:v>
                </c:pt>
                <c:pt idx="712">
                  <c:v>46087</c:v>
                </c:pt>
                <c:pt idx="713">
                  <c:v>46091</c:v>
                </c:pt>
                <c:pt idx="714">
                  <c:v>46097</c:v>
                </c:pt>
                <c:pt idx="715">
                  <c:v>46097</c:v>
                </c:pt>
                <c:pt idx="716">
                  <c:v>46090</c:v>
                </c:pt>
                <c:pt idx="717">
                  <c:v>46090</c:v>
                </c:pt>
                <c:pt idx="718">
                  <c:v>46090</c:v>
                </c:pt>
                <c:pt idx="719">
                  <c:v>46090</c:v>
                </c:pt>
                <c:pt idx="720">
                  <c:v>46093</c:v>
                </c:pt>
                <c:pt idx="721">
                  <c:v>46087</c:v>
                </c:pt>
                <c:pt idx="722">
                  <c:v>46090</c:v>
                </c:pt>
                <c:pt idx="723">
                  <c:v>46087</c:v>
                </c:pt>
                <c:pt idx="724">
                  <c:v>46091</c:v>
                </c:pt>
                <c:pt idx="725">
                  <c:v>46097</c:v>
                </c:pt>
                <c:pt idx="726">
                  <c:v>46087</c:v>
                </c:pt>
                <c:pt idx="727">
                  <c:v>46086</c:v>
                </c:pt>
                <c:pt idx="728">
                  <c:v>46093</c:v>
                </c:pt>
                <c:pt idx="729">
                  <c:v>46093</c:v>
                </c:pt>
                <c:pt idx="730">
                  <c:v>46093</c:v>
                </c:pt>
                <c:pt idx="731">
                  <c:v>46091</c:v>
                </c:pt>
                <c:pt idx="732">
                  <c:v>46090</c:v>
                </c:pt>
                <c:pt idx="733">
                  <c:v>46090</c:v>
                </c:pt>
                <c:pt idx="734">
                  <c:v>46087</c:v>
                </c:pt>
                <c:pt idx="735">
                  <c:v>46091</c:v>
                </c:pt>
                <c:pt idx="736">
                  <c:v>46091</c:v>
                </c:pt>
                <c:pt idx="737">
                  <c:v>46091</c:v>
                </c:pt>
                <c:pt idx="738">
                  <c:v>46090</c:v>
                </c:pt>
                <c:pt idx="739">
                  <c:v>46090</c:v>
                </c:pt>
                <c:pt idx="740">
                  <c:v>46090</c:v>
                </c:pt>
                <c:pt idx="741">
                  <c:v>46093</c:v>
                </c:pt>
                <c:pt idx="742">
                  <c:v>46092</c:v>
                </c:pt>
                <c:pt idx="743">
                  <c:v>46091</c:v>
                </c:pt>
                <c:pt idx="744">
                  <c:v>46093</c:v>
                </c:pt>
                <c:pt idx="745">
                  <c:v>46112</c:v>
                </c:pt>
                <c:pt idx="746">
                  <c:v>46099</c:v>
                </c:pt>
                <c:pt idx="747">
                  <c:v>46093</c:v>
                </c:pt>
                <c:pt idx="748">
                  <c:v>46100</c:v>
                </c:pt>
                <c:pt idx="749">
                  <c:v>46093</c:v>
                </c:pt>
                <c:pt idx="750">
                  <c:v>46091</c:v>
                </c:pt>
                <c:pt idx="751">
                  <c:v>46087</c:v>
                </c:pt>
                <c:pt idx="752">
                  <c:v>46093</c:v>
                </c:pt>
                <c:pt idx="753">
                  <c:v>46093</c:v>
                </c:pt>
                <c:pt idx="754">
                  <c:v>46091</c:v>
                </c:pt>
                <c:pt idx="755">
                  <c:v>46091</c:v>
                </c:pt>
                <c:pt idx="756">
                  <c:v>46091</c:v>
                </c:pt>
                <c:pt idx="757">
                  <c:v>46091</c:v>
                </c:pt>
                <c:pt idx="758">
                  <c:v>46112</c:v>
                </c:pt>
                <c:pt idx="759">
                  <c:v>46129</c:v>
                </c:pt>
                <c:pt idx="760">
                  <c:v>46112</c:v>
                </c:pt>
                <c:pt idx="761">
                  <c:v>46112</c:v>
                </c:pt>
                <c:pt idx="762">
                  <c:v>46112</c:v>
                </c:pt>
                <c:pt idx="763">
                  <c:v>46091</c:v>
                </c:pt>
                <c:pt idx="764">
                  <c:v>46091</c:v>
                </c:pt>
                <c:pt idx="765">
                  <c:v>46093</c:v>
                </c:pt>
                <c:pt idx="766">
                  <c:v>0</c:v>
                </c:pt>
                <c:pt idx="767">
                  <c:v>46091</c:v>
                </c:pt>
                <c:pt idx="768">
                  <c:v>46091</c:v>
                </c:pt>
                <c:pt idx="769">
                  <c:v>46091</c:v>
                </c:pt>
                <c:pt idx="770">
                  <c:v>46092</c:v>
                </c:pt>
                <c:pt idx="771">
                  <c:v>46091</c:v>
                </c:pt>
                <c:pt idx="772">
                  <c:v>46091</c:v>
                </c:pt>
                <c:pt idx="773">
                  <c:v>46092</c:v>
                </c:pt>
                <c:pt idx="774">
                  <c:v>46092</c:v>
                </c:pt>
                <c:pt idx="775">
                  <c:v>46097</c:v>
                </c:pt>
                <c:pt idx="776">
                  <c:v>46097</c:v>
                </c:pt>
                <c:pt idx="777">
                  <c:v>46092</c:v>
                </c:pt>
                <c:pt idx="778">
                  <c:v>46112</c:v>
                </c:pt>
                <c:pt idx="779">
                  <c:v>46140</c:v>
                </c:pt>
                <c:pt idx="780">
                  <c:v>46099</c:v>
                </c:pt>
                <c:pt idx="781">
                  <c:v>46127</c:v>
                </c:pt>
                <c:pt idx="782">
                  <c:v>46100</c:v>
                </c:pt>
                <c:pt idx="783">
                  <c:v>46093</c:v>
                </c:pt>
                <c:pt idx="784">
                  <c:v>46093</c:v>
                </c:pt>
                <c:pt idx="785">
                  <c:v>46099</c:v>
                </c:pt>
                <c:pt idx="786">
                  <c:v>46093</c:v>
                </c:pt>
                <c:pt idx="787">
                  <c:v>46093</c:v>
                </c:pt>
                <c:pt idx="788">
                  <c:v>46092</c:v>
                </c:pt>
                <c:pt idx="789">
                  <c:v>46098</c:v>
                </c:pt>
                <c:pt idx="790">
                  <c:v>46098</c:v>
                </c:pt>
                <c:pt idx="791">
                  <c:v>46098</c:v>
                </c:pt>
                <c:pt idx="792">
                  <c:v>46098</c:v>
                </c:pt>
                <c:pt idx="793">
                  <c:v>46098</c:v>
                </c:pt>
                <c:pt idx="794">
                  <c:v>46094</c:v>
                </c:pt>
                <c:pt idx="795">
                  <c:v>46099</c:v>
                </c:pt>
                <c:pt idx="796">
                  <c:v>46099</c:v>
                </c:pt>
                <c:pt idx="797">
                  <c:v>46093</c:v>
                </c:pt>
                <c:pt idx="798">
                  <c:v>46091</c:v>
                </c:pt>
                <c:pt idx="799">
                  <c:v>46092</c:v>
                </c:pt>
                <c:pt idx="800">
                  <c:v>46094</c:v>
                </c:pt>
                <c:pt idx="801">
                  <c:v>46093</c:v>
                </c:pt>
                <c:pt idx="802">
                  <c:v>46111</c:v>
                </c:pt>
                <c:pt idx="803">
                  <c:v>46097</c:v>
                </c:pt>
                <c:pt idx="804">
                  <c:v>46097</c:v>
                </c:pt>
                <c:pt idx="805">
                  <c:v>46098</c:v>
                </c:pt>
                <c:pt idx="806">
                  <c:v>46094</c:v>
                </c:pt>
                <c:pt idx="807">
                  <c:v>46094</c:v>
                </c:pt>
                <c:pt idx="808">
                  <c:v>46097</c:v>
                </c:pt>
                <c:pt idx="809">
                  <c:v>46140</c:v>
                </c:pt>
                <c:pt idx="810">
                  <c:v>46094</c:v>
                </c:pt>
                <c:pt idx="811">
                  <c:v>46097</c:v>
                </c:pt>
                <c:pt idx="812">
                  <c:v>46097</c:v>
                </c:pt>
                <c:pt idx="813">
                  <c:v>46097</c:v>
                </c:pt>
                <c:pt idx="814">
                  <c:v>46097</c:v>
                </c:pt>
                <c:pt idx="815">
                  <c:v>46097</c:v>
                </c:pt>
                <c:pt idx="816">
                  <c:v>46107</c:v>
                </c:pt>
                <c:pt idx="817">
                  <c:v>46093</c:v>
                </c:pt>
                <c:pt idx="818">
                  <c:v>46099</c:v>
                </c:pt>
                <c:pt idx="819">
                  <c:v>46098</c:v>
                </c:pt>
                <c:pt idx="820">
                  <c:v>46098</c:v>
                </c:pt>
                <c:pt idx="821">
                  <c:v>46098</c:v>
                </c:pt>
                <c:pt idx="822">
                  <c:v>46098</c:v>
                </c:pt>
                <c:pt idx="823">
                  <c:v>46098</c:v>
                </c:pt>
                <c:pt idx="824">
                  <c:v>46098</c:v>
                </c:pt>
                <c:pt idx="825">
                  <c:v>46098</c:v>
                </c:pt>
                <c:pt idx="826">
                  <c:v>46099</c:v>
                </c:pt>
                <c:pt idx="827">
                  <c:v>46094</c:v>
                </c:pt>
                <c:pt idx="828">
                  <c:v>46094</c:v>
                </c:pt>
                <c:pt idx="829">
                  <c:v>46094</c:v>
                </c:pt>
                <c:pt idx="830">
                  <c:v>46097</c:v>
                </c:pt>
                <c:pt idx="831">
                  <c:v>46101</c:v>
                </c:pt>
                <c:pt idx="832">
                  <c:v>46097</c:v>
                </c:pt>
                <c:pt idx="833">
                  <c:v>46100</c:v>
                </c:pt>
                <c:pt idx="834">
                  <c:v>46104</c:v>
                </c:pt>
                <c:pt idx="835">
                  <c:v>46097</c:v>
                </c:pt>
                <c:pt idx="836">
                  <c:v>46097</c:v>
                </c:pt>
                <c:pt idx="837">
                  <c:v>46098</c:v>
                </c:pt>
                <c:pt idx="838">
                  <c:v>46094</c:v>
                </c:pt>
                <c:pt idx="839">
                  <c:v>46094</c:v>
                </c:pt>
                <c:pt idx="840">
                  <c:v>46094</c:v>
                </c:pt>
                <c:pt idx="841">
                  <c:v>46098</c:v>
                </c:pt>
                <c:pt idx="842">
                  <c:v>46101</c:v>
                </c:pt>
                <c:pt idx="843">
                  <c:v>46099</c:v>
                </c:pt>
                <c:pt idx="844">
                  <c:v>46097</c:v>
                </c:pt>
                <c:pt idx="845">
                  <c:v>46094</c:v>
                </c:pt>
                <c:pt idx="846">
                  <c:v>46094</c:v>
                </c:pt>
                <c:pt idx="847">
                  <c:v>46094</c:v>
                </c:pt>
                <c:pt idx="848">
                  <c:v>46094</c:v>
                </c:pt>
                <c:pt idx="849">
                  <c:v>46098</c:v>
                </c:pt>
                <c:pt idx="850">
                  <c:v>46098</c:v>
                </c:pt>
                <c:pt idx="851">
                  <c:v>46101</c:v>
                </c:pt>
                <c:pt idx="852">
                  <c:v>46100</c:v>
                </c:pt>
                <c:pt idx="853">
                  <c:v>46098</c:v>
                </c:pt>
                <c:pt idx="854">
                  <c:v>46099</c:v>
                </c:pt>
                <c:pt idx="855">
                  <c:v>46098</c:v>
                </c:pt>
                <c:pt idx="856">
                  <c:v>46094</c:v>
                </c:pt>
                <c:pt idx="857">
                  <c:v>46120</c:v>
                </c:pt>
                <c:pt idx="858">
                  <c:v>46097</c:v>
                </c:pt>
                <c:pt idx="859">
                  <c:v>46101</c:v>
                </c:pt>
                <c:pt idx="860">
                  <c:v>46101</c:v>
                </c:pt>
                <c:pt idx="861">
                  <c:v>46120</c:v>
                </c:pt>
                <c:pt idx="862">
                  <c:v>46099</c:v>
                </c:pt>
                <c:pt idx="863">
                  <c:v>46099</c:v>
                </c:pt>
                <c:pt idx="864">
                  <c:v>46099</c:v>
                </c:pt>
                <c:pt idx="865">
                  <c:v>46099</c:v>
                </c:pt>
                <c:pt idx="866">
                  <c:v>46099</c:v>
                </c:pt>
                <c:pt idx="867">
                  <c:v>46100</c:v>
                </c:pt>
                <c:pt idx="868">
                  <c:v>46097</c:v>
                </c:pt>
                <c:pt idx="869">
                  <c:v>0</c:v>
                </c:pt>
                <c:pt idx="870">
                  <c:v>46134</c:v>
                </c:pt>
                <c:pt idx="871">
                  <c:v>46129</c:v>
                </c:pt>
                <c:pt idx="872">
                  <c:v>46129</c:v>
                </c:pt>
                <c:pt idx="873">
                  <c:v>46097</c:v>
                </c:pt>
                <c:pt idx="874">
                  <c:v>46098</c:v>
                </c:pt>
                <c:pt idx="875">
                  <c:v>46097</c:v>
                </c:pt>
                <c:pt idx="876">
                  <c:v>46098</c:v>
                </c:pt>
                <c:pt idx="877">
                  <c:v>46098</c:v>
                </c:pt>
                <c:pt idx="878">
                  <c:v>46100</c:v>
                </c:pt>
                <c:pt idx="879">
                  <c:v>46099</c:v>
                </c:pt>
                <c:pt idx="880">
                  <c:v>46120</c:v>
                </c:pt>
                <c:pt idx="881">
                  <c:v>46099</c:v>
                </c:pt>
                <c:pt idx="882">
                  <c:v>46099</c:v>
                </c:pt>
                <c:pt idx="883">
                  <c:v>46098</c:v>
                </c:pt>
                <c:pt idx="884">
                  <c:v>46101</c:v>
                </c:pt>
                <c:pt idx="885">
                  <c:v>46097</c:v>
                </c:pt>
                <c:pt idx="886">
                  <c:v>46099</c:v>
                </c:pt>
                <c:pt idx="887">
                  <c:v>46105</c:v>
                </c:pt>
                <c:pt idx="888">
                  <c:v>46146</c:v>
                </c:pt>
                <c:pt idx="889">
                  <c:v>46101</c:v>
                </c:pt>
                <c:pt idx="890">
                  <c:v>46106</c:v>
                </c:pt>
                <c:pt idx="891">
                  <c:v>46112</c:v>
                </c:pt>
                <c:pt idx="892">
                  <c:v>46099</c:v>
                </c:pt>
                <c:pt idx="893">
                  <c:v>46099</c:v>
                </c:pt>
                <c:pt idx="894">
                  <c:v>46099</c:v>
                </c:pt>
                <c:pt idx="895">
                  <c:v>46099</c:v>
                </c:pt>
                <c:pt idx="896">
                  <c:v>46100</c:v>
                </c:pt>
                <c:pt idx="897">
                  <c:v>46099</c:v>
                </c:pt>
                <c:pt idx="898">
                  <c:v>46099</c:v>
                </c:pt>
                <c:pt idx="899">
                  <c:v>46099</c:v>
                </c:pt>
                <c:pt idx="900">
                  <c:v>46099</c:v>
                </c:pt>
                <c:pt idx="901">
                  <c:v>46099</c:v>
                </c:pt>
                <c:pt idx="902">
                  <c:v>46098</c:v>
                </c:pt>
                <c:pt idx="903">
                  <c:v>46099</c:v>
                </c:pt>
                <c:pt idx="904">
                  <c:v>46099</c:v>
                </c:pt>
                <c:pt idx="905">
                  <c:v>46101</c:v>
                </c:pt>
                <c:pt idx="906">
                  <c:v>46100</c:v>
                </c:pt>
                <c:pt idx="907">
                  <c:v>46100</c:v>
                </c:pt>
                <c:pt idx="908">
                  <c:v>46100</c:v>
                </c:pt>
                <c:pt idx="909">
                  <c:v>46101</c:v>
                </c:pt>
                <c:pt idx="910">
                  <c:v>46100</c:v>
                </c:pt>
                <c:pt idx="911">
                  <c:v>46101</c:v>
                </c:pt>
                <c:pt idx="912">
                  <c:v>46101</c:v>
                </c:pt>
                <c:pt idx="913">
                  <c:v>46108</c:v>
                </c:pt>
                <c:pt idx="914">
                  <c:v>46100</c:v>
                </c:pt>
                <c:pt idx="915">
                  <c:v>46113</c:v>
                </c:pt>
                <c:pt idx="916">
                  <c:v>46105</c:v>
                </c:pt>
                <c:pt idx="917">
                  <c:v>46100</c:v>
                </c:pt>
                <c:pt idx="918">
                  <c:v>46105</c:v>
                </c:pt>
                <c:pt idx="919">
                  <c:v>46126</c:v>
                </c:pt>
                <c:pt idx="920">
                  <c:v>46105</c:v>
                </c:pt>
                <c:pt idx="921">
                  <c:v>46100</c:v>
                </c:pt>
                <c:pt idx="922">
                  <c:v>46105</c:v>
                </c:pt>
                <c:pt idx="923">
                  <c:v>46100</c:v>
                </c:pt>
                <c:pt idx="924">
                  <c:v>46160</c:v>
                </c:pt>
                <c:pt idx="925">
                  <c:v>46101</c:v>
                </c:pt>
                <c:pt idx="926">
                  <c:v>46100</c:v>
                </c:pt>
                <c:pt idx="927">
                  <c:v>46100</c:v>
                </c:pt>
                <c:pt idx="928">
                  <c:v>46100</c:v>
                </c:pt>
                <c:pt idx="929">
                  <c:v>46099</c:v>
                </c:pt>
                <c:pt idx="930">
                  <c:v>46099</c:v>
                </c:pt>
                <c:pt idx="931">
                  <c:v>46101</c:v>
                </c:pt>
                <c:pt idx="932">
                  <c:v>46108</c:v>
                </c:pt>
                <c:pt idx="933">
                  <c:v>46108</c:v>
                </c:pt>
                <c:pt idx="934">
                  <c:v>46106</c:v>
                </c:pt>
                <c:pt idx="935">
                  <c:v>46106</c:v>
                </c:pt>
                <c:pt idx="937">
                  <c:v>46099</c:v>
                </c:pt>
                <c:pt idx="938">
                  <c:v>46100</c:v>
                </c:pt>
                <c:pt idx="939">
                  <c:v>46100</c:v>
                </c:pt>
                <c:pt idx="940">
                  <c:v>46104</c:v>
                </c:pt>
                <c:pt idx="941">
                  <c:v>46100</c:v>
                </c:pt>
                <c:pt idx="942">
                  <c:v>46106</c:v>
                </c:pt>
                <c:pt idx="943">
                  <c:v>46108</c:v>
                </c:pt>
                <c:pt idx="944">
                  <c:v>46108</c:v>
                </c:pt>
                <c:pt idx="945">
                  <c:v>46108</c:v>
                </c:pt>
                <c:pt idx="946">
                  <c:v>0</c:v>
                </c:pt>
                <c:pt idx="947">
                  <c:v>46101</c:v>
                </c:pt>
                <c:pt idx="948">
                  <c:v>46100</c:v>
                </c:pt>
                <c:pt idx="949">
                  <c:v>46101</c:v>
                </c:pt>
                <c:pt idx="950">
                  <c:v>46101</c:v>
                </c:pt>
                <c:pt idx="951">
                  <c:v>46105</c:v>
                </c:pt>
                <c:pt idx="952">
                  <c:v>46100</c:v>
                </c:pt>
                <c:pt idx="953">
                  <c:v>46104</c:v>
                </c:pt>
                <c:pt idx="954">
                  <c:v>46104</c:v>
                </c:pt>
                <c:pt idx="955">
                  <c:v>46196</c:v>
                </c:pt>
                <c:pt idx="956">
                  <c:v>46108</c:v>
                </c:pt>
                <c:pt idx="957">
                  <c:v>46196</c:v>
                </c:pt>
                <c:pt idx="958">
                  <c:v>46108</c:v>
                </c:pt>
                <c:pt idx="959">
                  <c:v>46099</c:v>
                </c:pt>
                <c:pt idx="960">
                  <c:v>46099</c:v>
                </c:pt>
                <c:pt idx="961">
                  <c:v>46099</c:v>
                </c:pt>
                <c:pt idx="962">
                  <c:v>46099</c:v>
                </c:pt>
                <c:pt idx="963">
                  <c:v>46104</c:v>
                </c:pt>
                <c:pt idx="964">
                  <c:v>46101</c:v>
                </c:pt>
                <c:pt idx="965">
                  <c:v>46101</c:v>
                </c:pt>
                <c:pt idx="966">
                  <c:v>46101</c:v>
                </c:pt>
                <c:pt idx="967">
                  <c:v>46101</c:v>
                </c:pt>
                <c:pt idx="968">
                  <c:v>46106</c:v>
                </c:pt>
                <c:pt idx="969">
                  <c:v>46101</c:v>
                </c:pt>
                <c:pt idx="970">
                  <c:v>46101</c:v>
                </c:pt>
                <c:pt idx="971">
                  <c:v>46108</c:v>
                </c:pt>
                <c:pt idx="972">
                  <c:v>46108</c:v>
                </c:pt>
                <c:pt idx="973">
                  <c:v>46101</c:v>
                </c:pt>
                <c:pt idx="974">
                  <c:v>46104</c:v>
                </c:pt>
                <c:pt idx="975">
                  <c:v>46101</c:v>
                </c:pt>
                <c:pt idx="976">
                  <c:v>46101</c:v>
                </c:pt>
                <c:pt idx="977">
                  <c:v>46104</c:v>
                </c:pt>
                <c:pt idx="978">
                  <c:v>46105</c:v>
                </c:pt>
                <c:pt idx="980">
                  <c:v>46104</c:v>
                </c:pt>
                <c:pt idx="981">
                  <c:v>46101</c:v>
                </c:pt>
                <c:pt idx="982">
                  <c:v>46101</c:v>
                </c:pt>
                <c:pt idx="983">
                  <c:v>46101</c:v>
                </c:pt>
                <c:pt idx="985">
                  <c:v>46100</c:v>
                </c:pt>
                <c:pt idx="986">
                  <c:v>46105</c:v>
                </c:pt>
                <c:pt idx="987">
                  <c:v>46104</c:v>
                </c:pt>
                <c:pt idx="988">
                  <c:v>46104</c:v>
                </c:pt>
                <c:pt idx="989">
                  <c:v>46104</c:v>
                </c:pt>
                <c:pt idx="990">
                  <c:v>46104</c:v>
                </c:pt>
                <c:pt idx="991">
                  <c:v>46104</c:v>
                </c:pt>
                <c:pt idx="992">
                  <c:v>46101</c:v>
                </c:pt>
                <c:pt idx="993">
                  <c:v>46104</c:v>
                </c:pt>
                <c:pt idx="994">
                  <c:v>46105</c:v>
                </c:pt>
                <c:pt idx="995">
                  <c:v>46120</c:v>
                </c:pt>
                <c:pt idx="996">
                  <c:v>46108</c:v>
                </c:pt>
                <c:pt idx="997">
                  <c:v>46108</c:v>
                </c:pt>
                <c:pt idx="998">
                  <c:v>46108</c:v>
                </c:pt>
                <c:pt idx="999">
                  <c:v>46108</c:v>
                </c:pt>
                <c:pt idx="1000">
                  <c:v>46106</c:v>
                </c:pt>
                <c:pt idx="1001">
                  <c:v>46106</c:v>
                </c:pt>
                <c:pt idx="1002">
                  <c:v>46111</c:v>
                </c:pt>
                <c:pt idx="1003">
                  <c:v>46108</c:v>
                </c:pt>
                <c:pt idx="1004">
                  <c:v>2</c:v>
                </c:pt>
                <c:pt idx="1005">
                  <c:v>46108</c:v>
                </c:pt>
                <c:pt idx="1006">
                  <c:v>46108</c:v>
                </c:pt>
                <c:pt idx="1007">
                  <c:v>46108</c:v>
                </c:pt>
                <c:pt idx="1008">
                  <c:v>46108</c:v>
                </c:pt>
                <c:pt idx="1009">
                  <c:v>46111</c:v>
                </c:pt>
                <c:pt idx="1010">
                  <c:v>46107</c:v>
                </c:pt>
                <c:pt idx="1011">
                  <c:v>46107</c:v>
                </c:pt>
                <c:pt idx="1012">
                  <c:v>46111</c:v>
                </c:pt>
                <c:pt idx="1013">
                  <c:v>46111</c:v>
                </c:pt>
                <c:pt idx="1014">
                  <c:v>46121</c:v>
                </c:pt>
                <c:pt idx="1015">
                  <c:v>46121</c:v>
                </c:pt>
                <c:pt idx="1016">
                  <c:v>46129</c:v>
                </c:pt>
                <c:pt idx="1017">
                  <c:v>46108</c:v>
                </c:pt>
                <c:pt idx="1018">
                  <c:v>46332</c:v>
                </c:pt>
                <c:pt idx="1019">
                  <c:v>46127</c:v>
                </c:pt>
                <c:pt idx="1020">
                  <c:v>46127</c:v>
                </c:pt>
                <c:pt idx="1021">
                  <c:v>46127</c:v>
                </c:pt>
                <c:pt idx="1022">
                  <c:v>46107</c:v>
                </c:pt>
                <c:pt idx="1023">
                  <c:v>46106</c:v>
                </c:pt>
                <c:pt idx="1024">
                  <c:v>46107</c:v>
                </c:pt>
                <c:pt idx="1025">
                  <c:v>46107</c:v>
                </c:pt>
                <c:pt idx="1026">
                  <c:v>46107</c:v>
                </c:pt>
                <c:pt idx="1027">
                  <c:v>46111</c:v>
                </c:pt>
                <c:pt idx="1028">
                  <c:v>46107</c:v>
                </c:pt>
                <c:pt idx="1029">
                  <c:v>46111</c:v>
                </c:pt>
                <c:pt idx="1030">
                  <c:v>46113</c:v>
                </c:pt>
                <c:pt idx="1031">
                  <c:v>46107</c:v>
                </c:pt>
                <c:pt idx="1032">
                  <c:v>46108</c:v>
                </c:pt>
                <c:pt idx="1033">
                  <c:v>46332</c:v>
                </c:pt>
                <c:pt idx="1034">
                  <c:v>46119</c:v>
                </c:pt>
                <c:pt idx="1035">
                  <c:v>46107</c:v>
                </c:pt>
                <c:pt idx="1036">
                  <c:v>46112</c:v>
                </c:pt>
                <c:pt idx="1037">
                  <c:v>46111</c:v>
                </c:pt>
                <c:pt idx="1038">
                  <c:v>46107</c:v>
                </c:pt>
                <c:pt idx="1039">
                  <c:v>46107</c:v>
                </c:pt>
                <c:pt idx="1040">
                  <c:v>46107</c:v>
                </c:pt>
                <c:pt idx="1041">
                  <c:v>46111</c:v>
                </c:pt>
                <c:pt idx="1042">
                  <c:v>46107</c:v>
                </c:pt>
                <c:pt idx="1043">
                  <c:v>46111</c:v>
                </c:pt>
                <c:pt idx="1044">
                  <c:v>46107</c:v>
                </c:pt>
                <c:pt idx="1045">
                  <c:v>46107</c:v>
                </c:pt>
                <c:pt idx="1046">
                  <c:v>46107</c:v>
                </c:pt>
                <c:pt idx="1047">
                  <c:v>46108</c:v>
                </c:pt>
                <c:pt idx="1048">
                  <c:v>46113</c:v>
                </c:pt>
                <c:pt idx="1049">
                  <c:v>46113</c:v>
                </c:pt>
                <c:pt idx="1050">
                  <c:v>46111</c:v>
                </c:pt>
                <c:pt idx="1051">
                  <c:v>46112</c:v>
                </c:pt>
                <c:pt idx="1052">
                  <c:v>46112</c:v>
                </c:pt>
                <c:pt idx="1053">
                  <c:v>46111</c:v>
                </c:pt>
                <c:pt idx="1054">
                  <c:v>46119</c:v>
                </c:pt>
                <c:pt idx="1055">
                  <c:v>46112</c:v>
                </c:pt>
                <c:pt idx="1056">
                  <c:v>46112</c:v>
                </c:pt>
                <c:pt idx="1057">
                  <c:v>0</c:v>
                </c:pt>
                <c:pt idx="1058">
                  <c:v>46111</c:v>
                </c:pt>
                <c:pt idx="1059">
                  <c:v>46108</c:v>
                </c:pt>
                <c:pt idx="1060">
                  <c:v>46119</c:v>
                </c:pt>
                <c:pt idx="1061">
                  <c:v>46113</c:v>
                </c:pt>
                <c:pt idx="1062">
                  <c:v>46112</c:v>
                </c:pt>
                <c:pt idx="1063">
                  <c:v>46111</c:v>
                </c:pt>
                <c:pt idx="1064">
                  <c:v>46112</c:v>
                </c:pt>
                <c:pt idx="1065">
                  <c:v>46113</c:v>
                </c:pt>
                <c:pt idx="1066">
                  <c:v>46112</c:v>
                </c:pt>
                <c:pt idx="1067">
                  <c:v>46119</c:v>
                </c:pt>
                <c:pt idx="1068">
                  <c:v>46113</c:v>
                </c:pt>
                <c:pt idx="1069">
                  <c:v>46119</c:v>
                </c:pt>
                <c:pt idx="1070">
                  <c:v>46028</c:v>
                </c:pt>
                <c:pt idx="1071">
                  <c:v>46119</c:v>
                </c:pt>
                <c:pt idx="1072">
                  <c:v>46113</c:v>
                </c:pt>
                <c:pt idx="1073">
                  <c:v>46112</c:v>
                </c:pt>
                <c:pt idx="1074">
                  <c:v>46136</c:v>
                </c:pt>
                <c:pt idx="1075">
                  <c:v>46121</c:v>
                </c:pt>
                <c:pt idx="1076">
                  <c:v>46146</c:v>
                </c:pt>
                <c:pt idx="1077">
                  <c:v>46119</c:v>
                </c:pt>
                <c:pt idx="1078">
                  <c:v>46113</c:v>
                </c:pt>
                <c:pt idx="1079">
                  <c:v>46119</c:v>
                </c:pt>
                <c:pt idx="1080">
                  <c:v>46119</c:v>
                </c:pt>
                <c:pt idx="1081">
                  <c:v>46119</c:v>
                </c:pt>
                <c:pt idx="1082">
                  <c:v>46120</c:v>
                </c:pt>
                <c:pt idx="1083">
                  <c:v>46120</c:v>
                </c:pt>
                <c:pt idx="1084">
                  <c:v>46122</c:v>
                </c:pt>
                <c:pt idx="1085">
                  <c:v>46121</c:v>
                </c:pt>
                <c:pt idx="1086">
                  <c:v>46122</c:v>
                </c:pt>
                <c:pt idx="1087">
                  <c:v>46121</c:v>
                </c:pt>
                <c:pt idx="1088">
                  <c:v>46118</c:v>
                </c:pt>
                <c:pt idx="1089">
                  <c:v>46139</c:v>
                </c:pt>
                <c:pt idx="1090">
                  <c:v>46122</c:v>
                </c:pt>
                <c:pt idx="1091">
                  <c:v>46113</c:v>
                </c:pt>
                <c:pt idx="1092">
                  <c:v>46128</c:v>
                </c:pt>
                <c:pt idx="1093">
                  <c:v>46120</c:v>
                </c:pt>
                <c:pt idx="1094">
                  <c:v>46121</c:v>
                </c:pt>
                <c:pt idx="1095">
                  <c:v>46125</c:v>
                </c:pt>
                <c:pt idx="1096">
                  <c:v>46125</c:v>
                </c:pt>
                <c:pt idx="1097">
                  <c:v>46118</c:v>
                </c:pt>
                <c:pt idx="1098">
                  <c:v>46125</c:v>
                </c:pt>
                <c:pt idx="1099">
                  <c:v>46128</c:v>
                </c:pt>
                <c:pt idx="1100">
                  <c:v>46128</c:v>
                </c:pt>
                <c:pt idx="1101">
                  <c:v>46121</c:v>
                </c:pt>
                <c:pt idx="1102">
                  <c:v>46139</c:v>
                </c:pt>
                <c:pt idx="1103">
                  <c:v>46127</c:v>
                </c:pt>
                <c:pt idx="1104">
                  <c:v>46125</c:v>
                </c:pt>
                <c:pt idx="1105">
                  <c:v>46125</c:v>
                </c:pt>
                <c:pt idx="1106">
                  <c:v>46121</c:v>
                </c:pt>
                <c:pt idx="1107">
                  <c:v>46122</c:v>
                </c:pt>
                <c:pt idx="1108">
                  <c:v>46126</c:v>
                </c:pt>
                <c:pt idx="1109">
                  <c:v>46126</c:v>
                </c:pt>
                <c:pt idx="1110">
                  <c:v>46125</c:v>
                </c:pt>
                <c:pt idx="1111">
                  <c:v>46125</c:v>
                </c:pt>
                <c:pt idx="1112">
                  <c:v>46122</c:v>
                </c:pt>
                <c:pt idx="1113">
                  <c:v>46121</c:v>
                </c:pt>
                <c:pt idx="1114">
                  <c:v>46121</c:v>
                </c:pt>
                <c:pt idx="1115">
                  <c:v>46121</c:v>
                </c:pt>
                <c:pt idx="1116">
                  <c:v>46125</c:v>
                </c:pt>
                <c:pt idx="1117">
                  <c:v>46125</c:v>
                </c:pt>
                <c:pt idx="1118">
                  <c:v>46121</c:v>
                </c:pt>
                <c:pt idx="1119">
                  <c:v>46121</c:v>
                </c:pt>
                <c:pt idx="1120">
                  <c:v>46125</c:v>
                </c:pt>
                <c:pt idx="1121">
                  <c:v>46121</c:v>
                </c:pt>
                <c:pt idx="1122">
                  <c:v>46121</c:v>
                </c:pt>
                <c:pt idx="1123">
                  <c:v>46125</c:v>
                </c:pt>
                <c:pt idx="1124">
                  <c:v>46125</c:v>
                </c:pt>
                <c:pt idx="1125">
                  <c:v>46126</c:v>
                </c:pt>
                <c:pt idx="1126">
                  <c:v>46121</c:v>
                </c:pt>
                <c:pt idx="1127">
                  <c:v>46121</c:v>
                </c:pt>
                <c:pt idx="1128">
                  <c:v>46125</c:v>
                </c:pt>
                <c:pt idx="1129">
                  <c:v>46125</c:v>
                </c:pt>
                <c:pt idx="1130">
                  <c:v>46121</c:v>
                </c:pt>
                <c:pt idx="1131">
                  <c:v>46128</c:v>
                </c:pt>
                <c:pt idx="1132">
                  <c:v>46121</c:v>
                </c:pt>
                <c:pt idx="1133">
                  <c:v>46126</c:v>
                </c:pt>
                <c:pt idx="1134">
                  <c:v>46125</c:v>
                </c:pt>
                <c:pt idx="1135">
                  <c:v>46121</c:v>
                </c:pt>
                <c:pt idx="1136">
                  <c:v>46125</c:v>
                </c:pt>
                <c:pt idx="1137">
                  <c:v>46125</c:v>
                </c:pt>
                <c:pt idx="1138">
                  <c:v>46120</c:v>
                </c:pt>
                <c:pt idx="1139">
                  <c:v>46121</c:v>
                </c:pt>
                <c:pt idx="1140">
                  <c:v>46126</c:v>
                </c:pt>
                <c:pt idx="1141">
                  <c:v>46121</c:v>
                </c:pt>
                <c:pt idx="1142">
                  <c:v>46120</c:v>
                </c:pt>
                <c:pt idx="1143">
                  <c:v>46125</c:v>
                </c:pt>
                <c:pt idx="1144">
                  <c:v>46125</c:v>
                </c:pt>
                <c:pt idx="1145">
                  <c:v>46126</c:v>
                </c:pt>
                <c:pt idx="1146">
                  <c:v>46120</c:v>
                </c:pt>
                <c:pt idx="1147">
                  <c:v>46121</c:v>
                </c:pt>
                <c:pt idx="1149">
                  <c:v>46122</c:v>
                </c:pt>
                <c:pt idx="1150">
                  <c:v>46122</c:v>
                </c:pt>
                <c:pt idx="1151">
                  <c:v>46122</c:v>
                </c:pt>
                <c:pt idx="1152">
                  <c:v>46122</c:v>
                </c:pt>
                <c:pt idx="1153">
                  <c:v>46122</c:v>
                </c:pt>
                <c:pt idx="1154">
                  <c:v>46127</c:v>
                </c:pt>
                <c:pt idx="1155">
                  <c:v>46127</c:v>
                </c:pt>
                <c:pt idx="1156">
                  <c:v>46127</c:v>
                </c:pt>
                <c:pt idx="1157">
                  <c:v>46127</c:v>
                </c:pt>
                <c:pt idx="1158">
                  <c:v>46127</c:v>
                </c:pt>
                <c:pt idx="1159">
                  <c:v>46122</c:v>
                </c:pt>
                <c:pt idx="1160">
                  <c:v>46125</c:v>
                </c:pt>
                <c:pt idx="1161">
                  <c:v>46122</c:v>
                </c:pt>
                <c:pt idx="1162">
                  <c:v>46122</c:v>
                </c:pt>
                <c:pt idx="1163">
                  <c:v>46122</c:v>
                </c:pt>
                <c:pt idx="1164">
                  <c:v>46122</c:v>
                </c:pt>
                <c:pt idx="1165">
                  <c:v>46122</c:v>
                </c:pt>
                <c:pt idx="1166">
                  <c:v>46125</c:v>
                </c:pt>
                <c:pt idx="1167">
                  <c:v>46139</c:v>
                </c:pt>
                <c:pt idx="1168">
                  <c:v>46126</c:v>
                </c:pt>
                <c:pt idx="1169">
                  <c:v>46121</c:v>
                </c:pt>
                <c:pt idx="1170">
                  <c:v>46125</c:v>
                </c:pt>
                <c:pt idx="1171">
                  <c:v>46121</c:v>
                </c:pt>
                <c:pt idx="1172">
                  <c:v>46121</c:v>
                </c:pt>
                <c:pt idx="1173">
                  <c:v>46125</c:v>
                </c:pt>
                <c:pt idx="1174">
                  <c:v>46127</c:v>
                </c:pt>
                <c:pt idx="1175">
                  <c:v>46127</c:v>
                </c:pt>
                <c:pt idx="1176">
                  <c:v>46127</c:v>
                </c:pt>
                <c:pt idx="1177">
                  <c:v>46128</c:v>
                </c:pt>
                <c:pt idx="1178">
                  <c:v>46126</c:v>
                </c:pt>
                <c:pt idx="1179">
                  <c:v>46127</c:v>
                </c:pt>
                <c:pt idx="1180">
                  <c:v>46121</c:v>
                </c:pt>
                <c:pt idx="1181">
                  <c:v>46122</c:v>
                </c:pt>
                <c:pt idx="1182">
                  <c:v>46121</c:v>
                </c:pt>
                <c:pt idx="1183">
                  <c:v>46121</c:v>
                </c:pt>
                <c:pt idx="1184">
                  <c:v>46122</c:v>
                </c:pt>
                <c:pt idx="1185">
                  <c:v>46126</c:v>
                </c:pt>
                <c:pt idx="1186">
                  <c:v>46129</c:v>
                </c:pt>
                <c:pt idx="1187">
                  <c:v>46127</c:v>
                </c:pt>
                <c:pt idx="1188">
                  <c:v>46126</c:v>
                </c:pt>
                <c:pt idx="1189">
                  <c:v>46135</c:v>
                </c:pt>
                <c:pt idx="1190">
                  <c:v>46126</c:v>
                </c:pt>
                <c:pt idx="1191">
                  <c:v>46122</c:v>
                </c:pt>
                <c:pt idx="1192">
                  <c:v>46122</c:v>
                </c:pt>
                <c:pt idx="1193">
                  <c:v>46127</c:v>
                </c:pt>
                <c:pt idx="1194">
                  <c:v>46127</c:v>
                </c:pt>
                <c:pt idx="1195">
                  <c:v>46126</c:v>
                </c:pt>
                <c:pt idx="1196">
                  <c:v>46127</c:v>
                </c:pt>
                <c:pt idx="1197">
                  <c:v>46126</c:v>
                </c:pt>
                <c:pt idx="1198">
                  <c:v>46126</c:v>
                </c:pt>
                <c:pt idx="1199">
                  <c:v>46126</c:v>
                </c:pt>
                <c:pt idx="1200">
                  <c:v>46125</c:v>
                </c:pt>
                <c:pt idx="1201">
                  <c:v>46126</c:v>
                </c:pt>
                <c:pt idx="1202">
                  <c:v>46126</c:v>
                </c:pt>
                <c:pt idx="1203">
                  <c:v>46126</c:v>
                </c:pt>
                <c:pt idx="1204">
                  <c:v>46135</c:v>
                </c:pt>
                <c:pt idx="1205">
                  <c:v>46142</c:v>
                </c:pt>
                <c:pt idx="1206">
                  <c:v>46126</c:v>
                </c:pt>
                <c:pt idx="1207">
                  <c:v>46122</c:v>
                </c:pt>
                <c:pt idx="1208">
                  <c:v>46122</c:v>
                </c:pt>
                <c:pt idx="1209">
                  <c:v>46126</c:v>
                </c:pt>
                <c:pt idx="1210">
                  <c:v>46129</c:v>
                </c:pt>
                <c:pt idx="1211">
                  <c:v>46125</c:v>
                </c:pt>
                <c:pt idx="1212">
                  <c:v>46122</c:v>
                </c:pt>
                <c:pt idx="1213">
                  <c:v>46135</c:v>
                </c:pt>
                <c:pt idx="1214">
                  <c:v>46134</c:v>
                </c:pt>
                <c:pt idx="1215">
                  <c:v>46128</c:v>
                </c:pt>
                <c:pt idx="1216">
                  <c:v>46128</c:v>
                </c:pt>
                <c:pt idx="1217">
                  <c:v>46127</c:v>
                </c:pt>
                <c:pt idx="1218">
                  <c:v>46129</c:v>
                </c:pt>
                <c:pt idx="1219">
                  <c:v>46125</c:v>
                </c:pt>
                <c:pt idx="1220">
                  <c:v>46134</c:v>
                </c:pt>
                <c:pt idx="1221">
                  <c:v>46127</c:v>
                </c:pt>
                <c:pt idx="1222">
                  <c:v>46127</c:v>
                </c:pt>
                <c:pt idx="1223">
                  <c:v>46126</c:v>
                </c:pt>
                <c:pt idx="1224">
                  <c:v>46127</c:v>
                </c:pt>
                <c:pt idx="1225">
                  <c:v>46126</c:v>
                </c:pt>
                <c:pt idx="1226">
                  <c:v>46126</c:v>
                </c:pt>
                <c:pt idx="1227">
                  <c:v>46126</c:v>
                </c:pt>
                <c:pt idx="1228">
                  <c:v>46121</c:v>
                </c:pt>
                <c:pt idx="1229">
                  <c:v>46127</c:v>
                </c:pt>
                <c:pt idx="1230">
                  <c:v>46134</c:v>
                </c:pt>
                <c:pt idx="1231">
                  <c:v>46135</c:v>
                </c:pt>
                <c:pt idx="1232">
                  <c:v>46121</c:v>
                </c:pt>
                <c:pt idx="1233">
                  <c:v>46136</c:v>
                </c:pt>
                <c:pt idx="1234">
                  <c:v>46129</c:v>
                </c:pt>
                <c:pt idx="1235">
                  <c:v>46125</c:v>
                </c:pt>
                <c:pt idx="1236">
                  <c:v>46127</c:v>
                </c:pt>
                <c:pt idx="1237">
                  <c:v>46128</c:v>
                </c:pt>
                <c:pt idx="1238">
                  <c:v>46127</c:v>
                </c:pt>
                <c:pt idx="1239">
                  <c:v>46128</c:v>
                </c:pt>
                <c:pt idx="1240">
                  <c:v>46128</c:v>
                </c:pt>
                <c:pt idx="1241">
                  <c:v>46128</c:v>
                </c:pt>
                <c:pt idx="1242">
                  <c:v>46129</c:v>
                </c:pt>
                <c:pt idx="1243">
                  <c:v>46122</c:v>
                </c:pt>
                <c:pt idx="1244">
                  <c:v>46122</c:v>
                </c:pt>
                <c:pt idx="1245">
                  <c:v>46122</c:v>
                </c:pt>
                <c:pt idx="1246">
                  <c:v>46126</c:v>
                </c:pt>
                <c:pt idx="1247">
                  <c:v>46125</c:v>
                </c:pt>
                <c:pt idx="1248">
                  <c:v>46125</c:v>
                </c:pt>
                <c:pt idx="1249">
                  <c:v>46125</c:v>
                </c:pt>
                <c:pt idx="1250">
                  <c:v>46136</c:v>
                </c:pt>
                <c:pt idx="1251">
                  <c:v>46126</c:v>
                </c:pt>
                <c:pt idx="1252">
                  <c:v>46126</c:v>
                </c:pt>
                <c:pt idx="1253">
                  <c:v>46126</c:v>
                </c:pt>
                <c:pt idx="1254">
                  <c:v>46156</c:v>
                </c:pt>
                <c:pt idx="1255">
                  <c:v>46126</c:v>
                </c:pt>
                <c:pt idx="1256">
                  <c:v>46136</c:v>
                </c:pt>
                <c:pt idx="1257">
                  <c:v>46129</c:v>
                </c:pt>
                <c:pt idx="1258">
                  <c:v>46135</c:v>
                </c:pt>
                <c:pt idx="1259">
                  <c:v>46136</c:v>
                </c:pt>
                <c:pt idx="1260">
                  <c:v>46135</c:v>
                </c:pt>
                <c:pt idx="1261">
                  <c:v>46127</c:v>
                </c:pt>
                <c:pt idx="1262">
                  <c:v>46128</c:v>
                </c:pt>
                <c:pt idx="1263">
                  <c:v>46127</c:v>
                </c:pt>
                <c:pt idx="1264">
                  <c:v>46127</c:v>
                </c:pt>
                <c:pt idx="1265">
                  <c:v>46128</c:v>
                </c:pt>
                <c:pt idx="1266">
                  <c:v>46127</c:v>
                </c:pt>
                <c:pt idx="1267">
                  <c:v>46135</c:v>
                </c:pt>
                <c:pt idx="1268">
                  <c:v>46127</c:v>
                </c:pt>
                <c:pt idx="1269">
                  <c:v>46127</c:v>
                </c:pt>
                <c:pt idx="1270">
                  <c:v>46127</c:v>
                </c:pt>
                <c:pt idx="1271">
                  <c:v>46135</c:v>
                </c:pt>
                <c:pt idx="1272">
                  <c:v>46128</c:v>
                </c:pt>
                <c:pt idx="1273">
                  <c:v>46128</c:v>
                </c:pt>
                <c:pt idx="1274">
                  <c:v>46127</c:v>
                </c:pt>
                <c:pt idx="1275">
                  <c:v>46127</c:v>
                </c:pt>
                <c:pt idx="1276">
                  <c:v>46127</c:v>
                </c:pt>
                <c:pt idx="1277">
                  <c:v>46126</c:v>
                </c:pt>
                <c:pt idx="1278">
                  <c:v>46127</c:v>
                </c:pt>
                <c:pt idx="1279">
                  <c:v>46135</c:v>
                </c:pt>
                <c:pt idx="1280">
                  <c:v>46139</c:v>
                </c:pt>
                <c:pt idx="1281">
                  <c:v>46139</c:v>
                </c:pt>
                <c:pt idx="1282">
                  <c:v>46135</c:v>
                </c:pt>
                <c:pt idx="1283">
                  <c:v>46128</c:v>
                </c:pt>
                <c:pt idx="1284">
                  <c:v>46127</c:v>
                </c:pt>
                <c:pt idx="1285">
                  <c:v>46127</c:v>
                </c:pt>
                <c:pt idx="1286">
                  <c:v>46128</c:v>
                </c:pt>
                <c:pt idx="1287">
                  <c:v>46128</c:v>
                </c:pt>
                <c:pt idx="1288">
                  <c:v>46128</c:v>
                </c:pt>
                <c:pt idx="1289">
                  <c:v>46128</c:v>
                </c:pt>
                <c:pt idx="1290">
                  <c:v>46134</c:v>
                </c:pt>
                <c:pt idx="1291">
                  <c:v>46129</c:v>
                </c:pt>
                <c:pt idx="1292">
                  <c:v>46134</c:v>
                </c:pt>
                <c:pt idx="1293">
                  <c:v>46134</c:v>
                </c:pt>
                <c:pt idx="1294">
                  <c:v>46128</c:v>
                </c:pt>
                <c:pt idx="1295">
                  <c:v>46127</c:v>
                </c:pt>
                <c:pt idx="1296">
                  <c:v>46128</c:v>
                </c:pt>
                <c:pt idx="1297">
                  <c:v>46129</c:v>
                </c:pt>
                <c:pt idx="1298">
                  <c:v>46134</c:v>
                </c:pt>
                <c:pt idx="1299">
                  <c:v>46135</c:v>
                </c:pt>
                <c:pt idx="1300">
                  <c:v>46135</c:v>
                </c:pt>
                <c:pt idx="1301">
                  <c:v>46128</c:v>
                </c:pt>
                <c:pt idx="1302">
                  <c:v>46134</c:v>
                </c:pt>
                <c:pt idx="1303">
                  <c:v>46134</c:v>
                </c:pt>
                <c:pt idx="1304">
                  <c:v>46139</c:v>
                </c:pt>
                <c:pt idx="1305">
                  <c:v>46128</c:v>
                </c:pt>
                <c:pt idx="1306">
                  <c:v>46128</c:v>
                </c:pt>
                <c:pt idx="1307">
                  <c:v>46157</c:v>
                </c:pt>
                <c:pt idx="1308">
                  <c:v>46128</c:v>
                </c:pt>
                <c:pt idx="1309">
                  <c:v>46127</c:v>
                </c:pt>
                <c:pt idx="1310">
                  <c:v>46127</c:v>
                </c:pt>
                <c:pt idx="1311">
                  <c:v>46128</c:v>
                </c:pt>
                <c:pt idx="1312">
                  <c:v>46126</c:v>
                </c:pt>
                <c:pt idx="1313">
                  <c:v>46128</c:v>
                </c:pt>
                <c:pt idx="1314">
                  <c:v>46129</c:v>
                </c:pt>
                <c:pt idx="1315">
                  <c:v>46129</c:v>
                </c:pt>
                <c:pt idx="1316">
                  <c:v>46135</c:v>
                </c:pt>
                <c:pt idx="1318">
                  <c:v>46135</c:v>
                </c:pt>
                <c:pt idx="1319">
                  <c:v>46129</c:v>
                </c:pt>
                <c:pt idx="1320">
                  <c:v>46129</c:v>
                </c:pt>
                <c:pt idx="1321">
                  <c:v>46127</c:v>
                </c:pt>
                <c:pt idx="1322">
                  <c:v>46135</c:v>
                </c:pt>
                <c:pt idx="1323">
                  <c:v>46129</c:v>
                </c:pt>
                <c:pt idx="1324">
                  <c:v>46129</c:v>
                </c:pt>
                <c:pt idx="1325">
                  <c:v>46129</c:v>
                </c:pt>
                <c:pt idx="1326">
                  <c:v>46129</c:v>
                </c:pt>
                <c:pt idx="1327">
                  <c:v>46129</c:v>
                </c:pt>
                <c:pt idx="1328">
                  <c:v>46127</c:v>
                </c:pt>
                <c:pt idx="1329">
                  <c:v>46127</c:v>
                </c:pt>
                <c:pt idx="1330">
                  <c:v>46129</c:v>
                </c:pt>
                <c:pt idx="1331">
                  <c:v>46129</c:v>
                </c:pt>
                <c:pt idx="1332">
                  <c:v>46135</c:v>
                </c:pt>
                <c:pt idx="1333">
                  <c:v>46160</c:v>
                </c:pt>
                <c:pt idx="1334">
                  <c:v>46128</c:v>
                </c:pt>
                <c:pt idx="1335">
                  <c:v>46139</c:v>
                </c:pt>
                <c:pt idx="1336">
                  <c:v>46128</c:v>
                </c:pt>
                <c:pt idx="1337">
                  <c:v>46128</c:v>
                </c:pt>
                <c:pt idx="1338">
                  <c:v>46129</c:v>
                </c:pt>
                <c:pt idx="1339">
                  <c:v>46129</c:v>
                </c:pt>
                <c:pt idx="1340">
                  <c:v>46135</c:v>
                </c:pt>
                <c:pt idx="1341">
                  <c:v>46135</c:v>
                </c:pt>
                <c:pt idx="1342">
                  <c:v>46135</c:v>
                </c:pt>
                <c:pt idx="1343">
                  <c:v>46136</c:v>
                </c:pt>
                <c:pt idx="1344">
                  <c:v>46128</c:v>
                </c:pt>
                <c:pt idx="1345">
                  <c:v>46128</c:v>
                </c:pt>
                <c:pt idx="1346">
                  <c:v>46129</c:v>
                </c:pt>
                <c:pt idx="1347">
                  <c:v>46129</c:v>
                </c:pt>
                <c:pt idx="1348">
                  <c:v>46135</c:v>
                </c:pt>
                <c:pt idx="1349">
                  <c:v>46135</c:v>
                </c:pt>
                <c:pt idx="1350">
                  <c:v>46136</c:v>
                </c:pt>
                <c:pt idx="1351">
                  <c:v>46134</c:v>
                </c:pt>
                <c:pt idx="1352">
                  <c:v>46146</c:v>
                </c:pt>
                <c:pt idx="1353">
                  <c:v>46141</c:v>
                </c:pt>
                <c:pt idx="1354">
                  <c:v>46136</c:v>
                </c:pt>
                <c:pt idx="1356">
                  <c:v>46135</c:v>
                </c:pt>
                <c:pt idx="1357">
                  <c:v>46134</c:v>
                </c:pt>
                <c:pt idx="1358">
                  <c:v>46134</c:v>
                </c:pt>
                <c:pt idx="1359">
                  <c:v>46153</c:v>
                </c:pt>
                <c:pt idx="1360">
                  <c:v>46129</c:v>
                </c:pt>
                <c:pt idx="1361">
                  <c:v>46129</c:v>
                </c:pt>
                <c:pt idx="1362">
                  <c:v>46129</c:v>
                </c:pt>
                <c:pt idx="1363">
                  <c:v>46140</c:v>
                </c:pt>
                <c:pt idx="1364">
                  <c:v>46129</c:v>
                </c:pt>
                <c:pt idx="1365">
                  <c:v>46129</c:v>
                </c:pt>
                <c:pt idx="1366">
                  <c:v>46129</c:v>
                </c:pt>
                <c:pt idx="1367">
                  <c:v>46141</c:v>
                </c:pt>
                <c:pt idx="1368">
                  <c:v>46135</c:v>
                </c:pt>
                <c:pt idx="1369">
                  <c:v>46135</c:v>
                </c:pt>
                <c:pt idx="1370">
                  <c:v>46128</c:v>
                </c:pt>
                <c:pt idx="1371">
                  <c:v>46128</c:v>
                </c:pt>
                <c:pt idx="1372">
                  <c:v>46147</c:v>
                </c:pt>
                <c:pt idx="1373">
                  <c:v>46136</c:v>
                </c:pt>
                <c:pt idx="1374">
                  <c:v>46141</c:v>
                </c:pt>
                <c:pt idx="1375">
                  <c:v>46135</c:v>
                </c:pt>
                <c:pt idx="1376">
                  <c:v>46135</c:v>
                </c:pt>
                <c:pt idx="1377">
                  <c:v>46147</c:v>
                </c:pt>
                <c:pt idx="1378">
                  <c:v>46141</c:v>
                </c:pt>
                <c:pt idx="1379">
                  <c:v>46140</c:v>
                </c:pt>
                <c:pt idx="1381">
                  <c:v>46140</c:v>
                </c:pt>
                <c:pt idx="1382">
                  <c:v>46148</c:v>
                </c:pt>
                <c:pt idx="1383">
                  <c:v>46147</c:v>
                </c:pt>
                <c:pt idx="1384">
                  <c:v>46140</c:v>
                </c:pt>
                <c:pt idx="1385">
                  <c:v>46134</c:v>
                </c:pt>
                <c:pt idx="1386">
                  <c:v>46135</c:v>
                </c:pt>
                <c:pt idx="1387">
                  <c:v>46136</c:v>
                </c:pt>
                <c:pt idx="1388">
                  <c:v>46135</c:v>
                </c:pt>
                <c:pt idx="1389">
                  <c:v>46135</c:v>
                </c:pt>
                <c:pt idx="1390">
                  <c:v>46135</c:v>
                </c:pt>
                <c:pt idx="1391">
                  <c:v>46135</c:v>
                </c:pt>
                <c:pt idx="1392">
                  <c:v>46146</c:v>
                </c:pt>
                <c:pt idx="1393">
                  <c:v>46140</c:v>
                </c:pt>
                <c:pt idx="1394">
                  <c:v>46140</c:v>
                </c:pt>
                <c:pt idx="1395">
                  <c:v>46140</c:v>
                </c:pt>
                <c:pt idx="1396">
                  <c:v>46148</c:v>
                </c:pt>
                <c:pt idx="1397">
                  <c:v>46134</c:v>
                </c:pt>
                <c:pt idx="1398">
                  <c:v>46136</c:v>
                </c:pt>
                <c:pt idx="1399">
                  <c:v>46141</c:v>
                </c:pt>
                <c:pt idx="1400">
                  <c:v>46140</c:v>
                </c:pt>
                <c:pt idx="1401">
                  <c:v>46142</c:v>
                </c:pt>
                <c:pt idx="1402">
                  <c:v>46140</c:v>
                </c:pt>
                <c:pt idx="1403">
                  <c:v>46136</c:v>
                </c:pt>
                <c:pt idx="1404">
                  <c:v>46142</c:v>
                </c:pt>
                <c:pt idx="1405">
                  <c:v>46141</c:v>
                </c:pt>
                <c:pt idx="1406">
                  <c:v>46146</c:v>
                </c:pt>
                <c:pt idx="1407">
                  <c:v>46136</c:v>
                </c:pt>
                <c:pt idx="1408">
                  <c:v>46136</c:v>
                </c:pt>
                <c:pt idx="1409">
                  <c:v>46134</c:v>
                </c:pt>
                <c:pt idx="1410">
                  <c:v>46134</c:v>
                </c:pt>
                <c:pt idx="1411">
                  <c:v>46134</c:v>
                </c:pt>
                <c:pt idx="1412">
                  <c:v>46142</c:v>
                </c:pt>
                <c:pt idx="1413">
                  <c:v>46135</c:v>
                </c:pt>
                <c:pt idx="1414">
                  <c:v>46135</c:v>
                </c:pt>
                <c:pt idx="1415">
                  <c:v>46139</c:v>
                </c:pt>
                <c:pt idx="1416">
                  <c:v>46139</c:v>
                </c:pt>
                <c:pt idx="1417">
                  <c:v>46136</c:v>
                </c:pt>
                <c:pt idx="1418">
                  <c:v>46140</c:v>
                </c:pt>
                <c:pt idx="1419">
                  <c:v>46142</c:v>
                </c:pt>
                <c:pt idx="1420">
                  <c:v>46141</c:v>
                </c:pt>
                <c:pt idx="1421">
                  <c:v>46146</c:v>
                </c:pt>
                <c:pt idx="1422">
                  <c:v>46136</c:v>
                </c:pt>
                <c:pt idx="1423">
                  <c:v>46140</c:v>
                </c:pt>
                <c:pt idx="1424">
                  <c:v>46136</c:v>
                </c:pt>
                <c:pt idx="1425">
                  <c:v>46140</c:v>
                </c:pt>
                <c:pt idx="1426">
                  <c:v>46146</c:v>
                </c:pt>
                <c:pt idx="1427">
                  <c:v>46146</c:v>
                </c:pt>
                <c:pt idx="1428">
                  <c:v>46147</c:v>
                </c:pt>
                <c:pt idx="1429">
                  <c:v>46140</c:v>
                </c:pt>
                <c:pt idx="1430">
                  <c:v>46140</c:v>
                </c:pt>
                <c:pt idx="1431">
                  <c:v>46147</c:v>
                </c:pt>
                <c:pt idx="1432">
                  <c:v>46150</c:v>
                </c:pt>
                <c:pt idx="1433">
                  <c:v>46142</c:v>
                </c:pt>
                <c:pt idx="1434">
                  <c:v>46141</c:v>
                </c:pt>
                <c:pt idx="1435">
                  <c:v>46140</c:v>
                </c:pt>
                <c:pt idx="1436">
                  <c:v>46140</c:v>
                </c:pt>
                <c:pt idx="1437">
                  <c:v>46146</c:v>
                </c:pt>
                <c:pt idx="1438">
                  <c:v>46146</c:v>
                </c:pt>
                <c:pt idx="1439">
                  <c:v>46140</c:v>
                </c:pt>
                <c:pt idx="1440">
                  <c:v>46142</c:v>
                </c:pt>
                <c:pt idx="1441">
                  <c:v>46142</c:v>
                </c:pt>
                <c:pt idx="1442">
                  <c:v>46153</c:v>
                </c:pt>
                <c:pt idx="1443">
                  <c:v>46148</c:v>
                </c:pt>
                <c:pt idx="1444">
                  <c:v>46148</c:v>
                </c:pt>
                <c:pt idx="1445">
                  <c:v>46141</c:v>
                </c:pt>
                <c:pt idx="1446">
                  <c:v>46140</c:v>
                </c:pt>
                <c:pt idx="1447">
                  <c:v>46141</c:v>
                </c:pt>
                <c:pt idx="1448">
                  <c:v>46146</c:v>
                </c:pt>
                <c:pt idx="1449">
                  <c:v>46146</c:v>
                </c:pt>
                <c:pt idx="1450">
                  <c:v>46148</c:v>
                </c:pt>
                <c:pt idx="1451">
                  <c:v>46148</c:v>
                </c:pt>
                <c:pt idx="1452">
                  <c:v>46141</c:v>
                </c:pt>
                <c:pt idx="1453">
                  <c:v>46142</c:v>
                </c:pt>
                <c:pt idx="1454">
                  <c:v>46140</c:v>
                </c:pt>
                <c:pt idx="1455">
                  <c:v>46141</c:v>
                </c:pt>
                <c:pt idx="1456">
                  <c:v>46146</c:v>
                </c:pt>
                <c:pt idx="1457">
                  <c:v>46141</c:v>
                </c:pt>
                <c:pt idx="1458">
                  <c:v>46141</c:v>
                </c:pt>
                <c:pt idx="1459">
                  <c:v>46141</c:v>
                </c:pt>
                <c:pt idx="1460">
                  <c:v>46141</c:v>
                </c:pt>
                <c:pt idx="1461">
                  <c:v>46141</c:v>
                </c:pt>
                <c:pt idx="1462">
                  <c:v>46146</c:v>
                </c:pt>
                <c:pt idx="1463">
                  <c:v>46146</c:v>
                </c:pt>
                <c:pt idx="1464">
                  <c:v>46146</c:v>
                </c:pt>
                <c:pt idx="1465">
                  <c:v>46146</c:v>
                </c:pt>
                <c:pt idx="1466">
                  <c:v>46146</c:v>
                </c:pt>
                <c:pt idx="1467">
                  <c:v>46141</c:v>
                </c:pt>
                <c:pt idx="1468">
                  <c:v>46142</c:v>
                </c:pt>
                <c:pt idx="1469">
                  <c:v>46141</c:v>
                </c:pt>
                <c:pt idx="1470">
                  <c:v>46139</c:v>
                </c:pt>
                <c:pt idx="1471">
                  <c:v>46139</c:v>
                </c:pt>
                <c:pt idx="1472">
                  <c:v>46139</c:v>
                </c:pt>
                <c:pt idx="1473">
                  <c:v>46142</c:v>
                </c:pt>
                <c:pt idx="1474">
                  <c:v>46140</c:v>
                </c:pt>
                <c:pt idx="1475">
                  <c:v>46141</c:v>
                </c:pt>
                <c:pt idx="1476">
                  <c:v>46141</c:v>
                </c:pt>
                <c:pt idx="1477">
                  <c:v>46141</c:v>
                </c:pt>
                <c:pt idx="1478">
                  <c:v>46142</c:v>
                </c:pt>
                <c:pt idx="1479">
                  <c:v>46148</c:v>
                </c:pt>
                <c:pt idx="1480">
                  <c:v>46146</c:v>
                </c:pt>
                <c:pt idx="1481">
                  <c:v>46146</c:v>
                </c:pt>
                <c:pt idx="1482">
                  <c:v>46142</c:v>
                </c:pt>
                <c:pt idx="1483">
                  <c:v>46155</c:v>
                </c:pt>
                <c:pt idx="1484">
                  <c:v>46156</c:v>
                </c:pt>
                <c:pt idx="1485">
                  <c:v>46142</c:v>
                </c:pt>
                <c:pt idx="1486">
                  <c:v>46161</c:v>
                </c:pt>
                <c:pt idx="1487">
                  <c:v>46141</c:v>
                </c:pt>
                <c:pt idx="1489">
                  <c:v>46149</c:v>
                </c:pt>
                <c:pt idx="1490">
                  <c:v>46141</c:v>
                </c:pt>
                <c:pt idx="1491">
                  <c:v>46148</c:v>
                </c:pt>
                <c:pt idx="1492">
                  <c:v>46147</c:v>
                </c:pt>
                <c:pt idx="1493">
                  <c:v>46146</c:v>
                </c:pt>
                <c:pt idx="1494">
                  <c:v>46142</c:v>
                </c:pt>
                <c:pt idx="1495">
                  <c:v>46146</c:v>
                </c:pt>
                <c:pt idx="1496">
                  <c:v>46146</c:v>
                </c:pt>
                <c:pt idx="1497">
                  <c:v>46146</c:v>
                </c:pt>
                <c:pt idx="1498">
                  <c:v>46146</c:v>
                </c:pt>
                <c:pt idx="1499">
                  <c:v>46147</c:v>
                </c:pt>
                <c:pt idx="1500">
                  <c:v>46141</c:v>
                </c:pt>
                <c:pt idx="1501">
                  <c:v>46141</c:v>
                </c:pt>
                <c:pt idx="1502">
                  <c:v>46141</c:v>
                </c:pt>
                <c:pt idx="1503">
                  <c:v>46156</c:v>
                </c:pt>
                <c:pt idx="1504">
                  <c:v>46150</c:v>
                </c:pt>
                <c:pt idx="1505">
                  <c:v>46146</c:v>
                </c:pt>
                <c:pt idx="1506">
                  <c:v>46147</c:v>
                </c:pt>
                <c:pt idx="1507">
                  <c:v>46148</c:v>
                </c:pt>
                <c:pt idx="1508">
                  <c:v>46148</c:v>
                </c:pt>
                <c:pt idx="1509">
                  <c:v>46147</c:v>
                </c:pt>
                <c:pt idx="1510">
                  <c:v>46147</c:v>
                </c:pt>
                <c:pt idx="1511">
                  <c:v>46142</c:v>
                </c:pt>
                <c:pt idx="1512">
                  <c:v>46142</c:v>
                </c:pt>
                <c:pt idx="1513">
                  <c:v>46153</c:v>
                </c:pt>
                <c:pt idx="1514">
                  <c:v>46142</c:v>
                </c:pt>
                <c:pt idx="1515">
                  <c:v>46149</c:v>
                </c:pt>
                <c:pt idx="1516">
                  <c:v>46142</c:v>
                </c:pt>
                <c:pt idx="1517">
                  <c:v>46142</c:v>
                </c:pt>
                <c:pt idx="1518">
                  <c:v>46149</c:v>
                </c:pt>
                <c:pt idx="1519">
                  <c:v>46153</c:v>
                </c:pt>
                <c:pt idx="1520">
                  <c:v>46150</c:v>
                </c:pt>
                <c:pt idx="1521">
                  <c:v>46148</c:v>
                </c:pt>
                <c:pt idx="1522">
                  <c:v>46149</c:v>
                </c:pt>
                <c:pt idx="1523">
                  <c:v>46153</c:v>
                </c:pt>
                <c:pt idx="1524">
                  <c:v>46180</c:v>
                </c:pt>
                <c:pt idx="1526">
                  <c:v>46150</c:v>
                </c:pt>
                <c:pt idx="1527">
                  <c:v>46150</c:v>
                </c:pt>
                <c:pt idx="1528">
                  <c:v>46148</c:v>
                </c:pt>
                <c:pt idx="1529">
                  <c:v>46147</c:v>
                </c:pt>
                <c:pt idx="1530">
                  <c:v>46148</c:v>
                </c:pt>
                <c:pt idx="1531">
                  <c:v>46147</c:v>
                </c:pt>
                <c:pt idx="1532">
                  <c:v>46147</c:v>
                </c:pt>
                <c:pt idx="1533">
                  <c:v>46147</c:v>
                </c:pt>
                <c:pt idx="1534">
                  <c:v>46147</c:v>
                </c:pt>
                <c:pt idx="1535">
                  <c:v>46148</c:v>
                </c:pt>
                <c:pt idx="1536">
                  <c:v>46147</c:v>
                </c:pt>
                <c:pt idx="1537">
                  <c:v>46154</c:v>
                </c:pt>
                <c:pt idx="1538">
                  <c:v>46154</c:v>
                </c:pt>
                <c:pt idx="1539">
                  <c:v>46154</c:v>
                </c:pt>
                <c:pt idx="1540">
                  <c:v>46154</c:v>
                </c:pt>
                <c:pt idx="1541">
                  <c:v>46153</c:v>
                </c:pt>
                <c:pt idx="1542">
                  <c:v>46150</c:v>
                </c:pt>
                <c:pt idx="1543">
                  <c:v>46154</c:v>
                </c:pt>
                <c:pt idx="1544">
                  <c:v>46153</c:v>
                </c:pt>
                <c:pt idx="1545">
                  <c:v>46149</c:v>
                </c:pt>
                <c:pt idx="1546">
                  <c:v>46150</c:v>
                </c:pt>
                <c:pt idx="1547">
                  <c:v>46149</c:v>
                </c:pt>
                <c:pt idx="1548">
                  <c:v>46150</c:v>
                </c:pt>
                <c:pt idx="1549">
                  <c:v>46148</c:v>
                </c:pt>
                <c:pt idx="1550">
                  <c:v>46149</c:v>
                </c:pt>
                <c:pt idx="1551">
                  <c:v>46148</c:v>
                </c:pt>
                <c:pt idx="1552">
                  <c:v>46150</c:v>
                </c:pt>
                <c:pt idx="1553">
                  <c:v>46155</c:v>
                </c:pt>
                <c:pt idx="1554">
                  <c:v>46150</c:v>
                </c:pt>
                <c:pt idx="1555">
                  <c:v>46154</c:v>
                </c:pt>
                <c:pt idx="1556">
                  <c:v>46150</c:v>
                </c:pt>
                <c:pt idx="1557">
                  <c:v>46150</c:v>
                </c:pt>
                <c:pt idx="1558">
                  <c:v>46155</c:v>
                </c:pt>
                <c:pt idx="1559">
                  <c:v>46148</c:v>
                </c:pt>
                <c:pt idx="1560">
                  <c:v>46149</c:v>
                </c:pt>
                <c:pt idx="1561">
                  <c:v>46148</c:v>
                </c:pt>
                <c:pt idx="1562">
                  <c:v>46153</c:v>
                </c:pt>
                <c:pt idx="1563">
                  <c:v>46153</c:v>
                </c:pt>
                <c:pt idx="1564">
                  <c:v>46153</c:v>
                </c:pt>
                <c:pt idx="1565">
                  <c:v>46153</c:v>
                </c:pt>
                <c:pt idx="1566">
                  <c:v>46153</c:v>
                </c:pt>
                <c:pt idx="1567">
                  <c:v>46153</c:v>
                </c:pt>
                <c:pt idx="1568">
                  <c:v>46153</c:v>
                </c:pt>
                <c:pt idx="1569">
                  <c:v>46149</c:v>
                </c:pt>
                <c:pt idx="1570">
                  <c:v>46148</c:v>
                </c:pt>
                <c:pt idx="1571">
                  <c:v>46149</c:v>
                </c:pt>
                <c:pt idx="1572">
                  <c:v>46150</c:v>
                </c:pt>
                <c:pt idx="1573">
                  <c:v>46149</c:v>
                </c:pt>
                <c:pt idx="1574">
                  <c:v>46153</c:v>
                </c:pt>
                <c:pt idx="1575">
                  <c:v>46150</c:v>
                </c:pt>
                <c:pt idx="1576">
                  <c:v>46149</c:v>
                </c:pt>
                <c:pt idx="1577">
                  <c:v>46153</c:v>
                </c:pt>
                <c:pt idx="1578">
                  <c:v>46154</c:v>
                </c:pt>
                <c:pt idx="1579">
                  <c:v>46149</c:v>
                </c:pt>
                <c:pt idx="1580">
                  <c:v>46154</c:v>
                </c:pt>
                <c:pt idx="1581">
                  <c:v>46149</c:v>
                </c:pt>
                <c:pt idx="1582">
                  <c:v>46150</c:v>
                </c:pt>
                <c:pt idx="1583">
                  <c:v>46149</c:v>
                </c:pt>
                <c:pt idx="1584">
                  <c:v>46153</c:v>
                </c:pt>
                <c:pt idx="1585">
                  <c:v>46153</c:v>
                </c:pt>
                <c:pt idx="1586">
                  <c:v>46149</c:v>
                </c:pt>
                <c:pt idx="1587">
                  <c:v>46149</c:v>
                </c:pt>
                <c:pt idx="1588">
                  <c:v>46149</c:v>
                </c:pt>
                <c:pt idx="1589">
                  <c:v>46149</c:v>
                </c:pt>
                <c:pt idx="1590">
                  <c:v>46150</c:v>
                </c:pt>
                <c:pt idx="1591">
                  <c:v>46149</c:v>
                </c:pt>
                <c:pt idx="1592">
                  <c:v>46149</c:v>
                </c:pt>
                <c:pt idx="1593">
                  <c:v>46149</c:v>
                </c:pt>
                <c:pt idx="1594">
                  <c:v>46149</c:v>
                </c:pt>
                <c:pt idx="1595">
                  <c:v>46149</c:v>
                </c:pt>
                <c:pt idx="1596">
                  <c:v>46148</c:v>
                </c:pt>
                <c:pt idx="1597">
                  <c:v>46149</c:v>
                </c:pt>
                <c:pt idx="1598">
                  <c:v>46149</c:v>
                </c:pt>
                <c:pt idx="1599">
                  <c:v>46149</c:v>
                </c:pt>
                <c:pt idx="1600">
                  <c:v>46154</c:v>
                </c:pt>
                <c:pt idx="1601">
                  <c:v>46154</c:v>
                </c:pt>
                <c:pt idx="1602">
                  <c:v>46149</c:v>
                </c:pt>
                <c:pt idx="1603">
                  <c:v>46149</c:v>
                </c:pt>
                <c:pt idx="1604">
                  <c:v>46149</c:v>
                </c:pt>
                <c:pt idx="1605">
                  <c:v>46150</c:v>
                </c:pt>
                <c:pt idx="1606">
                  <c:v>46154</c:v>
                </c:pt>
                <c:pt idx="1607">
                  <c:v>46150</c:v>
                </c:pt>
                <c:pt idx="1608">
                  <c:v>46150</c:v>
                </c:pt>
                <c:pt idx="1609">
                  <c:v>46150</c:v>
                </c:pt>
                <c:pt idx="1610">
                  <c:v>46149</c:v>
                </c:pt>
                <c:pt idx="1611">
                  <c:v>46150</c:v>
                </c:pt>
                <c:pt idx="1612">
                  <c:v>46149</c:v>
                </c:pt>
                <c:pt idx="1613">
                  <c:v>46153</c:v>
                </c:pt>
                <c:pt idx="1614">
                  <c:v>46153</c:v>
                </c:pt>
                <c:pt idx="1615">
                  <c:v>46149</c:v>
                </c:pt>
                <c:pt idx="1616">
                  <c:v>46150</c:v>
                </c:pt>
                <c:pt idx="1617">
                  <c:v>46160</c:v>
                </c:pt>
                <c:pt idx="1618">
                  <c:v>46153</c:v>
                </c:pt>
                <c:pt idx="1619">
                  <c:v>46153</c:v>
                </c:pt>
                <c:pt idx="1620">
                  <c:v>46149</c:v>
                </c:pt>
                <c:pt idx="1621">
                  <c:v>46149</c:v>
                </c:pt>
                <c:pt idx="1622">
                  <c:v>46153</c:v>
                </c:pt>
                <c:pt idx="1623">
                  <c:v>46154</c:v>
                </c:pt>
                <c:pt idx="1624">
                  <c:v>46149</c:v>
                </c:pt>
                <c:pt idx="1625">
                  <c:v>46149</c:v>
                </c:pt>
                <c:pt idx="1626">
                  <c:v>46149</c:v>
                </c:pt>
                <c:pt idx="1627">
                  <c:v>46149</c:v>
                </c:pt>
                <c:pt idx="1628">
                  <c:v>46160</c:v>
                </c:pt>
                <c:pt idx="1629">
                  <c:v>46153</c:v>
                </c:pt>
                <c:pt idx="1630">
                  <c:v>46149</c:v>
                </c:pt>
                <c:pt idx="1631">
                  <c:v>46153</c:v>
                </c:pt>
                <c:pt idx="1632">
                  <c:v>46149</c:v>
                </c:pt>
                <c:pt idx="1633">
                  <c:v>46153</c:v>
                </c:pt>
                <c:pt idx="1634">
                  <c:v>46149</c:v>
                </c:pt>
                <c:pt idx="1635">
                  <c:v>46149</c:v>
                </c:pt>
                <c:pt idx="1636">
                  <c:v>46149</c:v>
                </c:pt>
                <c:pt idx="1637">
                  <c:v>46150</c:v>
                </c:pt>
                <c:pt idx="1638">
                  <c:v>46154</c:v>
                </c:pt>
                <c:pt idx="1639">
                  <c:v>46154</c:v>
                </c:pt>
                <c:pt idx="1640">
                  <c:v>46149</c:v>
                </c:pt>
                <c:pt idx="1641">
                  <c:v>46149</c:v>
                </c:pt>
                <c:pt idx="1642">
                  <c:v>46149</c:v>
                </c:pt>
                <c:pt idx="1643">
                  <c:v>46153</c:v>
                </c:pt>
                <c:pt idx="1644">
                  <c:v>46154</c:v>
                </c:pt>
                <c:pt idx="1645">
                  <c:v>46153</c:v>
                </c:pt>
                <c:pt idx="1646">
                  <c:v>46154</c:v>
                </c:pt>
                <c:pt idx="1647">
                  <c:v>46154</c:v>
                </c:pt>
                <c:pt idx="1648">
                  <c:v>46154</c:v>
                </c:pt>
                <c:pt idx="1649">
                  <c:v>46155</c:v>
                </c:pt>
                <c:pt idx="1650">
                  <c:v>46154</c:v>
                </c:pt>
                <c:pt idx="1651">
                  <c:v>46155</c:v>
                </c:pt>
                <c:pt idx="1652">
                  <c:v>46155</c:v>
                </c:pt>
                <c:pt idx="1653">
                  <c:v>46154</c:v>
                </c:pt>
                <c:pt idx="1654">
                  <c:v>46154</c:v>
                </c:pt>
                <c:pt idx="1655">
                  <c:v>46154</c:v>
                </c:pt>
                <c:pt idx="1656">
                  <c:v>46153</c:v>
                </c:pt>
                <c:pt idx="1657">
                  <c:v>46153</c:v>
                </c:pt>
                <c:pt idx="1658">
                  <c:v>46153</c:v>
                </c:pt>
                <c:pt idx="1659">
                  <c:v>46153</c:v>
                </c:pt>
                <c:pt idx="1660">
                  <c:v>46153</c:v>
                </c:pt>
                <c:pt idx="1661">
                  <c:v>46153</c:v>
                </c:pt>
                <c:pt idx="1662">
                  <c:v>46153</c:v>
                </c:pt>
                <c:pt idx="1663">
                  <c:v>46155</c:v>
                </c:pt>
                <c:pt idx="1664">
                  <c:v>46154</c:v>
                </c:pt>
                <c:pt idx="1665">
                  <c:v>46154</c:v>
                </c:pt>
                <c:pt idx="1666">
                  <c:v>46153</c:v>
                </c:pt>
                <c:pt idx="1667">
                  <c:v>46154</c:v>
                </c:pt>
                <c:pt idx="1668">
                  <c:v>46153</c:v>
                </c:pt>
                <c:pt idx="1669">
                  <c:v>46153</c:v>
                </c:pt>
                <c:pt idx="1670">
                  <c:v>46154</c:v>
                </c:pt>
                <c:pt idx="1671">
                  <c:v>46154</c:v>
                </c:pt>
                <c:pt idx="1672">
                  <c:v>46154</c:v>
                </c:pt>
                <c:pt idx="1673">
                  <c:v>46154</c:v>
                </c:pt>
                <c:pt idx="1674">
                  <c:v>46160</c:v>
                </c:pt>
                <c:pt idx="1675">
                  <c:v>46154</c:v>
                </c:pt>
                <c:pt idx="1676">
                  <c:v>46154</c:v>
                </c:pt>
                <c:pt idx="1677">
                  <c:v>46154</c:v>
                </c:pt>
                <c:pt idx="1678">
                  <c:v>46154</c:v>
                </c:pt>
                <c:pt idx="1679">
                  <c:v>46156</c:v>
                </c:pt>
                <c:pt idx="1680">
                  <c:v>46161</c:v>
                </c:pt>
                <c:pt idx="1681">
                  <c:v>46161</c:v>
                </c:pt>
                <c:pt idx="1682">
                  <c:v>46156</c:v>
                </c:pt>
                <c:pt idx="1683">
                  <c:v>46156</c:v>
                </c:pt>
                <c:pt idx="1684">
                  <c:v>46154</c:v>
                </c:pt>
                <c:pt idx="1685">
                  <c:v>46155</c:v>
                </c:pt>
                <c:pt idx="1686">
                  <c:v>46154</c:v>
                </c:pt>
                <c:pt idx="1687">
                  <c:v>46153</c:v>
                </c:pt>
                <c:pt idx="1688">
                  <c:v>46154</c:v>
                </c:pt>
                <c:pt idx="1689">
                  <c:v>46154</c:v>
                </c:pt>
                <c:pt idx="1690">
                  <c:v>46154</c:v>
                </c:pt>
                <c:pt idx="1691">
                  <c:v>46155</c:v>
                </c:pt>
                <c:pt idx="1692">
                  <c:v>46155</c:v>
                </c:pt>
                <c:pt idx="1693">
                  <c:v>46156</c:v>
                </c:pt>
                <c:pt idx="1694">
                  <c:v>46154</c:v>
                </c:pt>
                <c:pt idx="1695">
                  <c:v>46156</c:v>
                </c:pt>
                <c:pt idx="1696">
                  <c:v>46157</c:v>
                </c:pt>
                <c:pt idx="1697">
                  <c:v>46156</c:v>
                </c:pt>
                <c:pt idx="1698">
                  <c:v>46155</c:v>
                </c:pt>
                <c:pt idx="1699">
                  <c:v>46155</c:v>
                </c:pt>
                <c:pt idx="1700">
                  <c:v>46155</c:v>
                </c:pt>
                <c:pt idx="1701">
                  <c:v>46157</c:v>
                </c:pt>
                <c:pt idx="1702">
                  <c:v>46155</c:v>
                </c:pt>
                <c:pt idx="1703">
                  <c:v>46156</c:v>
                </c:pt>
                <c:pt idx="1704">
                  <c:v>46155</c:v>
                </c:pt>
                <c:pt idx="1705">
                  <c:v>46155</c:v>
                </c:pt>
                <c:pt idx="1706">
                  <c:v>46156</c:v>
                </c:pt>
                <c:pt idx="1707">
                  <c:v>46155</c:v>
                </c:pt>
                <c:pt idx="1708">
                  <c:v>46156</c:v>
                </c:pt>
                <c:pt idx="1709">
                  <c:v>46156</c:v>
                </c:pt>
                <c:pt idx="1710">
                  <c:v>46157</c:v>
                </c:pt>
                <c:pt idx="1711">
                  <c:v>46156</c:v>
                </c:pt>
                <c:pt idx="1712">
                  <c:v>46156</c:v>
                </c:pt>
                <c:pt idx="1713">
                  <c:v>46156</c:v>
                </c:pt>
                <c:pt idx="1714">
                  <c:v>46160</c:v>
                </c:pt>
                <c:pt idx="1715">
                  <c:v>46160</c:v>
                </c:pt>
                <c:pt idx="1716">
                  <c:v>46157</c:v>
                </c:pt>
                <c:pt idx="1717">
                  <c:v>46156</c:v>
                </c:pt>
                <c:pt idx="1718">
                  <c:v>46160</c:v>
                </c:pt>
                <c:pt idx="1719">
                  <c:v>46160</c:v>
                </c:pt>
                <c:pt idx="1720">
                  <c:v>46160</c:v>
                </c:pt>
                <c:pt idx="1721">
                  <c:v>46160</c:v>
                </c:pt>
                <c:pt idx="1722">
                  <c:v>46161</c:v>
                </c:pt>
                <c:pt idx="1723">
                  <c:v>46156</c:v>
                </c:pt>
                <c:pt idx="1724">
                  <c:v>46161</c:v>
                </c:pt>
                <c:pt idx="1725">
                  <c:v>46156</c:v>
                </c:pt>
                <c:pt idx="1726">
                  <c:v>46160</c:v>
                </c:pt>
                <c:pt idx="1727">
                  <c:v>46161</c:v>
                </c:pt>
                <c:pt idx="1728">
                  <c:v>46161</c:v>
                </c:pt>
                <c:pt idx="1729">
                  <c:v>46156</c:v>
                </c:pt>
                <c:pt idx="1730">
                  <c:v>46156</c:v>
                </c:pt>
                <c:pt idx="1731">
                  <c:v>46157</c:v>
                </c:pt>
                <c:pt idx="1732">
                  <c:v>46155</c:v>
                </c:pt>
                <c:pt idx="1733">
                  <c:v>46157</c:v>
                </c:pt>
                <c:pt idx="1734">
                  <c:v>46155</c:v>
                </c:pt>
                <c:pt idx="1735">
                  <c:v>46155</c:v>
                </c:pt>
                <c:pt idx="1736">
                  <c:v>46156</c:v>
                </c:pt>
                <c:pt idx="1737">
                  <c:v>46156</c:v>
                </c:pt>
                <c:pt idx="1738">
                  <c:v>46155</c:v>
                </c:pt>
                <c:pt idx="1739">
                  <c:v>46161</c:v>
                </c:pt>
                <c:pt idx="1740">
                  <c:v>46160</c:v>
                </c:pt>
                <c:pt idx="1741">
                  <c:v>46157</c:v>
                </c:pt>
                <c:pt idx="1742">
                  <c:v>46160</c:v>
                </c:pt>
                <c:pt idx="1743">
                  <c:v>46157</c:v>
                </c:pt>
                <c:pt idx="1744">
                  <c:v>46160</c:v>
                </c:pt>
                <c:pt idx="1745">
                  <c:v>46161</c:v>
                </c:pt>
                <c:pt idx="1746">
                  <c:v>46157</c:v>
                </c:pt>
                <c:pt idx="1747">
                  <c:v>46157</c:v>
                </c:pt>
                <c:pt idx="1748">
                  <c:v>46157</c:v>
                </c:pt>
                <c:pt idx="1749">
                  <c:v>46155</c:v>
                </c:pt>
                <c:pt idx="1750">
                  <c:v>46156</c:v>
                </c:pt>
                <c:pt idx="1751">
                  <c:v>46161</c:v>
                </c:pt>
                <c:pt idx="1753">
                  <c:v>46157</c:v>
                </c:pt>
                <c:pt idx="1754">
                  <c:v>46157</c:v>
                </c:pt>
                <c:pt idx="1755">
                  <c:v>46157</c:v>
                </c:pt>
                <c:pt idx="1756">
                  <c:v>46157</c:v>
                </c:pt>
                <c:pt idx="1757">
                  <c:v>46157</c:v>
                </c:pt>
                <c:pt idx="1759">
                  <c:v>46161</c:v>
                </c:pt>
                <c:pt idx="1760">
                  <c:v>46157</c:v>
                </c:pt>
                <c:pt idx="1761">
                  <c:v>46160</c:v>
                </c:pt>
                <c:pt idx="1762">
                  <c:v>46160</c:v>
                </c:pt>
                <c:pt idx="1763">
                  <c:v>46161</c:v>
                </c:pt>
                <c:pt idx="1764">
                  <c:v>46161</c:v>
                </c:pt>
                <c:pt idx="1765">
                  <c:v>46157</c:v>
                </c:pt>
                <c:pt idx="1766">
                  <c:v>46157</c:v>
                </c:pt>
                <c:pt idx="1767">
                  <c:v>46161</c:v>
                </c:pt>
                <c:pt idx="1768">
                  <c:v>46160</c:v>
                </c:pt>
                <c:pt idx="1769">
                  <c:v>46160</c:v>
                </c:pt>
                <c:pt idx="1770">
                  <c:v>46157</c:v>
                </c:pt>
                <c:pt idx="1771">
                  <c:v>46157</c:v>
                </c:pt>
                <c:pt idx="1772">
                  <c:v>46157</c:v>
                </c:pt>
                <c:pt idx="1773">
                  <c:v>46157</c:v>
                </c:pt>
                <c:pt idx="1774">
                  <c:v>46160</c:v>
                </c:pt>
                <c:pt idx="1775">
                  <c:v>46161</c:v>
                </c:pt>
                <c:pt idx="1776">
                  <c:v>46161</c:v>
                </c:pt>
                <c:pt idx="1777">
                  <c:v>46157</c:v>
                </c:pt>
                <c:pt idx="1778">
                  <c:v>46160</c:v>
                </c:pt>
                <c:pt idx="1779">
                  <c:v>46160</c:v>
                </c:pt>
                <c:pt idx="1780">
                  <c:v>46161</c:v>
                </c:pt>
                <c:pt idx="1781">
                  <c:v>46161</c:v>
                </c:pt>
                <c:pt idx="1782">
                  <c:v>46161</c:v>
                </c:pt>
                <c:pt idx="1783">
                  <c:v>46156</c:v>
                </c:pt>
                <c:pt idx="1784">
                  <c:v>46162</c:v>
                </c:pt>
                <c:pt idx="1785">
                  <c:v>46157</c:v>
                </c:pt>
                <c:pt idx="1786">
                  <c:v>46161</c:v>
                </c:pt>
                <c:pt idx="1787">
                  <c:v>46157</c:v>
                </c:pt>
                <c:pt idx="1788">
                  <c:v>46161</c:v>
                </c:pt>
                <c:pt idx="1789">
                  <c:v>46162</c:v>
                </c:pt>
                <c:pt idx="1790">
                  <c:v>46162</c:v>
                </c:pt>
                <c:pt idx="1791">
                  <c:v>46161</c:v>
                </c:pt>
                <c:pt idx="1792">
                  <c:v>46160</c:v>
                </c:pt>
                <c:pt idx="1793">
                  <c:v>46161</c:v>
                </c:pt>
                <c:pt idx="1794">
                  <c:v>46160</c:v>
                </c:pt>
                <c:pt idx="1795">
                  <c:v>46162</c:v>
                </c:pt>
                <c:pt idx="1796">
                  <c:v>46161</c:v>
                </c:pt>
                <c:pt idx="1797">
                  <c:v>46161</c:v>
                </c:pt>
                <c:pt idx="1798">
                  <c:v>46161</c:v>
                </c:pt>
                <c:pt idx="1799">
                  <c:v>46161</c:v>
                </c:pt>
                <c:pt idx="1800">
                  <c:v>46162</c:v>
                </c:pt>
                <c:pt idx="1801">
                  <c:v>46161</c:v>
                </c:pt>
                <c:pt idx="1802">
                  <c:v>46161</c:v>
                </c:pt>
                <c:pt idx="1803">
                  <c:v>46157</c:v>
                </c:pt>
                <c:pt idx="1804">
                  <c:v>46160</c:v>
                </c:pt>
                <c:pt idx="1805">
                  <c:v>46161</c:v>
                </c:pt>
                <c:pt idx="1806">
                  <c:v>46162</c:v>
                </c:pt>
                <c:pt idx="1807">
                  <c:v>46161</c:v>
                </c:pt>
                <c:pt idx="1808">
                  <c:v>46161</c:v>
                </c:pt>
                <c:pt idx="1809">
                  <c:v>46161</c:v>
                </c:pt>
                <c:pt idx="1811">
                  <c:v>46161</c:v>
                </c:pt>
                <c:pt idx="1812">
                  <c:v>46161</c:v>
                </c:pt>
                <c:pt idx="1813">
                  <c:v>46161</c:v>
                </c:pt>
                <c:pt idx="1815">
                  <c:v>46162</c:v>
                </c:pt>
                <c:pt idx="1816">
                  <c:v>46162</c:v>
                </c:pt>
                <c:pt idx="1817">
                  <c:v>46162</c:v>
                </c:pt>
                <c:pt idx="1818">
                  <c:v>46162</c:v>
                </c:pt>
                <c:pt idx="1836">
                  <c:v>46162</c:v>
                </c:pt>
                <c:pt idx="1837">
                  <c:v>46162</c:v>
                </c:pt>
                <c:pt idx="1838">
                  <c:v>46162</c:v>
                </c:pt>
                <c:pt idx="1840">
                  <c:v>46162</c:v>
                </c:pt>
                <c:pt idx="1841">
                  <c:v>46162</c:v>
                </c:pt>
                <c:pt idx="1842">
                  <c:v>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79-4229-B512-91E511F75732}"/>
            </c:ext>
          </c:extLst>
        </c:ser>
        <c:ser>
          <c:idx val="14"/>
          <c:order val="14"/>
          <c:tx>
            <c:strRef>
              <c:f>'INVENTÁRIO 2026'!$N$2</c:f>
              <c:strCache>
                <c:ptCount val="1"/>
                <c:pt idx="0">
                  <c:v>ANALISTA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2026'!$N$3:$N$11811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4">
                  <c:v>0</c:v>
                </c:pt>
                <c:pt idx="435">
                  <c:v>0</c:v>
                </c:pt>
                <c:pt idx="437">
                  <c:v>0</c:v>
                </c:pt>
                <c:pt idx="438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 formatCode="m/d/yyyy">
                  <c:v>0</c:v>
                </c:pt>
                <c:pt idx="511" formatCode="m/d/yyyy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 formatCode="m/d/yyyy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4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 formatCode="m/d/yyyy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3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4">
                  <c:v>0</c:v>
                </c:pt>
                <c:pt idx="1295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 formatCode="m/d/yyyy">
                  <c:v>0</c:v>
                </c:pt>
                <c:pt idx="1436" formatCode="m/d/yyyy">
                  <c:v>0</c:v>
                </c:pt>
                <c:pt idx="1437" formatCode="m/d/yyyy">
                  <c:v>0</c:v>
                </c:pt>
                <c:pt idx="1438" formatCode="m/d/yyyy">
                  <c:v>0</c:v>
                </c:pt>
                <c:pt idx="1439" formatCode="m/d/yyyy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79-4229-B512-91E511F75732}"/>
            </c:ext>
          </c:extLst>
        </c:ser>
        <c:ser>
          <c:idx val="15"/>
          <c:order val="15"/>
          <c:tx>
            <c:strRef>
              <c:f>'INVENTÁRIO 2026'!$O$2</c:f>
              <c:strCache>
                <c:ptCount val="1"/>
                <c:pt idx="0">
                  <c:v>OBS: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2026'!$O$3:$O$11811</c:f>
              <c:numCache>
                <c:formatCode>General</c:formatCode>
                <c:ptCount val="11809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66">
                  <c:v>0</c:v>
                </c:pt>
                <c:pt idx="157">
                  <c:v>0</c:v>
                </c:pt>
                <c:pt idx="158">
                  <c:v>0</c:v>
                </c:pt>
                <c:pt idx="189">
                  <c:v>0</c:v>
                </c:pt>
                <c:pt idx="207">
                  <c:v>0</c:v>
                </c:pt>
                <c:pt idx="238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89">
                  <c:v>0</c:v>
                </c:pt>
                <c:pt idx="326">
                  <c:v>0</c:v>
                </c:pt>
                <c:pt idx="329">
                  <c:v>0</c:v>
                </c:pt>
                <c:pt idx="556">
                  <c:v>0</c:v>
                </c:pt>
                <c:pt idx="562">
                  <c:v>0</c:v>
                </c:pt>
                <c:pt idx="571">
                  <c:v>0</c:v>
                </c:pt>
                <c:pt idx="728">
                  <c:v>0</c:v>
                </c:pt>
                <c:pt idx="729">
                  <c:v>0</c:v>
                </c:pt>
                <c:pt idx="780">
                  <c:v>0</c:v>
                </c:pt>
                <c:pt idx="782">
                  <c:v>0</c:v>
                </c:pt>
                <c:pt idx="804">
                  <c:v>0</c:v>
                </c:pt>
                <c:pt idx="818">
                  <c:v>0</c:v>
                </c:pt>
                <c:pt idx="851">
                  <c:v>0</c:v>
                </c:pt>
                <c:pt idx="919">
                  <c:v>0</c:v>
                </c:pt>
                <c:pt idx="1022">
                  <c:v>0</c:v>
                </c:pt>
                <c:pt idx="1064">
                  <c:v>0</c:v>
                </c:pt>
                <c:pt idx="1078">
                  <c:v>0</c:v>
                </c:pt>
                <c:pt idx="1094">
                  <c:v>0</c:v>
                </c:pt>
                <c:pt idx="1148">
                  <c:v>0</c:v>
                </c:pt>
                <c:pt idx="1315">
                  <c:v>0</c:v>
                </c:pt>
                <c:pt idx="1422">
                  <c:v>0</c:v>
                </c:pt>
                <c:pt idx="1484">
                  <c:v>0</c:v>
                </c:pt>
                <c:pt idx="1499">
                  <c:v>0</c:v>
                </c:pt>
                <c:pt idx="1515">
                  <c:v>0</c:v>
                </c:pt>
                <c:pt idx="1553">
                  <c:v>0</c:v>
                </c:pt>
                <c:pt idx="1558">
                  <c:v>0</c:v>
                </c:pt>
                <c:pt idx="1578">
                  <c:v>0</c:v>
                </c:pt>
                <c:pt idx="1733">
                  <c:v>0</c:v>
                </c:pt>
                <c:pt idx="17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79-4229-B512-91E511F75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28944"/>
        <c:axId val="1695440592"/>
      </c:barChart>
      <c:catAx>
        <c:axId val="1695428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5440592"/>
        <c:crosses val="autoZero"/>
        <c:auto val="1"/>
        <c:lblAlgn val="ctr"/>
        <c:lblOffset val="100"/>
        <c:noMultiLvlLbl val="0"/>
      </c:catAx>
      <c:valAx>
        <c:axId val="16954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542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'INVENTÁRIO 2026'!#REF!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'INVENTÁRIO 2026'!#REF!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A-4783-A855-9FF601EC7E11}"/>
            </c:ext>
          </c:extLst>
        </c:ser>
        <c:ser>
          <c:idx val="1"/>
          <c:order val="1"/>
          <c:tx>
            <c:strRef>
              <c:f>'INVENTÁRIO 2026'!$A$2</c:f>
              <c:strCache>
                <c:ptCount val="1"/>
                <c:pt idx="0">
                  <c:v>CREDOR/OBJETO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'INVENTÁRIO 2026'!$A$3:$A$11811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5839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A-4783-A855-9FF601EC7E11}"/>
            </c:ext>
          </c:extLst>
        </c:ser>
        <c:ser>
          <c:idx val="2"/>
          <c:order val="2"/>
          <c:tx>
            <c:strRef>
              <c:f>'INVENTÁRIO 2026'!$B$2</c:f>
              <c:strCache>
                <c:ptCount val="1"/>
                <c:pt idx="0">
                  <c:v>QUANT. ENTRADA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'INVENTÁRIO 2026'!$B$3:$B$11811</c:f>
              <c:numCache>
                <c:formatCode>General</c:formatCode>
                <c:ptCount val="1180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3</c:v>
                </c:pt>
                <c:pt idx="190">
                  <c:v>2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3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3</c:v>
                </c:pt>
                <c:pt idx="230">
                  <c:v>1</c:v>
                </c:pt>
                <c:pt idx="231">
                  <c:v>2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2</c:v>
                </c:pt>
                <c:pt idx="238">
                  <c:v>4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4</c:v>
                </c:pt>
                <c:pt idx="287">
                  <c:v>1</c:v>
                </c:pt>
                <c:pt idx="288">
                  <c:v>1</c:v>
                </c:pt>
                <c:pt idx="289">
                  <c:v>2</c:v>
                </c:pt>
                <c:pt idx="290">
                  <c:v>2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1</c:v>
                </c:pt>
                <c:pt idx="343">
                  <c:v>3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3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3</c:v>
                </c:pt>
                <c:pt idx="368">
                  <c:v>2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1</c:v>
                </c:pt>
                <c:pt idx="410">
                  <c:v>1</c:v>
                </c:pt>
                <c:pt idx="411">
                  <c:v>2</c:v>
                </c:pt>
                <c:pt idx="412">
                  <c:v>3</c:v>
                </c:pt>
                <c:pt idx="413">
                  <c:v>1</c:v>
                </c:pt>
                <c:pt idx="414">
                  <c:v>3</c:v>
                </c:pt>
                <c:pt idx="415">
                  <c:v>2</c:v>
                </c:pt>
                <c:pt idx="416">
                  <c:v>2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3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3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3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1</c:v>
                </c:pt>
                <c:pt idx="485">
                  <c:v>3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1</c:v>
                </c:pt>
                <c:pt idx="494">
                  <c:v>3</c:v>
                </c:pt>
                <c:pt idx="495">
                  <c:v>2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3</c:v>
                </c:pt>
                <c:pt idx="507">
                  <c:v>1</c:v>
                </c:pt>
                <c:pt idx="508">
                  <c:v>3</c:v>
                </c:pt>
                <c:pt idx="509">
                  <c:v>2</c:v>
                </c:pt>
                <c:pt idx="510">
                  <c:v>2</c:v>
                </c:pt>
                <c:pt idx="511">
                  <c:v>1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1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1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1</c:v>
                </c:pt>
                <c:pt idx="556">
                  <c:v>2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2</c:v>
                </c:pt>
                <c:pt idx="563">
                  <c:v>1</c:v>
                </c:pt>
                <c:pt idx="564">
                  <c:v>2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2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2</c:v>
                </c:pt>
                <c:pt idx="587">
                  <c:v>1</c:v>
                </c:pt>
                <c:pt idx="588">
                  <c:v>1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2</c:v>
                </c:pt>
                <c:pt idx="664">
                  <c:v>3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2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2</c:v>
                </c:pt>
                <c:pt idx="714">
                  <c:v>3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2</c:v>
                </c:pt>
                <c:pt idx="726">
                  <c:v>2</c:v>
                </c:pt>
                <c:pt idx="727">
                  <c:v>1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2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2</c:v>
                </c:pt>
                <c:pt idx="771">
                  <c:v>1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2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2</c:v>
                </c:pt>
                <c:pt idx="807">
                  <c:v>2</c:v>
                </c:pt>
                <c:pt idx="808">
                  <c:v>1</c:v>
                </c:pt>
                <c:pt idx="809">
                  <c:v>3</c:v>
                </c:pt>
                <c:pt idx="810">
                  <c:v>2</c:v>
                </c:pt>
                <c:pt idx="811">
                  <c:v>2</c:v>
                </c:pt>
                <c:pt idx="812">
                  <c:v>1</c:v>
                </c:pt>
                <c:pt idx="813">
                  <c:v>2</c:v>
                </c:pt>
                <c:pt idx="814">
                  <c:v>1</c:v>
                </c:pt>
                <c:pt idx="815">
                  <c:v>1</c:v>
                </c:pt>
                <c:pt idx="816">
                  <c:v>3</c:v>
                </c:pt>
                <c:pt idx="817">
                  <c:v>1</c:v>
                </c:pt>
                <c:pt idx="818">
                  <c:v>2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2</c:v>
                </c:pt>
                <c:pt idx="823">
                  <c:v>2</c:v>
                </c:pt>
                <c:pt idx="824">
                  <c:v>1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1</c:v>
                </c:pt>
                <c:pt idx="844">
                  <c:v>1</c:v>
                </c:pt>
                <c:pt idx="845">
                  <c:v>2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3</c:v>
                </c:pt>
                <c:pt idx="852">
                  <c:v>1</c:v>
                </c:pt>
                <c:pt idx="853">
                  <c:v>1</c:v>
                </c:pt>
                <c:pt idx="854">
                  <c:v>2</c:v>
                </c:pt>
                <c:pt idx="855">
                  <c:v>1</c:v>
                </c:pt>
                <c:pt idx="856">
                  <c:v>1</c:v>
                </c:pt>
                <c:pt idx="857">
                  <c:v>2</c:v>
                </c:pt>
                <c:pt idx="858">
                  <c:v>2</c:v>
                </c:pt>
                <c:pt idx="859">
                  <c:v>3</c:v>
                </c:pt>
                <c:pt idx="860">
                  <c:v>3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2</c:v>
                </c:pt>
                <c:pt idx="885">
                  <c:v>1</c:v>
                </c:pt>
                <c:pt idx="886">
                  <c:v>2</c:v>
                </c:pt>
                <c:pt idx="887">
                  <c:v>1</c:v>
                </c:pt>
                <c:pt idx="888">
                  <c:v>2</c:v>
                </c:pt>
                <c:pt idx="889">
                  <c:v>1</c:v>
                </c:pt>
                <c:pt idx="890">
                  <c:v>1</c:v>
                </c:pt>
                <c:pt idx="891">
                  <c:v>2</c:v>
                </c:pt>
                <c:pt idx="892">
                  <c:v>2</c:v>
                </c:pt>
                <c:pt idx="893">
                  <c:v>1</c:v>
                </c:pt>
                <c:pt idx="894">
                  <c:v>1</c:v>
                </c:pt>
                <c:pt idx="895">
                  <c:v>2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2</c:v>
                </c:pt>
                <c:pt idx="906">
                  <c:v>3</c:v>
                </c:pt>
                <c:pt idx="907">
                  <c:v>2</c:v>
                </c:pt>
                <c:pt idx="908">
                  <c:v>2</c:v>
                </c:pt>
                <c:pt idx="909">
                  <c:v>3</c:v>
                </c:pt>
                <c:pt idx="910">
                  <c:v>1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1</c:v>
                </c:pt>
                <c:pt idx="915">
                  <c:v>2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1</c:v>
                </c:pt>
                <c:pt idx="924">
                  <c:v>1</c:v>
                </c:pt>
                <c:pt idx="925">
                  <c:v>2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3</c:v>
                </c:pt>
                <c:pt idx="941">
                  <c:v>1</c:v>
                </c:pt>
                <c:pt idx="942">
                  <c:v>2</c:v>
                </c:pt>
                <c:pt idx="943">
                  <c:v>3</c:v>
                </c:pt>
                <c:pt idx="944">
                  <c:v>4</c:v>
                </c:pt>
                <c:pt idx="945">
                  <c:v>3</c:v>
                </c:pt>
                <c:pt idx="946">
                  <c:v>1</c:v>
                </c:pt>
                <c:pt idx="947">
                  <c:v>2</c:v>
                </c:pt>
                <c:pt idx="948">
                  <c:v>1</c:v>
                </c:pt>
                <c:pt idx="949">
                  <c:v>5</c:v>
                </c:pt>
                <c:pt idx="950">
                  <c:v>2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3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2</c:v>
                </c:pt>
                <c:pt idx="968">
                  <c:v>2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2</c:v>
                </c:pt>
                <c:pt idx="973">
                  <c:v>1</c:v>
                </c:pt>
                <c:pt idx="974">
                  <c:v>2</c:v>
                </c:pt>
                <c:pt idx="975">
                  <c:v>1</c:v>
                </c:pt>
                <c:pt idx="976">
                  <c:v>1</c:v>
                </c:pt>
                <c:pt idx="977">
                  <c:v>2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2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2</c:v>
                </c:pt>
                <c:pt idx="991">
                  <c:v>1</c:v>
                </c:pt>
                <c:pt idx="992">
                  <c:v>1</c:v>
                </c:pt>
                <c:pt idx="993">
                  <c:v>2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1</c:v>
                </c:pt>
                <c:pt idx="1001">
                  <c:v>1</c:v>
                </c:pt>
                <c:pt idx="1002">
                  <c:v>2</c:v>
                </c:pt>
                <c:pt idx="1003">
                  <c:v>1</c:v>
                </c:pt>
                <c:pt idx="1004">
                  <c:v>1</c:v>
                </c:pt>
                <c:pt idx="1005">
                  <c:v>3</c:v>
                </c:pt>
                <c:pt idx="1006">
                  <c:v>1</c:v>
                </c:pt>
                <c:pt idx="1007">
                  <c:v>2</c:v>
                </c:pt>
                <c:pt idx="1008">
                  <c:v>1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2</c:v>
                </c:pt>
                <c:pt idx="1018">
                  <c:v>1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1</c:v>
                </c:pt>
                <c:pt idx="1024">
                  <c:v>2</c:v>
                </c:pt>
                <c:pt idx="1025">
                  <c:v>2</c:v>
                </c:pt>
                <c:pt idx="1026">
                  <c:v>1</c:v>
                </c:pt>
                <c:pt idx="1027">
                  <c:v>2</c:v>
                </c:pt>
                <c:pt idx="1028">
                  <c:v>2</c:v>
                </c:pt>
                <c:pt idx="1029">
                  <c:v>3</c:v>
                </c:pt>
                <c:pt idx="1030">
                  <c:v>2</c:v>
                </c:pt>
                <c:pt idx="1031">
                  <c:v>1</c:v>
                </c:pt>
                <c:pt idx="1032">
                  <c:v>2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2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2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2</c:v>
                </c:pt>
                <c:pt idx="1054">
                  <c:v>2</c:v>
                </c:pt>
                <c:pt idx="1055">
                  <c:v>1</c:v>
                </c:pt>
                <c:pt idx="1056">
                  <c:v>1</c:v>
                </c:pt>
                <c:pt idx="1057">
                  <c:v>2</c:v>
                </c:pt>
                <c:pt idx="1058">
                  <c:v>2</c:v>
                </c:pt>
                <c:pt idx="1059">
                  <c:v>1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2</c:v>
                </c:pt>
                <c:pt idx="1071">
                  <c:v>2</c:v>
                </c:pt>
                <c:pt idx="1072">
                  <c:v>1</c:v>
                </c:pt>
                <c:pt idx="1073">
                  <c:v>2</c:v>
                </c:pt>
                <c:pt idx="1074">
                  <c:v>1</c:v>
                </c:pt>
                <c:pt idx="1075">
                  <c:v>2</c:v>
                </c:pt>
                <c:pt idx="1076">
                  <c:v>3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3</c:v>
                </c:pt>
                <c:pt idx="1084">
                  <c:v>1</c:v>
                </c:pt>
                <c:pt idx="1085">
                  <c:v>2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2</c:v>
                </c:pt>
                <c:pt idx="1090">
                  <c:v>1</c:v>
                </c:pt>
                <c:pt idx="1091">
                  <c:v>1</c:v>
                </c:pt>
                <c:pt idx="1092">
                  <c:v>3</c:v>
                </c:pt>
                <c:pt idx="1093">
                  <c:v>1</c:v>
                </c:pt>
                <c:pt idx="1094">
                  <c:v>3</c:v>
                </c:pt>
                <c:pt idx="1095">
                  <c:v>1</c:v>
                </c:pt>
                <c:pt idx="1096">
                  <c:v>1</c:v>
                </c:pt>
                <c:pt idx="1097">
                  <c:v>2</c:v>
                </c:pt>
                <c:pt idx="1098">
                  <c:v>1</c:v>
                </c:pt>
                <c:pt idx="1099">
                  <c:v>2</c:v>
                </c:pt>
                <c:pt idx="1100">
                  <c:v>1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2</c:v>
                </c:pt>
                <c:pt idx="1107">
                  <c:v>1</c:v>
                </c:pt>
                <c:pt idx="1108">
                  <c:v>2</c:v>
                </c:pt>
                <c:pt idx="1109">
                  <c:v>2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2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2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2</c:v>
                </c:pt>
                <c:pt idx="1146">
                  <c:v>1</c:v>
                </c:pt>
                <c:pt idx="1147">
                  <c:v>1</c:v>
                </c:pt>
                <c:pt idx="1148">
                  <c:v>2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2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1</c:v>
                </c:pt>
                <c:pt idx="1179">
                  <c:v>2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1</c:v>
                </c:pt>
                <c:pt idx="1202">
                  <c:v>2</c:v>
                </c:pt>
                <c:pt idx="1203">
                  <c:v>1</c:v>
                </c:pt>
                <c:pt idx="1204">
                  <c:v>1</c:v>
                </c:pt>
                <c:pt idx="1205">
                  <c:v>2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2</c:v>
                </c:pt>
                <c:pt idx="1217">
                  <c:v>1</c:v>
                </c:pt>
                <c:pt idx="1218">
                  <c:v>2</c:v>
                </c:pt>
                <c:pt idx="1219">
                  <c:v>1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1</c:v>
                </c:pt>
                <c:pt idx="1224">
                  <c:v>2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2</c:v>
                </c:pt>
                <c:pt idx="1230">
                  <c:v>2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2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2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2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2</c:v>
                </c:pt>
                <c:pt idx="1267">
                  <c:v>2</c:v>
                </c:pt>
                <c:pt idx="1268">
                  <c:v>1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2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2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2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4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2</c:v>
                </c:pt>
                <c:pt idx="1316">
                  <c:v>1</c:v>
                </c:pt>
                <c:pt idx="1318">
                  <c:v>2</c:v>
                </c:pt>
                <c:pt idx="1319">
                  <c:v>1</c:v>
                </c:pt>
                <c:pt idx="1320">
                  <c:v>2</c:v>
                </c:pt>
                <c:pt idx="1321">
                  <c:v>1</c:v>
                </c:pt>
                <c:pt idx="1322">
                  <c:v>2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2</c:v>
                </c:pt>
                <c:pt idx="1328">
                  <c:v>2</c:v>
                </c:pt>
                <c:pt idx="1329">
                  <c:v>1</c:v>
                </c:pt>
                <c:pt idx="1330">
                  <c:v>1</c:v>
                </c:pt>
                <c:pt idx="1331">
                  <c:v>2</c:v>
                </c:pt>
                <c:pt idx="1332">
                  <c:v>1</c:v>
                </c:pt>
                <c:pt idx="1333">
                  <c:v>2</c:v>
                </c:pt>
                <c:pt idx="1334">
                  <c:v>1</c:v>
                </c:pt>
                <c:pt idx="1335">
                  <c:v>2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2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2</c:v>
                </c:pt>
                <c:pt idx="1357">
                  <c:v>1</c:v>
                </c:pt>
                <c:pt idx="1358">
                  <c:v>1</c:v>
                </c:pt>
                <c:pt idx="1359">
                  <c:v>3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2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2</c:v>
                </c:pt>
                <c:pt idx="1373">
                  <c:v>1</c:v>
                </c:pt>
                <c:pt idx="1374">
                  <c:v>2</c:v>
                </c:pt>
                <c:pt idx="1375">
                  <c:v>1</c:v>
                </c:pt>
                <c:pt idx="1376">
                  <c:v>1</c:v>
                </c:pt>
                <c:pt idx="1377">
                  <c:v>2</c:v>
                </c:pt>
                <c:pt idx="1378">
                  <c:v>2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4</c:v>
                </c:pt>
                <c:pt idx="1383">
                  <c:v>1</c:v>
                </c:pt>
                <c:pt idx="1384">
                  <c:v>2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2</c:v>
                </c:pt>
                <c:pt idx="1394">
                  <c:v>1</c:v>
                </c:pt>
                <c:pt idx="1395">
                  <c:v>1</c:v>
                </c:pt>
                <c:pt idx="1396">
                  <c:v>3</c:v>
                </c:pt>
                <c:pt idx="1397">
                  <c:v>2</c:v>
                </c:pt>
                <c:pt idx="1398">
                  <c:v>1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1</c:v>
                </c:pt>
                <c:pt idx="1404">
                  <c:v>2</c:v>
                </c:pt>
                <c:pt idx="1405">
                  <c:v>2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2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1</c:v>
                </c:pt>
                <c:pt idx="1424">
                  <c:v>1</c:v>
                </c:pt>
                <c:pt idx="1425">
                  <c:v>2</c:v>
                </c:pt>
                <c:pt idx="1426">
                  <c:v>2</c:v>
                </c:pt>
                <c:pt idx="1427">
                  <c:v>1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2</c:v>
                </c:pt>
                <c:pt idx="1432">
                  <c:v>2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1</c:v>
                </c:pt>
                <c:pt idx="1437">
                  <c:v>2</c:v>
                </c:pt>
                <c:pt idx="1438">
                  <c:v>2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3</c:v>
                </c:pt>
                <c:pt idx="1447">
                  <c:v>2</c:v>
                </c:pt>
                <c:pt idx="1448">
                  <c:v>2</c:v>
                </c:pt>
                <c:pt idx="1449">
                  <c:v>3</c:v>
                </c:pt>
                <c:pt idx="1450">
                  <c:v>2</c:v>
                </c:pt>
                <c:pt idx="1451">
                  <c:v>2</c:v>
                </c:pt>
                <c:pt idx="1452">
                  <c:v>1</c:v>
                </c:pt>
                <c:pt idx="1453">
                  <c:v>2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1</c:v>
                </c:pt>
                <c:pt idx="1469">
                  <c:v>1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3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3</c:v>
                </c:pt>
                <c:pt idx="1493">
                  <c:v>1</c:v>
                </c:pt>
                <c:pt idx="1494">
                  <c:v>2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2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2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2</c:v>
                </c:pt>
                <c:pt idx="1510">
                  <c:v>2</c:v>
                </c:pt>
                <c:pt idx="1511">
                  <c:v>1</c:v>
                </c:pt>
                <c:pt idx="1512">
                  <c:v>1</c:v>
                </c:pt>
                <c:pt idx="1513">
                  <c:v>2</c:v>
                </c:pt>
                <c:pt idx="1514">
                  <c:v>1</c:v>
                </c:pt>
                <c:pt idx="1515">
                  <c:v>2</c:v>
                </c:pt>
                <c:pt idx="1516">
                  <c:v>1</c:v>
                </c:pt>
                <c:pt idx="1517">
                  <c:v>1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1</c:v>
                </c:pt>
                <c:pt idx="1523">
                  <c:v>2</c:v>
                </c:pt>
                <c:pt idx="1524">
                  <c:v>2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2</c:v>
                </c:pt>
                <c:pt idx="1529">
                  <c:v>1</c:v>
                </c:pt>
                <c:pt idx="1530">
                  <c:v>2</c:v>
                </c:pt>
                <c:pt idx="1531">
                  <c:v>1</c:v>
                </c:pt>
                <c:pt idx="1532">
                  <c:v>2</c:v>
                </c:pt>
                <c:pt idx="1533">
                  <c:v>1</c:v>
                </c:pt>
                <c:pt idx="1534">
                  <c:v>1</c:v>
                </c:pt>
                <c:pt idx="1535">
                  <c:v>2</c:v>
                </c:pt>
                <c:pt idx="1536">
                  <c:v>1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1</c:v>
                </c:pt>
                <c:pt idx="1542">
                  <c:v>2</c:v>
                </c:pt>
                <c:pt idx="1543">
                  <c:v>2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2</c:v>
                </c:pt>
                <c:pt idx="1548">
                  <c:v>2</c:v>
                </c:pt>
                <c:pt idx="1549">
                  <c:v>1</c:v>
                </c:pt>
                <c:pt idx="1550">
                  <c:v>2</c:v>
                </c:pt>
                <c:pt idx="1551">
                  <c:v>1</c:v>
                </c:pt>
                <c:pt idx="1552">
                  <c:v>3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2</c:v>
                </c:pt>
                <c:pt idx="1575">
                  <c:v>1</c:v>
                </c:pt>
                <c:pt idx="1576">
                  <c:v>1</c:v>
                </c:pt>
                <c:pt idx="1577">
                  <c:v>2</c:v>
                </c:pt>
                <c:pt idx="1578">
                  <c:v>3</c:v>
                </c:pt>
                <c:pt idx="1579">
                  <c:v>1</c:v>
                </c:pt>
                <c:pt idx="1580">
                  <c:v>2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2</c:v>
                </c:pt>
                <c:pt idx="1585">
                  <c:v>2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2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3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2</c:v>
                </c:pt>
                <c:pt idx="1612">
                  <c:v>1</c:v>
                </c:pt>
                <c:pt idx="1613">
                  <c:v>2</c:v>
                </c:pt>
                <c:pt idx="1614">
                  <c:v>2</c:v>
                </c:pt>
                <c:pt idx="1615">
                  <c:v>1</c:v>
                </c:pt>
                <c:pt idx="1616">
                  <c:v>2</c:v>
                </c:pt>
                <c:pt idx="1617">
                  <c:v>1</c:v>
                </c:pt>
                <c:pt idx="1618">
                  <c:v>2</c:v>
                </c:pt>
                <c:pt idx="1619">
                  <c:v>2</c:v>
                </c:pt>
                <c:pt idx="1620">
                  <c:v>1</c:v>
                </c:pt>
                <c:pt idx="1621">
                  <c:v>1</c:v>
                </c:pt>
                <c:pt idx="1622">
                  <c:v>2</c:v>
                </c:pt>
                <c:pt idx="1623">
                  <c:v>2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2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2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2</c:v>
                </c:pt>
                <c:pt idx="1639">
                  <c:v>2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2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2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2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1</c:v>
                </c:pt>
                <c:pt idx="1685">
                  <c:v>1</c:v>
                </c:pt>
                <c:pt idx="1686">
                  <c:v>3</c:v>
                </c:pt>
                <c:pt idx="1687">
                  <c:v>2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2</c:v>
                </c:pt>
                <c:pt idx="1692">
                  <c:v>2</c:v>
                </c:pt>
                <c:pt idx="1693">
                  <c:v>3</c:v>
                </c:pt>
                <c:pt idx="1694">
                  <c:v>1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2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2</c:v>
                </c:pt>
                <c:pt idx="1707">
                  <c:v>1</c:v>
                </c:pt>
                <c:pt idx="1708">
                  <c:v>2</c:v>
                </c:pt>
                <c:pt idx="1709">
                  <c:v>1</c:v>
                </c:pt>
                <c:pt idx="1710">
                  <c:v>2</c:v>
                </c:pt>
                <c:pt idx="1711">
                  <c:v>2</c:v>
                </c:pt>
                <c:pt idx="1712">
                  <c:v>1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1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1</c:v>
                </c:pt>
                <c:pt idx="1724">
                  <c:v>2</c:v>
                </c:pt>
                <c:pt idx="1725">
                  <c:v>2</c:v>
                </c:pt>
                <c:pt idx="1726">
                  <c:v>1</c:v>
                </c:pt>
                <c:pt idx="1727">
                  <c:v>2</c:v>
                </c:pt>
                <c:pt idx="1728">
                  <c:v>2</c:v>
                </c:pt>
                <c:pt idx="1729">
                  <c:v>1</c:v>
                </c:pt>
                <c:pt idx="1730">
                  <c:v>1</c:v>
                </c:pt>
                <c:pt idx="1731">
                  <c:v>2</c:v>
                </c:pt>
                <c:pt idx="1732">
                  <c:v>1</c:v>
                </c:pt>
                <c:pt idx="1733">
                  <c:v>2</c:v>
                </c:pt>
                <c:pt idx="1734">
                  <c:v>1</c:v>
                </c:pt>
                <c:pt idx="1735">
                  <c:v>1</c:v>
                </c:pt>
                <c:pt idx="1736">
                  <c:v>2</c:v>
                </c:pt>
                <c:pt idx="1737">
                  <c:v>1</c:v>
                </c:pt>
                <c:pt idx="1738">
                  <c:v>1</c:v>
                </c:pt>
                <c:pt idx="1739">
                  <c:v>2</c:v>
                </c:pt>
                <c:pt idx="1740">
                  <c:v>2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2</c:v>
                </c:pt>
                <c:pt idx="1751">
                  <c:v>2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</c:v>
                </c:pt>
                <c:pt idx="1761">
                  <c:v>2</c:v>
                </c:pt>
                <c:pt idx="1762">
                  <c:v>1</c:v>
                </c:pt>
                <c:pt idx="1763">
                  <c:v>2</c:v>
                </c:pt>
                <c:pt idx="1764">
                  <c:v>2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1</c:v>
                </c:pt>
                <c:pt idx="1774">
                  <c:v>1</c:v>
                </c:pt>
                <c:pt idx="1775">
                  <c:v>2</c:v>
                </c:pt>
                <c:pt idx="1776">
                  <c:v>1</c:v>
                </c:pt>
                <c:pt idx="1777">
                  <c:v>2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2</c:v>
                </c:pt>
                <c:pt idx="1784">
                  <c:v>2</c:v>
                </c:pt>
                <c:pt idx="1785">
                  <c:v>1</c:v>
                </c:pt>
                <c:pt idx="1786">
                  <c:v>1</c:v>
                </c:pt>
                <c:pt idx="1787">
                  <c:v>3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2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A-4783-A855-9FF601EC7E11}"/>
            </c:ext>
          </c:extLst>
        </c:ser>
        <c:ser>
          <c:idx val="3"/>
          <c:order val="3"/>
          <c:tx>
            <c:strRef>
              <c:f>'INVENTÁRIO 2026'!$C$2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'INVENTÁRIO 2026'!$C$3:$C$11811</c:f>
              <c:numCache>
                <c:formatCode>m/d/yyyy</c:formatCode>
                <c:ptCount val="11809"/>
                <c:pt idx="0">
                  <c:v>45665</c:v>
                </c:pt>
                <c:pt idx="1">
                  <c:v>45663</c:v>
                </c:pt>
                <c:pt idx="2">
                  <c:v>45663</c:v>
                </c:pt>
                <c:pt idx="3">
                  <c:v>45663</c:v>
                </c:pt>
                <c:pt idx="4">
                  <c:v>45663</c:v>
                </c:pt>
                <c:pt idx="5">
                  <c:v>45664</c:v>
                </c:pt>
                <c:pt idx="6">
                  <c:v>45664</c:v>
                </c:pt>
                <c:pt idx="7">
                  <c:v>45671</c:v>
                </c:pt>
                <c:pt idx="8">
                  <c:v>45664</c:v>
                </c:pt>
                <c:pt idx="9">
                  <c:v>45974</c:v>
                </c:pt>
                <c:pt idx="10">
                  <c:v>45665</c:v>
                </c:pt>
                <c:pt idx="11">
                  <c:v>45662</c:v>
                </c:pt>
                <c:pt idx="12">
                  <c:v>45666</c:v>
                </c:pt>
                <c:pt idx="13">
                  <c:v>45666</c:v>
                </c:pt>
                <c:pt idx="15">
                  <c:v>45670</c:v>
                </c:pt>
                <c:pt idx="16">
                  <c:v>45973</c:v>
                </c:pt>
                <c:pt idx="17">
                  <c:v>45670</c:v>
                </c:pt>
                <c:pt idx="18">
                  <c:v>45973</c:v>
                </c:pt>
                <c:pt idx="19">
                  <c:v>45973</c:v>
                </c:pt>
                <c:pt idx="20">
                  <c:v>45670</c:v>
                </c:pt>
                <c:pt idx="21">
                  <c:v>45973</c:v>
                </c:pt>
                <c:pt idx="22">
                  <c:v>45973</c:v>
                </c:pt>
                <c:pt idx="23">
                  <c:v>45973</c:v>
                </c:pt>
                <c:pt idx="24">
                  <c:v>45973</c:v>
                </c:pt>
                <c:pt idx="25">
                  <c:v>45973</c:v>
                </c:pt>
                <c:pt idx="26">
                  <c:v>45973</c:v>
                </c:pt>
                <c:pt idx="27">
                  <c:v>45671</c:v>
                </c:pt>
                <c:pt idx="28">
                  <c:v>46042</c:v>
                </c:pt>
                <c:pt idx="29">
                  <c:v>45973</c:v>
                </c:pt>
                <c:pt idx="30">
                  <c:v>45973</c:v>
                </c:pt>
                <c:pt idx="31">
                  <c:v>45973</c:v>
                </c:pt>
                <c:pt idx="32">
                  <c:v>45973</c:v>
                </c:pt>
                <c:pt idx="33">
                  <c:v>45671</c:v>
                </c:pt>
                <c:pt idx="34">
                  <c:v>45973</c:v>
                </c:pt>
                <c:pt idx="35">
                  <c:v>45973</c:v>
                </c:pt>
                <c:pt idx="36">
                  <c:v>45973</c:v>
                </c:pt>
                <c:pt idx="37">
                  <c:v>45973</c:v>
                </c:pt>
                <c:pt idx="38">
                  <c:v>45973</c:v>
                </c:pt>
                <c:pt idx="39">
                  <c:v>45973</c:v>
                </c:pt>
                <c:pt idx="40">
                  <c:v>45973</c:v>
                </c:pt>
                <c:pt idx="41">
                  <c:v>46036</c:v>
                </c:pt>
                <c:pt idx="42">
                  <c:v>45973</c:v>
                </c:pt>
                <c:pt idx="43">
                  <c:v>45973</c:v>
                </c:pt>
                <c:pt idx="44">
                  <c:v>45973</c:v>
                </c:pt>
                <c:pt idx="45">
                  <c:v>45973</c:v>
                </c:pt>
                <c:pt idx="46">
                  <c:v>45973</c:v>
                </c:pt>
                <c:pt idx="47">
                  <c:v>46036</c:v>
                </c:pt>
                <c:pt idx="48">
                  <c:v>45973</c:v>
                </c:pt>
                <c:pt idx="49">
                  <c:v>45973</c:v>
                </c:pt>
                <c:pt idx="50">
                  <c:v>45973</c:v>
                </c:pt>
                <c:pt idx="51">
                  <c:v>45973</c:v>
                </c:pt>
                <c:pt idx="52">
                  <c:v>45973</c:v>
                </c:pt>
                <c:pt idx="53">
                  <c:v>45973</c:v>
                </c:pt>
                <c:pt idx="54">
                  <c:v>46041</c:v>
                </c:pt>
                <c:pt idx="55">
                  <c:v>46036</c:v>
                </c:pt>
                <c:pt idx="56">
                  <c:v>46036</c:v>
                </c:pt>
                <c:pt idx="57">
                  <c:v>45669</c:v>
                </c:pt>
                <c:pt idx="58">
                  <c:v>45670</c:v>
                </c:pt>
                <c:pt idx="59">
                  <c:v>45669</c:v>
                </c:pt>
                <c:pt idx="60">
                  <c:v>46057</c:v>
                </c:pt>
                <c:pt idx="61">
                  <c:v>46059</c:v>
                </c:pt>
                <c:pt idx="62">
                  <c:v>45974</c:v>
                </c:pt>
                <c:pt idx="63">
                  <c:v>45974</c:v>
                </c:pt>
                <c:pt idx="64">
                  <c:v>46141</c:v>
                </c:pt>
                <c:pt idx="65">
                  <c:v>46036</c:v>
                </c:pt>
                <c:pt idx="66">
                  <c:v>46037</c:v>
                </c:pt>
                <c:pt idx="67">
                  <c:v>45974</c:v>
                </c:pt>
                <c:pt idx="68">
                  <c:v>46037</c:v>
                </c:pt>
                <c:pt idx="69">
                  <c:v>46037</c:v>
                </c:pt>
                <c:pt idx="70">
                  <c:v>45671</c:v>
                </c:pt>
                <c:pt idx="71">
                  <c:v>46042</c:v>
                </c:pt>
                <c:pt idx="72">
                  <c:v>46036</c:v>
                </c:pt>
                <c:pt idx="73">
                  <c:v>46041</c:v>
                </c:pt>
                <c:pt idx="74">
                  <c:v>46036</c:v>
                </c:pt>
                <c:pt idx="75">
                  <c:v>46036</c:v>
                </c:pt>
                <c:pt idx="76">
                  <c:v>46036</c:v>
                </c:pt>
                <c:pt idx="77">
                  <c:v>46036</c:v>
                </c:pt>
                <c:pt idx="78">
                  <c:v>46036</c:v>
                </c:pt>
                <c:pt idx="79">
                  <c:v>46036</c:v>
                </c:pt>
                <c:pt idx="80">
                  <c:v>46036</c:v>
                </c:pt>
                <c:pt idx="81">
                  <c:v>46036</c:v>
                </c:pt>
                <c:pt idx="82">
                  <c:v>46036</c:v>
                </c:pt>
                <c:pt idx="83">
                  <c:v>46036</c:v>
                </c:pt>
                <c:pt idx="84">
                  <c:v>46036</c:v>
                </c:pt>
                <c:pt idx="85">
                  <c:v>46036</c:v>
                </c:pt>
                <c:pt idx="86">
                  <c:v>46036</c:v>
                </c:pt>
                <c:pt idx="87">
                  <c:v>46041</c:v>
                </c:pt>
                <c:pt idx="88">
                  <c:v>46036</c:v>
                </c:pt>
                <c:pt idx="89">
                  <c:v>46036</c:v>
                </c:pt>
                <c:pt idx="90">
                  <c:v>46036</c:v>
                </c:pt>
                <c:pt idx="91">
                  <c:v>46041</c:v>
                </c:pt>
                <c:pt idx="92">
                  <c:v>46036</c:v>
                </c:pt>
                <c:pt idx="93">
                  <c:v>46036</c:v>
                </c:pt>
                <c:pt idx="94">
                  <c:v>46036</c:v>
                </c:pt>
                <c:pt idx="95">
                  <c:v>46036</c:v>
                </c:pt>
                <c:pt idx="96">
                  <c:v>46041</c:v>
                </c:pt>
                <c:pt idx="97">
                  <c:v>46036</c:v>
                </c:pt>
                <c:pt idx="98">
                  <c:v>46036</c:v>
                </c:pt>
                <c:pt idx="99">
                  <c:v>46036</c:v>
                </c:pt>
                <c:pt idx="100">
                  <c:v>46041</c:v>
                </c:pt>
                <c:pt idx="101">
                  <c:v>46041</c:v>
                </c:pt>
                <c:pt idx="102">
                  <c:v>46042</c:v>
                </c:pt>
                <c:pt idx="103">
                  <c:v>46036</c:v>
                </c:pt>
                <c:pt idx="104">
                  <c:v>46036</c:v>
                </c:pt>
                <c:pt idx="105">
                  <c:v>46036</c:v>
                </c:pt>
                <c:pt idx="106">
                  <c:v>46036</c:v>
                </c:pt>
                <c:pt idx="107">
                  <c:v>46036</c:v>
                </c:pt>
                <c:pt idx="108">
                  <c:v>46036</c:v>
                </c:pt>
                <c:pt idx="109">
                  <c:v>46041</c:v>
                </c:pt>
                <c:pt idx="110">
                  <c:v>46036</c:v>
                </c:pt>
                <c:pt idx="111">
                  <c:v>46036</c:v>
                </c:pt>
                <c:pt idx="112">
                  <c:v>46036</c:v>
                </c:pt>
                <c:pt idx="113">
                  <c:v>46036</c:v>
                </c:pt>
                <c:pt idx="114">
                  <c:v>46036</c:v>
                </c:pt>
                <c:pt idx="115">
                  <c:v>46036</c:v>
                </c:pt>
                <c:pt idx="116">
                  <c:v>46036</c:v>
                </c:pt>
                <c:pt idx="117">
                  <c:v>46036</c:v>
                </c:pt>
                <c:pt idx="118">
                  <c:v>46036</c:v>
                </c:pt>
                <c:pt idx="119">
                  <c:v>46036</c:v>
                </c:pt>
                <c:pt idx="120">
                  <c:v>46041</c:v>
                </c:pt>
                <c:pt idx="121">
                  <c:v>46036</c:v>
                </c:pt>
                <c:pt idx="122">
                  <c:v>46036</c:v>
                </c:pt>
                <c:pt idx="123">
                  <c:v>46036</c:v>
                </c:pt>
                <c:pt idx="124">
                  <c:v>46036</c:v>
                </c:pt>
                <c:pt idx="125">
                  <c:v>46041</c:v>
                </c:pt>
                <c:pt idx="126">
                  <c:v>46036</c:v>
                </c:pt>
                <c:pt idx="127">
                  <c:v>46036</c:v>
                </c:pt>
                <c:pt idx="128">
                  <c:v>46036</c:v>
                </c:pt>
                <c:pt idx="129">
                  <c:v>46036</c:v>
                </c:pt>
                <c:pt idx="130">
                  <c:v>46036</c:v>
                </c:pt>
                <c:pt idx="131">
                  <c:v>46036</c:v>
                </c:pt>
                <c:pt idx="132">
                  <c:v>46036</c:v>
                </c:pt>
                <c:pt idx="133">
                  <c:v>46036</c:v>
                </c:pt>
                <c:pt idx="134">
                  <c:v>46036</c:v>
                </c:pt>
                <c:pt idx="135">
                  <c:v>46036</c:v>
                </c:pt>
                <c:pt idx="136">
                  <c:v>46036</c:v>
                </c:pt>
                <c:pt idx="137">
                  <c:v>46041</c:v>
                </c:pt>
                <c:pt idx="138">
                  <c:v>46036</c:v>
                </c:pt>
                <c:pt idx="139">
                  <c:v>46036</c:v>
                </c:pt>
                <c:pt idx="140">
                  <c:v>46036</c:v>
                </c:pt>
                <c:pt idx="141">
                  <c:v>46036</c:v>
                </c:pt>
                <c:pt idx="142">
                  <c:v>46036</c:v>
                </c:pt>
                <c:pt idx="143">
                  <c:v>46036</c:v>
                </c:pt>
                <c:pt idx="144">
                  <c:v>46044</c:v>
                </c:pt>
                <c:pt idx="145">
                  <c:v>46036</c:v>
                </c:pt>
                <c:pt idx="146">
                  <c:v>46036</c:v>
                </c:pt>
                <c:pt idx="147">
                  <c:v>46036</c:v>
                </c:pt>
                <c:pt idx="148">
                  <c:v>46036</c:v>
                </c:pt>
                <c:pt idx="149">
                  <c:v>46042</c:v>
                </c:pt>
                <c:pt idx="150">
                  <c:v>46036</c:v>
                </c:pt>
                <c:pt idx="151">
                  <c:v>46037</c:v>
                </c:pt>
                <c:pt idx="152">
                  <c:v>46037</c:v>
                </c:pt>
                <c:pt idx="153">
                  <c:v>46037</c:v>
                </c:pt>
                <c:pt idx="154">
                  <c:v>46037</c:v>
                </c:pt>
                <c:pt idx="155">
                  <c:v>46041</c:v>
                </c:pt>
                <c:pt idx="156">
                  <c:v>46038</c:v>
                </c:pt>
                <c:pt idx="157">
                  <c:v>46041</c:v>
                </c:pt>
                <c:pt idx="158">
                  <c:v>46059</c:v>
                </c:pt>
                <c:pt idx="159">
                  <c:v>46038</c:v>
                </c:pt>
                <c:pt idx="160">
                  <c:v>46044</c:v>
                </c:pt>
                <c:pt idx="161">
                  <c:v>46044</c:v>
                </c:pt>
                <c:pt idx="162">
                  <c:v>46043</c:v>
                </c:pt>
                <c:pt idx="163">
                  <c:v>46044</c:v>
                </c:pt>
                <c:pt idx="164">
                  <c:v>46048</c:v>
                </c:pt>
                <c:pt idx="165">
                  <c:v>46041</c:v>
                </c:pt>
                <c:pt idx="166">
                  <c:v>46041</c:v>
                </c:pt>
                <c:pt idx="167">
                  <c:v>46041</c:v>
                </c:pt>
                <c:pt idx="168">
                  <c:v>46041</c:v>
                </c:pt>
                <c:pt idx="169">
                  <c:v>46041</c:v>
                </c:pt>
                <c:pt idx="170">
                  <c:v>46059</c:v>
                </c:pt>
                <c:pt idx="171">
                  <c:v>46049</c:v>
                </c:pt>
                <c:pt idx="172">
                  <c:v>46048</c:v>
                </c:pt>
                <c:pt idx="173">
                  <c:v>46043</c:v>
                </c:pt>
                <c:pt idx="174">
                  <c:v>46042</c:v>
                </c:pt>
                <c:pt idx="175">
                  <c:v>46043</c:v>
                </c:pt>
                <c:pt idx="176">
                  <c:v>46042</c:v>
                </c:pt>
                <c:pt idx="177">
                  <c:v>46044</c:v>
                </c:pt>
                <c:pt idx="178">
                  <c:v>46044</c:v>
                </c:pt>
                <c:pt idx="179">
                  <c:v>46042</c:v>
                </c:pt>
                <c:pt idx="180">
                  <c:v>46042</c:v>
                </c:pt>
                <c:pt idx="181">
                  <c:v>46042</c:v>
                </c:pt>
                <c:pt idx="182">
                  <c:v>46042</c:v>
                </c:pt>
                <c:pt idx="183">
                  <c:v>46042</c:v>
                </c:pt>
                <c:pt idx="184">
                  <c:v>46042</c:v>
                </c:pt>
                <c:pt idx="185">
                  <c:v>46043</c:v>
                </c:pt>
                <c:pt idx="186">
                  <c:v>46044</c:v>
                </c:pt>
                <c:pt idx="187">
                  <c:v>46043</c:v>
                </c:pt>
                <c:pt idx="188">
                  <c:v>46043</c:v>
                </c:pt>
                <c:pt idx="189">
                  <c:v>46049</c:v>
                </c:pt>
                <c:pt idx="190">
                  <c:v>46043</c:v>
                </c:pt>
                <c:pt idx="191">
                  <c:v>46044</c:v>
                </c:pt>
                <c:pt idx="192">
                  <c:v>46043</c:v>
                </c:pt>
                <c:pt idx="193">
                  <c:v>46043</c:v>
                </c:pt>
                <c:pt idx="194">
                  <c:v>46044</c:v>
                </c:pt>
                <c:pt idx="195">
                  <c:v>46044</c:v>
                </c:pt>
                <c:pt idx="196">
                  <c:v>46045</c:v>
                </c:pt>
                <c:pt idx="197">
                  <c:v>46049</c:v>
                </c:pt>
                <c:pt idx="198">
                  <c:v>46043</c:v>
                </c:pt>
                <c:pt idx="199">
                  <c:v>46056</c:v>
                </c:pt>
                <c:pt idx="200">
                  <c:v>46043</c:v>
                </c:pt>
                <c:pt idx="201">
                  <c:v>46043</c:v>
                </c:pt>
                <c:pt idx="202">
                  <c:v>46048</c:v>
                </c:pt>
                <c:pt idx="203">
                  <c:v>46045</c:v>
                </c:pt>
                <c:pt idx="204">
                  <c:v>46043</c:v>
                </c:pt>
                <c:pt idx="205">
                  <c:v>46045</c:v>
                </c:pt>
                <c:pt idx="206">
                  <c:v>46045</c:v>
                </c:pt>
                <c:pt idx="207">
                  <c:v>46045</c:v>
                </c:pt>
                <c:pt idx="208">
                  <c:v>46045</c:v>
                </c:pt>
                <c:pt idx="209">
                  <c:v>46050</c:v>
                </c:pt>
                <c:pt idx="210">
                  <c:v>46048</c:v>
                </c:pt>
                <c:pt idx="211">
                  <c:v>46043</c:v>
                </c:pt>
                <c:pt idx="212">
                  <c:v>46048</c:v>
                </c:pt>
                <c:pt idx="213">
                  <c:v>46043</c:v>
                </c:pt>
                <c:pt idx="214">
                  <c:v>46048</c:v>
                </c:pt>
                <c:pt idx="215">
                  <c:v>46043</c:v>
                </c:pt>
                <c:pt idx="216">
                  <c:v>46043</c:v>
                </c:pt>
                <c:pt idx="217">
                  <c:v>46043</c:v>
                </c:pt>
                <c:pt idx="218">
                  <c:v>46048</c:v>
                </c:pt>
                <c:pt idx="219">
                  <c:v>46045</c:v>
                </c:pt>
                <c:pt idx="220">
                  <c:v>46043</c:v>
                </c:pt>
                <c:pt idx="221">
                  <c:v>46043</c:v>
                </c:pt>
                <c:pt idx="222">
                  <c:v>46043</c:v>
                </c:pt>
                <c:pt idx="223">
                  <c:v>46048</c:v>
                </c:pt>
                <c:pt idx="224">
                  <c:v>46051</c:v>
                </c:pt>
                <c:pt idx="225">
                  <c:v>46048</c:v>
                </c:pt>
                <c:pt idx="226">
                  <c:v>46043</c:v>
                </c:pt>
                <c:pt idx="227">
                  <c:v>46045</c:v>
                </c:pt>
                <c:pt idx="228">
                  <c:v>46048</c:v>
                </c:pt>
                <c:pt idx="229">
                  <c:v>46044</c:v>
                </c:pt>
                <c:pt idx="230">
                  <c:v>46044</c:v>
                </c:pt>
                <c:pt idx="231">
                  <c:v>46049</c:v>
                </c:pt>
                <c:pt idx="232">
                  <c:v>46051</c:v>
                </c:pt>
                <c:pt idx="233">
                  <c:v>46049</c:v>
                </c:pt>
                <c:pt idx="234">
                  <c:v>46055</c:v>
                </c:pt>
                <c:pt idx="235">
                  <c:v>46052</c:v>
                </c:pt>
                <c:pt idx="236">
                  <c:v>46056</c:v>
                </c:pt>
                <c:pt idx="237">
                  <c:v>46049</c:v>
                </c:pt>
                <c:pt idx="238">
                  <c:v>46072</c:v>
                </c:pt>
                <c:pt idx="239">
                  <c:v>46049</c:v>
                </c:pt>
                <c:pt idx="240">
                  <c:v>46044</c:v>
                </c:pt>
                <c:pt idx="241">
                  <c:v>46044</c:v>
                </c:pt>
                <c:pt idx="242">
                  <c:v>46059</c:v>
                </c:pt>
                <c:pt idx="243">
                  <c:v>46062</c:v>
                </c:pt>
                <c:pt idx="244">
                  <c:v>46062</c:v>
                </c:pt>
                <c:pt idx="245">
                  <c:v>46044</c:v>
                </c:pt>
                <c:pt idx="246">
                  <c:v>46048</c:v>
                </c:pt>
                <c:pt idx="247">
                  <c:v>46059</c:v>
                </c:pt>
                <c:pt idx="248">
                  <c:v>46049</c:v>
                </c:pt>
                <c:pt idx="249">
                  <c:v>46050</c:v>
                </c:pt>
                <c:pt idx="250">
                  <c:v>46045</c:v>
                </c:pt>
                <c:pt idx="251">
                  <c:v>46045</c:v>
                </c:pt>
                <c:pt idx="252">
                  <c:v>46045</c:v>
                </c:pt>
                <c:pt idx="253">
                  <c:v>46045</c:v>
                </c:pt>
                <c:pt idx="254">
                  <c:v>46045</c:v>
                </c:pt>
                <c:pt idx="255">
                  <c:v>46045</c:v>
                </c:pt>
                <c:pt idx="256">
                  <c:v>46045</c:v>
                </c:pt>
                <c:pt idx="257">
                  <c:v>46045</c:v>
                </c:pt>
                <c:pt idx="258">
                  <c:v>46055</c:v>
                </c:pt>
                <c:pt idx="259">
                  <c:v>46055</c:v>
                </c:pt>
                <c:pt idx="260">
                  <c:v>46052</c:v>
                </c:pt>
                <c:pt idx="261">
                  <c:v>46073</c:v>
                </c:pt>
                <c:pt idx="262">
                  <c:v>46045</c:v>
                </c:pt>
                <c:pt idx="263">
                  <c:v>46055</c:v>
                </c:pt>
                <c:pt idx="264">
                  <c:v>46045</c:v>
                </c:pt>
                <c:pt idx="265">
                  <c:v>46045</c:v>
                </c:pt>
                <c:pt idx="266">
                  <c:v>46045</c:v>
                </c:pt>
                <c:pt idx="267">
                  <c:v>46045</c:v>
                </c:pt>
                <c:pt idx="268">
                  <c:v>46045</c:v>
                </c:pt>
                <c:pt idx="269">
                  <c:v>46051</c:v>
                </c:pt>
                <c:pt idx="270">
                  <c:v>46051</c:v>
                </c:pt>
                <c:pt idx="271">
                  <c:v>46045</c:v>
                </c:pt>
                <c:pt idx="272">
                  <c:v>46050</c:v>
                </c:pt>
                <c:pt idx="273">
                  <c:v>46051</c:v>
                </c:pt>
                <c:pt idx="274">
                  <c:v>46048</c:v>
                </c:pt>
                <c:pt idx="275">
                  <c:v>46048</c:v>
                </c:pt>
                <c:pt idx="276">
                  <c:v>46048</c:v>
                </c:pt>
                <c:pt idx="277">
                  <c:v>46055</c:v>
                </c:pt>
                <c:pt idx="278">
                  <c:v>46062</c:v>
                </c:pt>
                <c:pt idx="279">
                  <c:v>46048</c:v>
                </c:pt>
                <c:pt idx="280">
                  <c:v>46048</c:v>
                </c:pt>
                <c:pt idx="281">
                  <c:v>46052</c:v>
                </c:pt>
                <c:pt idx="282">
                  <c:v>46049</c:v>
                </c:pt>
                <c:pt idx="283">
                  <c:v>46049</c:v>
                </c:pt>
                <c:pt idx="284">
                  <c:v>46050</c:v>
                </c:pt>
                <c:pt idx="285">
                  <c:v>46049</c:v>
                </c:pt>
                <c:pt idx="286">
                  <c:v>46063</c:v>
                </c:pt>
                <c:pt idx="287">
                  <c:v>46050</c:v>
                </c:pt>
                <c:pt idx="288">
                  <c:v>46050</c:v>
                </c:pt>
                <c:pt idx="289">
                  <c:v>46056</c:v>
                </c:pt>
                <c:pt idx="290">
                  <c:v>46052</c:v>
                </c:pt>
                <c:pt idx="291">
                  <c:v>46050</c:v>
                </c:pt>
                <c:pt idx="292">
                  <c:v>46050</c:v>
                </c:pt>
                <c:pt idx="293">
                  <c:v>46050</c:v>
                </c:pt>
                <c:pt idx="294">
                  <c:v>46057</c:v>
                </c:pt>
                <c:pt idx="295">
                  <c:v>46057</c:v>
                </c:pt>
                <c:pt idx="296">
                  <c:v>46051</c:v>
                </c:pt>
                <c:pt idx="297">
                  <c:v>46051</c:v>
                </c:pt>
                <c:pt idx="298">
                  <c:v>46051</c:v>
                </c:pt>
                <c:pt idx="299">
                  <c:v>46051</c:v>
                </c:pt>
                <c:pt idx="300">
                  <c:v>46056</c:v>
                </c:pt>
                <c:pt idx="301">
                  <c:v>46051</c:v>
                </c:pt>
                <c:pt idx="302">
                  <c:v>46056</c:v>
                </c:pt>
                <c:pt idx="303">
                  <c:v>46055</c:v>
                </c:pt>
                <c:pt idx="304">
                  <c:v>46055</c:v>
                </c:pt>
                <c:pt idx="305">
                  <c:v>46055</c:v>
                </c:pt>
                <c:pt idx="306">
                  <c:v>46055</c:v>
                </c:pt>
                <c:pt idx="307">
                  <c:v>46055</c:v>
                </c:pt>
                <c:pt idx="308">
                  <c:v>46056</c:v>
                </c:pt>
                <c:pt idx="309">
                  <c:v>46055</c:v>
                </c:pt>
                <c:pt idx="310">
                  <c:v>46057</c:v>
                </c:pt>
                <c:pt idx="311">
                  <c:v>46056</c:v>
                </c:pt>
                <c:pt idx="312">
                  <c:v>46056</c:v>
                </c:pt>
                <c:pt idx="313">
                  <c:v>46058</c:v>
                </c:pt>
                <c:pt idx="314">
                  <c:v>46056</c:v>
                </c:pt>
                <c:pt idx="315">
                  <c:v>46056</c:v>
                </c:pt>
                <c:pt idx="316">
                  <c:v>46057</c:v>
                </c:pt>
                <c:pt idx="317">
                  <c:v>46057</c:v>
                </c:pt>
                <c:pt idx="318">
                  <c:v>46057</c:v>
                </c:pt>
                <c:pt idx="319">
                  <c:v>46059</c:v>
                </c:pt>
                <c:pt idx="320">
                  <c:v>46057</c:v>
                </c:pt>
                <c:pt idx="321">
                  <c:v>46076</c:v>
                </c:pt>
                <c:pt idx="322">
                  <c:v>46058</c:v>
                </c:pt>
                <c:pt idx="323">
                  <c:v>46083</c:v>
                </c:pt>
                <c:pt idx="324">
                  <c:v>46057</c:v>
                </c:pt>
                <c:pt idx="325">
                  <c:v>46093</c:v>
                </c:pt>
                <c:pt idx="326">
                  <c:v>46057</c:v>
                </c:pt>
                <c:pt idx="327">
                  <c:v>46057</c:v>
                </c:pt>
                <c:pt idx="328">
                  <c:v>46057</c:v>
                </c:pt>
                <c:pt idx="329">
                  <c:v>46058</c:v>
                </c:pt>
                <c:pt idx="330">
                  <c:v>46058</c:v>
                </c:pt>
                <c:pt idx="331">
                  <c:v>46058</c:v>
                </c:pt>
                <c:pt idx="332">
                  <c:v>46058</c:v>
                </c:pt>
                <c:pt idx="333">
                  <c:v>46063</c:v>
                </c:pt>
                <c:pt idx="334">
                  <c:v>46058</c:v>
                </c:pt>
                <c:pt idx="335">
                  <c:v>46058</c:v>
                </c:pt>
                <c:pt idx="336">
                  <c:v>46058</c:v>
                </c:pt>
                <c:pt idx="337">
                  <c:v>46058</c:v>
                </c:pt>
                <c:pt idx="338">
                  <c:v>46062</c:v>
                </c:pt>
                <c:pt idx="339">
                  <c:v>46063</c:v>
                </c:pt>
                <c:pt idx="340">
                  <c:v>46063</c:v>
                </c:pt>
                <c:pt idx="341">
                  <c:v>46062</c:v>
                </c:pt>
                <c:pt idx="342">
                  <c:v>46058</c:v>
                </c:pt>
                <c:pt idx="343">
                  <c:v>46063</c:v>
                </c:pt>
                <c:pt idx="344">
                  <c:v>46058</c:v>
                </c:pt>
                <c:pt idx="345">
                  <c:v>46058</c:v>
                </c:pt>
                <c:pt idx="346">
                  <c:v>46058</c:v>
                </c:pt>
                <c:pt idx="347">
                  <c:v>46058</c:v>
                </c:pt>
                <c:pt idx="348">
                  <c:v>46066</c:v>
                </c:pt>
                <c:pt idx="349">
                  <c:v>46076</c:v>
                </c:pt>
                <c:pt idx="350">
                  <c:v>46063</c:v>
                </c:pt>
                <c:pt idx="351">
                  <c:v>46059</c:v>
                </c:pt>
                <c:pt idx="352">
                  <c:v>46059</c:v>
                </c:pt>
                <c:pt idx="353">
                  <c:v>46059</c:v>
                </c:pt>
                <c:pt idx="354">
                  <c:v>46059</c:v>
                </c:pt>
                <c:pt idx="355">
                  <c:v>46059</c:v>
                </c:pt>
                <c:pt idx="356">
                  <c:v>46065</c:v>
                </c:pt>
                <c:pt idx="357">
                  <c:v>46059</c:v>
                </c:pt>
                <c:pt idx="358">
                  <c:v>46059</c:v>
                </c:pt>
                <c:pt idx="359">
                  <c:v>46065</c:v>
                </c:pt>
                <c:pt idx="360">
                  <c:v>46059</c:v>
                </c:pt>
                <c:pt idx="361">
                  <c:v>46059</c:v>
                </c:pt>
                <c:pt idx="362">
                  <c:v>46059</c:v>
                </c:pt>
                <c:pt idx="363">
                  <c:v>46059</c:v>
                </c:pt>
                <c:pt idx="364">
                  <c:v>46059</c:v>
                </c:pt>
                <c:pt idx="365">
                  <c:v>46065</c:v>
                </c:pt>
                <c:pt idx="366">
                  <c:v>46059</c:v>
                </c:pt>
                <c:pt idx="367">
                  <c:v>46063</c:v>
                </c:pt>
                <c:pt idx="368">
                  <c:v>46062</c:v>
                </c:pt>
                <c:pt idx="369">
                  <c:v>46063</c:v>
                </c:pt>
                <c:pt idx="370">
                  <c:v>46059</c:v>
                </c:pt>
                <c:pt idx="371">
                  <c:v>46059</c:v>
                </c:pt>
                <c:pt idx="372">
                  <c:v>46066</c:v>
                </c:pt>
                <c:pt idx="373">
                  <c:v>46059</c:v>
                </c:pt>
                <c:pt idx="374">
                  <c:v>46066</c:v>
                </c:pt>
                <c:pt idx="375">
                  <c:v>46059</c:v>
                </c:pt>
                <c:pt idx="376">
                  <c:v>46059</c:v>
                </c:pt>
                <c:pt idx="377">
                  <c:v>46059</c:v>
                </c:pt>
                <c:pt idx="378">
                  <c:v>46059</c:v>
                </c:pt>
                <c:pt idx="379">
                  <c:v>46059</c:v>
                </c:pt>
                <c:pt idx="380">
                  <c:v>46059</c:v>
                </c:pt>
                <c:pt idx="381">
                  <c:v>46059</c:v>
                </c:pt>
                <c:pt idx="382">
                  <c:v>46059</c:v>
                </c:pt>
                <c:pt idx="383">
                  <c:v>46059</c:v>
                </c:pt>
                <c:pt idx="384">
                  <c:v>46059</c:v>
                </c:pt>
                <c:pt idx="385">
                  <c:v>46059</c:v>
                </c:pt>
                <c:pt idx="386">
                  <c:v>46059</c:v>
                </c:pt>
                <c:pt idx="387">
                  <c:v>46059</c:v>
                </c:pt>
                <c:pt idx="388">
                  <c:v>46059</c:v>
                </c:pt>
                <c:pt idx="389">
                  <c:v>46059</c:v>
                </c:pt>
                <c:pt idx="390">
                  <c:v>46059</c:v>
                </c:pt>
                <c:pt idx="391">
                  <c:v>46059</c:v>
                </c:pt>
                <c:pt idx="392">
                  <c:v>46059</c:v>
                </c:pt>
                <c:pt idx="393">
                  <c:v>46059</c:v>
                </c:pt>
                <c:pt idx="394">
                  <c:v>46059</c:v>
                </c:pt>
                <c:pt idx="395">
                  <c:v>46065</c:v>
                </c:pt>
                <c:pt idx="396">
                  <c:v>46066</c:v>
                </c:pt>
                <c:pt idx="397">
                  <c:v>46059</c:v>
                </c:pt>
                <c:pt idx="398">
                  <c:v>46059</c:v>
                </c:pt>
                <c:pt idx="399">
                  <c:v>46063</c:v>
                </c:pt>
                <c:pt idx="400">
                  <c:v>46063</c:v>
                </c:pt>
                <c:pt idx="401">
                  <c:v>46080</c:v>
                </c:pt>
                <c:pt idx="402">
                  <c:v>46059</c:v>
                </c:pt>
                <c:pt idx="403">
                  <c:v>46080</c:v>
                </c:pt>
                <c:pt idx="404">
                  <c:v>46064</c:v>
                </c:pt>
                <c:pt idx="405">
                  <c:v>46062</c:v>
                </c:pt>
                <c:pt idx="406">
                  <c:v>46062</c:v>
                </c:pt>
                <c:pt idx="407">
                  <c:v>46062</c:v>
                </c:pt>
                <c:pt idx="408">
                  <c:v>46065</c:v>
                </c:pt>
                <c:pt idx="409">
                  <c:v>46062</c:v>
                </c:pt>
                <c:pt idx="410">
                  <c:v>46062</c:v>
                </c:pt>
                <c:pt idx="411">
                  <c:v>46072</c:v>
                </c:pt>
                <c:pt idx="412">
                  <c:v>46065</c:v>
                </c:pt>
                <c:pt idx="413">
                  <c:v>46062</c:v>
                </c:pt>
                <c:pt idx="414">
                  <c:v>46135</c:v>
                </c:pt>
                <c:pt idx="415">
                  <c:v>46092</c:v>
                </c:pt>
                <c:pt idx="416">
                  <c:v>46077</c:v>
                </c:pt>
                <c:pt idx="417">
                  <c:v>46063</c:v>
                </c:pt>
                <c:pt idx="418">
                  <c:v>46063</c:v>
                </c:pt>
                <c:pt idx="419">
                  <c:v>46066</c:v>
                </c:pt>
                <c:pt idx="420">
                  <c:v>46072</c:v>
                </c:pt>
                <c:pt idx="421">
                  <c:v>46063</c:v>
                </c:pt>
                <c:pt idx="422">
                  <c:v>46064</c:v>
                </c:pt>
                <c:pt idx="423">
                  <c:v>46063</c:v>
                </c:pt>
                <c:pt idx="424">
                  <c:v>46064</c:v>
                </c:pt>
                <c:pt idx="425">
                  <c:v>46072</c:v>
                </c:pt>
                <c:pt idx="426">
                  <c:v>46064</c:v>
                </c:pt>
                <c:pt idx="427">
                  <c:v>46064</c:v>
                </c:pt>
                <c:pt idx="428">
                  <c:v>46066</c:v>
                </c:pt>
                <c:pt idx="429">
                  <c:v>46064</c:v>
                </c:pt>
                <c:pt idx="430">
                  <c:v>46064</c:v>
                </c:pt>
                <c:pt idx="431">
                  <c:v>46065</c:v>
                </c:pt>
                <c:pt idx="432">
                  <c:v>46073</c:v>
                </c:pt>
                <c:pt idx="433">
                  <c:v>46064</c:v>
                </c:pt>
                <c:pt idx="434">
                  <c:v>46064</c:v>
                </c:pt>
                <c:pt idx="435">
                  <c:v>46064</c:v>
                </c:pt>
                <c:pt idx="436">
                  <c:v>46064</c:v>
                </c:pt>
                <c:pt idx="437">
                  <c:v>46072</c:v>
                </c:pt>
                <c:pt idx="438">
                  <c:v>46079</c:v>
                </c:pt>
                <c:pt idx="439">
                  <c:v>46064</c:v>
                </c:pt>
                <c:pt idx="440">
                  <c:v>46064</c:v>
                </c:pt>
                <c:pt idx="441">
                  <c:v>46064</c:v>
                </c:pt>
                <c:pt idx="442">
                  <c:v>46058</c:v>
                </c:pt>
                <c:pt idx="443">
                  <c:v>46065</c:v>
                </c:pt>
                <c:pt idx="444">
                  <c:v>46064</c:v>
                </c:pt>
                <c:pt idx="445">
                  <c:v>46064</c:v>
                </c:pt>
                <c:pt idx="446">
                  <c:v>46064</c:v>
                </c:pt>
                <c:pt idx="447">
                  <c:v>46079</c:v>
                </c:pt>
                <c:pt idx="448">
                  <c:v>46072</c:v>
                </c:pt>
                <c:pt idx="449">
                  <c:v>46079</c:v>
                </c:pt>
                <c:pt idx="450">
                  <c:v>46079</c:v>
                </c:pt>
                <c:pt idx="451">
                  <c:v>46079</c:v>
                </c:pt>
                <c:pt idx="452">
                  <c:v>46079</c:v>
                </c:pt>
                <c:pt idx="453">
                  <c:v>46079</c:v>
                </c:pt>
                <c:pt idx="454">
                  <c:v>46066</c:v>
                </c:pt>
                <c:pt idx="455">
                  <c:v>46065</c:v>
                </c:pt>
                <c:pt idx="456">
                  <c:v>46065</c:v>
                </c:pt>
                <c:pt idx="457">
                  <c:v>46065</c:v>
                </c:pt>
                <c:pt idx="458">
                  <c:v>46065</c:v>
                </c:pt>
                <c:pt idx="459">
                  <c:v>46065</c:v>
                </c:pt>
                <c:pt idx="460">
                  <c:v>46073</c:v>
                </c:pt>
                <c:pt idx="461">
                  <c:v>46072</c:v>
                </c:pt>
                <c:pt idx="462">
                  <c:v>46160</c:v>
                </c:pt>
                <c:pt idx="463">
                  <c:v>46065</c:v>
                </c:pt>
                <c:pt idx="464">
                  <c:v>46065</c:v>
                </c:pt>
                <c:pt idx="465">
                  <c:v>46065</c:v>
                </c:pt>
                <c:pt idx="466">
                  <c:v>46065</c:v>
                </c:pt>
                <c:pt idx="467">
                  <c:v>46079</c:v>
                </c:pt>
                <c:pt idx="468">
                  <c:v>46079</c:v>
                </c:pt>
                <c:pt idx="469">
                  <c:v>46079</c:v>
                </c:pt>
                <c:pt idx="470">
                  <c:v>46079</c:v>
                </c:pt>
                <c:pt idx="471">
                  <c:v>46065</c:v>
                </c:pt>
                <c:pt idx="472">
                  <c:v>46065</c:v>
                </c:pt>
                <c:pt idx="473">
                  <c:v>46065</c:v>
                </c:pt>
                <c:pt idx="474">
                  <c:v>46065</c:v>
                </c:pt>
                <c:pt idx="475">
                  <c:v>46065</c:v>
                </c:pt>
                <c:pt idx="476">
                  <c:v>46065</c:v>
                </c:pt>
                <c:pt idx="477">
                  <c:v>46065</c:v>
                </c:pt>
                <c:pt idx="478">
                  <c:v>46079</c:v>
                </c:pt>
                <c:pt idx="479">
                  <c:v>46066</c:v>
                </c:pt>
                <c:pt idx="480">
                  <c:v>46066</c:v>
                </c:pt>
                <c:pt idx="481">
                  <c:v>46091</c:v>
                </c:pt>
                <c:pt idx="482">
                  <c:v>46072</c:v>
                </c:pt>
                <c:pt idx="483">
                  <c:v>46083</c:v>
                </c:pt>
                <c:pt idx="484">
                  <c:v>46072</c:v>
                </c:pt>
                <c:pt idx="485">
                  <c:v>46076</c:v>
                </c:pt>
                <c:pt idx="486">
                  <c:v>46073</c:v>
                </c:pt>
                <c:pt idx="487">
                  <c:v>46072</c:v>
                </c:pt>
                <c:pt idx="488">
                  <c:v>46072</c:v>
                </c:pt>
                <c:pt idx="489">
                  <c:v>46072</c:v>
                </c:pt>
                <c:pt idx="490">
                  <c:v>46080</c:v>
                </c:pt>
                <c:pt idx="491">
                  <c:v>46080</c:v>
                </c:pt>
                <c:pt idx="492">
                  <c:v>46077</c:v>
                </c:pt>
                <c:pt idx="493">
                  <c:v>46072</c:v>
                </c:pt>
                <c:pt idx="494">
                  <c:v>46076</c:v>
                </c:pt>
                <c:pt idx="495">
                  <c:v>46077</c:v>
                </c:pt>
                <c:pt idx="496">
                  <c:v>46077</c:v>
                </c:pt>
                <c:pt idx="497">
                  <c:v>46073</c:v>
                </c:pt>
                <c:pt idx="498">
                  <c:v>46073</c:v>
                </c:pt>
                <c:pt idx="499">
                  <c:v>46073</c:v>
                </c:pt>
                <c:pt idx="500">
                  <c:v>46073</c:v>
                </c:pt>
                <c:pt idx="501">
                  <c:v>46073</c:v>
                </c:pt>
                <c:pt idx="502">
                  <c:v>46076</c:v>
                </c:pt>
                <c:pt idx="503">
                  <c:v>46076</c:v>
                </c:pt>
                <c:pt idx="504">
                  <c:v>46076</c:v>
                </c:pt>
                <c:pt idx="505">
                  <c:v>46076</c:v>
                </c:pt>
                <c:pt idx="506">
                  <c:v>46080</c:v>
                </c:pt>
                <c:pt idx="507">
                  <c:v>46073</c:v>
                </c:pt>
                <c:pt idx="508">
                  <c:v>46087</c:v>
                </c:pt>
                <c:pt idx="509">
                  <c:v>46073</c:v>
                </c:pt>
                <c:pt idx="510">
                  <c:v>46073</c:v>
                </c:pt>
                <c:pt idx="511">
                  <c:v>46073</c:v>
                </c:pt>
                <c:pt idx="512">
                  <c:v>46080</c:v>
                </c:pt>
                <c:pt idx="513">
                  <c:v>46080</c:v>
                </c:pt>
                <c:pt idx="514">
                  <c:v>46076</c:v>
                </c:pt>
                <c:pt idx="515">
                  <c:v>46076</c:v>
                </c:pt>
                <c:pt idx="516">
                  <c:v>46076</c:v>
                </c:pt>
                <c:pt idx="517">
                  <c:v>46076</c:v>
                </c:pt>
                <c:pt idx="518">
                  <c:v>46076</c:v>
                </c:pt>
                <c:pt idx="519">
                  <c:v>46079</c:v>
                </c:pt>
                <c:pt idx="520">
                  <c:v>46076</c:v>
                </c:pt>
                <c:pt idx="521">
                  <c:v>46098</c:v>
                </c:pt>
                <c:pt idx="522">
                  <c:v>46076</c:v>
                </c:pt>
                <c:pt idx="523">
                  <c:v>46076</c:v>
                </c:pt>
                <c:pt idx="524">
                  <c:v>46080</c:v>
                </c:pt>
                <c:pt idx="525">
                  <c:v>46080</c:v>
                </c:pt>
                <c:pt idx="526">
                  <c:v>46080</c:v>
                </c:pt>
                <c:pt idx="527">
                  <c:v>46080</c:v>
                </c:pt>
                <c:pt idx="528">
                  <c:v>46079</c:v>
                </c:pt>
                <c:pt idx="529">
                  <c:v>46076</c:v>
                </c:pt>
                <c:pt idx="530">
                  <c:v>46076</c:v>
                </c:pt>
                <c:pt idx="531">
                  <c:v>46076</c:v>
                </c:pt>
                <c:pt idx="532">
                  <c:v>46076</c:v>
                </c:pt>
                <c:pt idx="533">
                  <c:v>46076</c:v>
                </c:pt>
                <c:pt idx="534">
                  <c:v>46080</c:v>
                </c:pt>
                <c:pt idx="535">
                  <c:v>46077</c:v>
                </c:pt>
                <c:pt idx="536">
                  <c:v>46077</c:v>
                </c:pt>
                <c:pt idx="537">
                  <c:v>46077</c:v>
                </c:pt>
                <c:pt idx="538">
                  <c:v>46077</c:v>
                </c:pt>
                <c:pt idx="539">
                  <c:v>46077</c:v>
                </c:pt>
                <c:pt idx="540">
                  <c:v>46077</c:v>
                </c:pt>
                <c:pt idx="541">
                  <c:v>46083</c:v>
                </c:pt>
                <c:pt idx="542">
                  <c:v>46077</c:v>
                </c:pt>
                <c:pt idx="543">
                  <c:v>46083</c:v>
                </c:pt>
                <c:pt idx="544">
                  <c:v>46077</c:v>
                </c:pt>
                <c:pt idx="545">
                  <c:v>46077</c:v>
                </c:pt>
                <c:pt idx="546">
                  <c:v>46077</c:v>
                </c:pt>
                <c:pt idx="547">
                  <c:v>46077</c:v>
                </c:pt>
                <c:pt idx="548">
                  <c:v>46077</c:v>
                </c:pt>
                <c:pt idx="549">
                  <c:v>46083</c:v>
                </c:pt>
                <c:pt idx="550">
                  <c:v>46077</c:v>
                </c:pt>
                <c:pt idx="551">
                  <c:v>46077</c:v>
                </c:pt>
                <c:pt idx="552">
                  <c:v>46083</c:v>
                </c:pt>
                <c:pt idx="553">
                  <c:v>46079</c:v>
                </c:pt>
                <c:pt idx="554">
                  <c:v>46077</c:v>
                </c:pt>
                <c:pt idx="555">
                  <c:v>46077</c:v>
                </c:pt>
                <c:pt idx="556">
                  <c:v>46084</c:v>
                </c:pt>
                <c:pt idx="557">
                  <c:v>46079</c:v>
                </c:pt>
                <c:pt idx="558">
                  <c:v>46079</c:v>
                </c:pt>
                <c:pt idx="559">
                  <c:v>46079</c:v>
                </c:pt>
                <c:pt idx="560">
                  <c:v>46079</c:v>
                </c:pt>
                <c:pt idx="561">
                  <c:v>46079</c:v>
                </c:pt>
                <c:pt idx="562">
                  <c:v>46084</c:v>
                </c:pt>
                <c:pt idx="563">
                  <c:v>46079</c:v>
                </c:pt>
                <c:pt idx="564">
                  <c:v>46084</c:v>
                </c:pt>
                <c:pt idx="565">
                  <c:v>46079</c:v>
                </c:pt>
                <c:pt idx="566">
                  <c:v>46079</c:v>
                </c:pt>
                <c:pt idx="567">
                  <c:v>46079</c:v>
                </c:pt>
                <c:pt idx="568">
                  <c:v>46079</c:v>
                </c:pt>
                <c:pt idx="569">
                  <c:v>46079</c:v>
                </c:pt>
                <c:pt idx="570">
                  <c:v>46079</c:v>
                </c:pt>
                <c:pt idx="571">
                  <c:v>46079</c:v>
                </c:pt>
                <c:pt idx="572">
                  <c:v>46079</c:v>
                </c:pt>
                <c:pt idx="573">
                  <c:v>46083</c:v>
                </c:pt>
                <c:pt idx="574">
                  <c:v>46079</c:v>
                </c:pt>
                <c:pt idx="575">
                  <c:v>46083</c:v>
                </c:pt>
                <c:pt idx="576">
                  <c:v>46079</c:v>
                </c:pt>
                <c:pt idx="577">
                  <c:v>46079</c:v>
                </c:pt>
                <c:pt idx="578">
                  <c:v>46079</c:v>
                </c:pt>
                <c:pt idx="579">
                  <c:v>46080</c:v>
                </c:pt>
                <c:pt idx="580">
                  <c:v>46084</c:v>
                </c:pt>
                <c:pt idx="581">
                  <c:v>46085</c:v>
                </c:pt>
                <c:pt idx="582">
                  <c:v>46080</c:v>
                </c:pt>
                <c:pt idx="583">
                  <c:v>46080</c:v>
                </c:pt>
                <c:pt idx="584">
                  <c:v>46080</c:v>
                </c:pt>
                <c:pt idx="585">
                  <c:v>46080</c:v>
                </c:pt>
                <c:pt idx="586">
                  <c:v>46083</c:v>
                </c:pt>
                <c:pt idx="587">
                  <c:v>46080</c:v>
                </c:pt>
                <c:pt idx="588">
                  <c:v>46080</c:v>
                </c:pt>
                <c:pt idx="589">
                  <c:v>46080</c:v>
                </c:pt>
                <c:pt idx="590">
                  <c:v>46083</c:v>
                </c:pt>
                <c:pt idx="591">
                  <c:v>46080</c:v>
                </c:pt>
                <c:pt idx="592">
                  <c:v>46080</c:v>
                </c:pt>
                <c:pt idx="593">
                  <c:v>46080</c:v>
                </c:pt>
                <c:pt idx="594">
                  <c:v>46080</c:v>
                </c:pt>
                <c:pt idx="595">
                  <c:v>46080</c:v>
                </c:pt>
                <c:pt idx="596">
                  <c:v>46080</c:v>
                </c:pt>
                <c:pt idx="597">
                  <c:v>46080</c:v>
                </c:pt>
                <c:pt idx="598">
                  <c:v>46080</c:v>
                </c:pt>
                <c:pt idx="599">
                  <c:v>46080</c:v>
                </c:pt>
                <c:pt idx="600">
                  <c:v>46080</c:v>
                </c:pt>
                <c:pt idx="601">
                  <c:v>46080</c:v>
                </c:pt>
                <c:pt idx="602">
                  <c:v>46080</c:v>
                </c:pt>
                <c:pt idx="603">
                  <c:v>46080</c:v>
                </c:pt>
                <c:pt idx="604">
                  <c:v>46080</c:v>
                </c:pt>
                <c:pt idx="605">
                  <c:v>46085</c:v>
                </c:pt>
                <c:pt idx="606">
                  <c:v>46085</c:v>
                </c:pt>
                <c:pt idx="607">
                  <c:v>46085</c:v>
                </c:pt>
                <c:pt idx="608">
                  <c:v>46084</c:v>
                </c:pt>
                <c:pt idx="609">
                  <c:v>46084</c:v>
                </c:pt>
                <c:pt idx="610">
                  <c:v>46083</c:v>
                </c:pt>
                <c:pt idx="611">
                  <c:v>46083</c:v>
                </c:pt>
                <c:pt idx="612">
                  <c:v>46091</c:v>
                </c:pt>
                <c:pt idx="613">
                  <c:v>46083</c:v>
                </c:pt>
                <c:pt idx="614">
                  <c:v>46083</c:v>
                </c:pt>
                <c:pt idx="615">
                  <c:v>46083</c:v>
                </c:pt>
                <c:pt idx="616">
                  <c:v>46083</c:v>
                </c:pt>
                <c:pt idx="617">
                  <c:v>46085</c:v>
                </c:pt>
                <c:pt idx="618">
                  <c:v>46085</c:v>
                </c:pt>
                <c:pt idx="619">
                  <c:v>46085</c:v>
                </c:pt>
                <c:pt idx="620">
                  <c:v>46083</c:v>
                </c:pt>
                <c:pt idx="621">
                  <c:v>46083</c:v>
                </c:pt>
                <c:pt idx="622">
                  <c:v>46083</c:v>
                </c:pt>
                <c:pt idx="623">
                  <c:v>46083</c:v>
                </c:pt>
                <c:pt idx="624">
                  <c:v>46083</c:v>
                </c:pt>
                <c:pt idx="625">
                  <c:v>46083</c:v>
                </c:pt>
                <c:pt idx="626">
                  <c:v>46085</c:v>
                </c:pt>
                <c:pt idx="627">
                  <c:v>46084</c:v>
                </c:pt>
                <c:pt idx="628">
                  <c:v>46085</c:v>
                </c:pt>
                <c:pt idx="629">
                  <c:v>46084</c:v>
                </c:pt>
                <c:pt idx="630">
                  <c:v>46084</c:v>
                </c:pt>
                <c:pt idx="631">
                  <c:v>46084</c:v>
                </c:pt>
                <c:pt idx="632">
                  <c:v>46084</c:v>
                </c:pt>
                <c:pt idx="633">
                  <c:v>46084</c:v>
                </c:pt>
                <c:pt idx="634">
                  <c:v>46084</c:v>
                </c:pt>
                <c:pt idx="635">
                  <c:v>46084</c:v>
                </c:pt>
                <c:pt idx="636">
                  <c:v>46084</c:v>
                </c:pt>
                <c:pt idx="637">
                  <c:v>46084</c:v>
                </c:pt>
                <c:pt idx="638">
                  <c:v>46084</c:v>
                </c:pt>
                <c:pt idx="639">
                  <c:v>46084</c:v>
                </c:pt>
                <c:pt idx="640">
                  <c:v>46084</c:v>
                </c:pt>
                <c:pt idx="641">
                  <c:v>46084</c:v>
                </c:pt>
                <c:pt idx="642">
                  <c:v>46084</c:v>
                </c:pt>
                <c:pt idx="643">
                  <c:v>46084</c:v>
                </c:pt>
                <c:pt idx="644">
                  <c:v>46086</c:v>
                </c:pt>
                <c:pt idx="645">
                  <c:v>46084</c:v>
                </c:pt>
                <c:pt idx="646">
                  <c:v>46084</c:v>
                </c:pt>
                <c:pt idx="647">
                  <c:v>46084</c:v>
                </c:pt>
                <c:pt idx="648">
                  <c:v>46084</c:v>
                </c:pt>
                <c:pt idx="649">
                  <c:v>46084</c:v>
                </c:pt>
                <c:pt idx="650">
                  <c:v>46084</c:v>
                </c:pt>
                <c:pt idx="651">
                  <c:v>46084</c:v>
                </c:pt>
                <c:pt idx="652">
                  <c:v>46084</c:v>
                </c:pt>
                <c:pt idx="653">
                  <c:v>46084</c:v>
                </c:pt>
                <c:pt idx="654">
                  <c:v>46091</c:v>
                </c:pt>
                <c:pt idx="655">
                  <c:v>46107</c:v>
                </c:pt>
                <c:pt idx="656">
                  <c:v>46087</c:v>
                </c:pt>
                <c:pt idx="657">
                  <c:v>46090</c:v>
                </c:pt>
                <c:pt idx="658">
                  <c:v>46084</c:v>
                </c:pt>
                <c:pt idx="659">
                  <c:v>46084</c:v>
                </c:pt>
                <c:pt idx="660">
                  <c:v>46087</c:v>
                </c:pt>
                <c:pt idx="661">
                  <c:v>46084</c:v>
                </c:pt>
                <c:pt idx="662">
                  <c:v>46084</c:v>
                </c:pt>
                <c:pt idx="663">
                  <c:v>46090</c:v>
                </c:pt>
                <c:pt idx="664">
                  <c:v>46091</c:v>
                </c:pt>
                <c:pt idx="665">
                  <c:v>46085</c:v>
                </c:pt>
                <c:pt idx="666">
                  <c:v>46085</c:v>
                </c:pt>
                <c:pt idx="667">
                  <c:v>46086</c:v>
                </c:pt>
                <c:pt idx="668">
                  <c:v>46085</c:v>
                </c:pt>
                <c:pt idx="669">
                  <c:v>46085</c:v>
                </c:pt>
                <c:pt idx="670">
                  <c:v>46085</c:v>
                </c:pt>
                <c:pt idx="671">
                  <c:v>46085</c:v>
                </c:pt>
                <c:pt idx="672">
                  <c:v>46085</c:v>
                </c:pt>
                <c:pt idx="673">
                  <c:v>46085</c:v>
                </c:pt>
                <c:pt idx="674">
                  <c:v>46085</c:v>
                </c:pt>
                <c:pt idx="675">
                  <c:v>46087</c:v>
                </c:pt>
                <c:pt idx="676">
                  <c:v>46085</c:v>
                </c:pt>
                <c:pt idx="677">
                  <c:v>46090</c:v>
                </c:pt>
                <c:pt idx="678">
                  <c:v>46090</c:v>
                </c:pt>
                <c:pt idx="679">
                  <c:v>46085</c:v>
                </c:pt>
                <c:pt idx="680">
                  <c:v>46086</c:v>
                </c:pt>
                <c:pt idx="681">
                  <c:v>46085</c:v>
                </c:pt>
                <c:pt idx="682">
                  <c:v>46085</c:v>
                </c:pt>
                <c:pt idx="683">
                  <c:v>46085</c:v>
                </c:pt>
                <c:pt idx="684">
                  <c:v>46085</c:v>
                </c:pt>
                <c:pt idx="685">
                  <c:v>46085</c:v>
                </c:pt>
                <c:pt idx="686">
                  <c:v>46085</c:v>
                </c:pt>
                <c:pt idx="687">
                  <c:v>46085</c:v>
                </c:pt>
                <c:pt idx="688">
                  <c:v>46085</c:v>
                </c:pt>
                <c:pt idx="689">
                  <c:v>46085</c:v>
                </c:pt>
                <c:pt idx="690">
                  <c:v>46085</c:v>
                </c:pt>
                <c:pt idx="691">
                  <c:v>46085</c:v>
                </c:pt>
                <c:pt idx="692">
                  <c:v>46085</c:v>
                </c:pt>
                <c:pt idx="693">
                  <c:v>46085</c:v>
                </c:pt>
                <c:pt idx="694">
                  <c:v>46085</c:v>
                </c:pt>
                <c:pt idx="695">
                  <c:v>46085</c:v>
                </c:pt>
                <c:pt idx="696">
                  <c:v>46097</c:v>
                </c:pt>
                <c:pt idx="697">
                  <c:v>46097</c:v>
                </c:pt>
                <c:pt idx="698">
                  <c:v>46094</c:v>
                </c:pt>
                <c:pt idx="699">
                  <c:v>46085</c:v>
                </c:pt>
                <c:pt idx="700">
                  <c:v>46085</c:v>
                </c:pt>
                <c:pt idx="701">
                  <c:v>46094</c:v>
                </c:pt>
                <c:pt idx="702">
                  <c:v>46085</c:v>
                </c:pt>
                <c:pt idx="703">
                  <c:v>46085</c:v>
                </c:pt>
                <c:pt idx="704">
                  <c:v>46085</c:v>
                </c:pt>
                <c:pt idx="705">
                  <c:v>46090</c:v>
                </c:pt>
                <c:pt idx="706">
                  <c:v>46085</c:v>
                </c:pt>
                <c:pt idx="707">
                  <c:v>46086</c:v>
                </c:pt>
                <c:pt idx="708">
                  <c:v>46086</c:v>
                </c:pt>
                <c:pt idx="709">
                  <c:v>46086</c:v>
                </c:pt>
                <c:pt idx="710">
                  <c:v>46086</c:v>
                </c:pt>
                <c:pt idx="711">
                  <c:v>46087</c:v>
                </c:pt>
                <c:pt idx="712">
                  <c:v>46086</c:v>
                </c:pt>
                <c:pt idx="713">
                  <c:v>46091</c:v>
                </c:pt>
                <c:pt idx="714">
                  <c:v>46094</c:v>
                </c:pt>
                <c:pt idx="715">
                  <c:v>46086</c:v>
                </c:pt>
                <c:pt idx="716">
                  <c:v>46097</c:v>
                </c:pt>
                <c:pt idx="717">
                  <c:v>46086</c:v>
                </c:pt>
                <c:pt idx="718">
                  <c:v>46097</c:v>
                </c:pt>
                <c:pt idx="719">
                  <c:v>46097</c:v>
                </c:pt>
                <c:pt idx="720">
                  <c:v>46086</c:v>
                </c:pt>
                <c:pt idx="721">
                  <c:v>46086</c:v>
                </c:pt>
                <c:pt idx="722">
                  <c:v>46086</c:v>
                </c:pt>
                <c:pt idx="723">
                  <c:v>46086</c:v>
                </c:pt>
                <c:pt idx="724">
                  <c:v>46086</c:v>
                </c:pt>
                <c:pt idx="725">
                  <c:v>46090</c:v>
                </c:pt>
                <c:pt idx="726">
                  <c:v>46087</c:v>
                </c:pt>
                <c:pt idx="727">
                  <c:v>46086</c:v>
                </c:pt>
                <c:pt idx="728">
                  <c:v>46090</c:v>
                </c:pt>
                <c:pt idx="729">
                  <c:v>46090</c:v>
                </c:pt>
                <c:pt idx="730">
                  <c:v>46092</c:v>
                </c:pt>
                <c:pt idx="731">
                  <c:v>46091</c:v>
                </c:pt>
                <c:pt idx="732">
                  <c:v>46086</c:v>
                </c:pt>
                <c:pt idx="733">
                  <c:v>46086</c:v>
                </c:pt>
                <c:pt idx="734">
                  <c:v>46086</c:v>
                </c:pt>
                <c:pt idx="735">
                  <c:v>46087</c:v>
                </c:pt>
                <c:pt idx="736">
                  <c:v>46087</c:v>
                </c:pt>
                <c:pt idx="737">
                  <c:v>46087</c:v>
                </c:pt>
                <c:pt idx="738">
                  <c:v>46087</c:v>
                </c:pt>
                <c:pt idx="739">
                  <c:v>46087</c:v>
                </c:pt>
                <c:pt idx="740">
                  <c:v>46087</c:v>
                </c:pt>
                <c:pt idx="741">
                  <c:v>46092</c:v>
                </c:pt>
                <c:pt idx="742">
                  <c:v>46087</c:v>
                </c:pt>
                <c:pt idx="743">
                  <c:v>46090</c:v>
                </c:pt>
                <c:pt idx="744">
                  <c:v>46092</c:v>
                </c:pt>
                <c:pt idx="745">
                  <c:v>46108</c:v>
                </c:pt>
                <c:pt idx="746">
                  <c:v>46105</c:v>
                </c:pt>
                <c:pt idx="747">
                  <c:v>46092</c:v>
                </c:pt>
                <c:pt idx="748">
                  <c:v>46087</c:v>
                </c:pt>
                <c:pt idx="749">
                  <c:v>46092</c:v>
                </c:pt>
                <c:pt idx="750">
                  <c:v>46087</c:v>
                </c:pt>
                <c:pt idx="751">
                  <c:v>46087</c:v>
                </c:pt>
                <c:pt idx="752">
                  <c:v>46092</c:v>
                </c:pt>
                <c:pt idx="753">
                  <c:v>46092</c:v>
                </c:pt>
                <c:pt idx="754">
                  <c:v>46091</c:v>
                </c:pt>
                <c:pt idx="755">
                  <c:v>46087</c:v>
                </c:pt>
                <c:pt idx="756">
                  <c:v>46087</c:v>
                </c:pt>
                <c:pt idx="757">
                  <c:v>46087</c:v>
                </c:pt>
                <c:pt idx="758">
                  <c:v>46111</c:v>
                </c:pt>
                <c:pt idx="759">
                  <c:v>46128</c:v>
                </c:pt>
                <c:pt idx="760">
                  <c:v>46111</c:v>
                </c:pt>
                <c:pt idx="761">
                  <c:v>46128</c:v>
                </c:pt>
                <c:pt idx="762">
                  <c:v>46111</c:v>
                </c:pt>
                <c:pt idx="763">
                  <c:v>46090</c:v>
                </c:pt>
                <c:pt idx="764">
                  <c:v>46090</c:v>
                </c:pt>
                <c:pt idx="765">
                  <c:v>46092</c:v>
                </c:pt>
                <c:pt idx="766">
                  <c:v>46090</c:v>
                </c:pt>
                <c:pt idx="767">
                  <c:v>46090</c:v>
                </c:pt>
                <c:pt idx="768">
                  <c:v>46090</c:v>
                </c:pt>
                <c:pt idx="769">
                  <c:v>46090</c:v>
                </c:pt>
                <c:pt idx="770">
                  <c:v>46092</c:v>
                </c:pt>
                <c:pt idx="771">
                  <c:v>46090</c:v>
                </c:pt>
                <c:pt idx="772">
                  <c:v>46090</c:v>
                </c:pt>
                <c:pt idx="773">
                  <c:v>46091</c:v>
                </c:pt>
                <c:pt idx="774">
                  <c:v>46090</c:v>
                </c:pt>
                <c:pt idx="775">
                  <c:v>46094</c:v>
                </c:pt>
                <c:pt idx="776">
                  <c:v>46094</c:v>
                </c:pt>
                <c:pt idx="777">
                  <c:v>46090</c:v>
                </c:pt>
                <c:pt idx="778">
                  <c:v>46090</c:v>
                </c:pt>
                <c:pt idx="779">
                  <c:v>46108</c:v>
                </c:pt>
                <c:pt idx="780">
                  <c:v>46098</c:v>
                </c:pt>
                <c:pt idx="781">
                  <c:v>46127</c:v>
                </c:pt>
                <c:pt idx="782">
                  <c:v>46100</c:v>
                </c:pt>
                <c:pt idx="783">
                  <c:v>46090</c:v>
                </c:pt>
                <c:pt idx="784">
                  <c:v>46090</c:v>
                </c:pt>
                <c:pt idx="785">
                  <c:v>46098</c:v>
                </c:pt>
                <c:pt idx="786">
                  <c:v>46090</c:v>
                </c:pt>
                <c:pt idx="787">
                  <c:v>46090</c:v>
                </c:pt>
                <c:pt idx="788">
                  <c:v>46090</c:v>
                </c:pt>
                <c:pt idx="789">
                  <c:v>46091</c:v>
                </c:pt>
                <c:pt idx="790">
                  <c:v>46091</c:v>
                </c:pt>
                <c:pt idx="791">
                  <c:v>46091</c:v>
                </c:pt>
                <c:pt idx="792">
                  <c:v>46091</c:v>
                </c:pt>
                <c:pt idx="793">
                  <c:v>46091</c:v>
                </c:pt>
                <c:pt idx="794">
                  <c:v>46091</c:v>
                </c:pt>
                <c:pt idx="795">
                  <c:v>46098</c:v>
                </c:pt>
                <c:pt idx="796">
                  <c:v>46098</c:v>
                </c:pt>
                <c:pt idx="797">
                  <c:v>46091</c:v>
                </c:pt>
                <c:pt idx="798">
                  <c:v>46091</c:v>
                </c:pt>
                <c:pt idx="799">
                  <c:v>46091</c:v>
                </c:pt>
                <c:pt idx="800">
                  <c:v>46094</c:v>
                </c:pt>
                <c:pt idx="801">
                  <c:v>46091</c:v>
                </c:pt>
                <c:pt idx="802">
                  <c:v>46107</c:v>
                </c:pt>
                <c:pt idx="803">
                  <c:v>46091</c:v>
                </c:pt>
                <c:pt idx="804">
                  <c:v>46091</c:v>
                </c:pt>
                <c:pt idx="805">
                  <c:v>46091</c:v>
                </c:pt>
                <c:pt idx="806">
                  <c:v>46094</c:v>
                </c:pt>
                <c:pt idx="807">
                  <c:v>46094</c:v>
                </c:pt>
                <c:pt idx="808">
                  <c:v>46097</c:v>
                </c:pt>
                <c:pt idx="809">
                  <c:v>46097</c:v>
                </c:pt>
                <c:pt idx="810">
                  <c:v>46094</c:v>
                </c:pt>
                <c:pt idx="811">
                  <c:v>46097</c:v>
                </c:pt>
                <c:pt idx="812">
                  <c:v>46092</c:v>
                </c:pt>
                <c:pt idx="813">
                  <c:v>46097</c:v>
                </c:pt>
                <c:pt idx="814">
                  <c:v>46092</c:v>
                </c:pt>
                <c:pt idx="815">
                  <c:v>46092</c:v>
                </c:pt>
                <c:pt idx="816">
                  <c:v>46107</c:v>
                </c:pt>
                <c:pt idx="817">
                  <c:v>46092</c:v>
                </c:pt>
                <c:pt idx="818">
                  <c:v>46092</c:v>
                </c:pt>
                <c:pt idx="819">
                  <c:v>46092</c:v>
                </c:pt>
                <c:pt idx="820">
                  <c:v>46092</c:v>
                </c:pt>
                <c:pt idx="821">
                  <c:v>46092</c:v>
                </c:pt>
                <c:pt idx="822">
                  <c:v>46097</c:v>
                </c:pt>
                <c:pt idx="823">
                  <c:v>46097</c:v>
                </c:pt>
                <c:pt idx="824">
                  <c:v>46092</c:v>
                </c:pt>
                <c:pt idx="825">
                  <c:v>46097</c:v>
                </c:pt>
                <c:pt idx="826">
                  <c:v>46097</c:v>
                </c:pt>
                <c:pt idx="827">
                  <c:v>46092</c:v>
                </c:pt>
                <c:pt idx="828">
                  <c:v>46092</c:v>
                </c:pt>
                <c:pt idx="829">
                  <c:v>46094</c:v>
                </c:pt>
                <c:pt idx="830">
                  <c:v>46097</c:v>
                </c:pt>
                <c:pt idx="831">
                  <c:v>46092</c:v>
                </c:pt>
                <c:pt idx="832">
                  <c:v>46092</c:v>
                </c:pt>
                <c:pt idx="833">
                  <c:v>46092</c:v>
                </c:pt>
                <c:pt idx="834">
                  <c:v>46092</c:v>
                </c:pt>
                <c:pt idx="835">
                  <c:v>46092</c:v>
                </c:pt>
                <c:pt idx="836">
                  <c:v>46092</c:v>
                </c:pt>
                <c:pt idx="837">
                  <c:v>46093</c:v>
                </c:pt>
                <c:pt idx="838">
                  <c:v>46094</c:v>
                </c:pt>
                <c:pt idx="839">
                  <c:v>46093</c:v>
                </c:pt>
                <c:pt idx="840">
                  <c:v>46093</c:v>
                </c:pt>
                <c:pt idx="841">
                  <c:v>46098</c:v>
                </c:pt>
                <c:pt idx="842">
                  <c:v>46098</c:v>
                </c:pt>
                <c:pt idx="843">
                  <c:v>46093</c:v>
                </c:pt>
                <c:pt idx="844">
                  <c:v>46093</c:v>
                </c:pt>
                <c:pt idx="845">
                  <c:v>46094</c:v>
                </c:pt>
                <c:pt idx="846">
                  <c:v>46093</c:v>
                </c:pt>
                <c:pt idx="847">
                  <c:v>46094</c:v>
                </c:pt>
                <c:pt idx="848">
                  <c:v>46093</c:v>
                </c:pt>
                <c:pt idx="849">
                  <c:v>46093</c:v>
                </c:pt>
                <c:pt idx="850">
                  <c:v>46093</c:v>
                </c:pt>
                <c:pt idx="851">
                  <c:v>46093</c:v>
                </c:pt>
                <c:pt idx="852">
                  <c:v>46093</c:v>
                </c:pt>
                <c:pt idx="853">
                  <c:v>46093</c:v>
                </c:pt>
                <c:pt idx="854">
                  <c:v>46099</c:v>
                </c:pt>
                <c:pt idx="855">
                  <c:v>46093</c:v>
                </c:pt>
                <c:pt idx="856">
                  <c:v>46093</c:v>
                </c:pt>
                <c:pt idx="857">
                  <c:v>46108</c:v>
                </c:pt>
                <c:pt idx="858">
                  <c:v>46097</c:v>
                </c:pt>
                <c:pt idx="859">
                  <c:v>46094</c:v>
                </c:pt>
                <c:pt idx="860">
                  <c:v>46099</c:v>
                </c:pt>
                <c:pt idx="861">
                  <c:v>46094</c:v>
                </c:pt>
                <c:pt idx="862">
                  <c:v>46094</c:v>
                </c:pt>
                <c:pt idx="863">
                  <c:v>46094</c:v>
                </c:pt>
                <c:pt idx="864">
                  <c:v>46094</c:v>
                </c:pt>
                <c:pt idx="865">
                  <c:v>46094</c:v>
                </c:pt>
                <c:pt idx="866">
                  <c:v>46099</c:v>
                </c:pt>
                <c:pt idx="867">
                  <c:v>46094</c:v>
                </c:pt>
                <c:pt idx="868">
                  <c:v>46094</c:v>
                </c:pt>
                <c:pt idx="869">
                  <c:v>46094</c:v>
                </c:pt>
                <c:pt idx="870">
                  <c:v>46094</c:v>
                </c:pt>
                <c:pt idx="871">
                  <c:v>46094</c:v>
                </c:pt>
                <c:pt idx="872">
                  <c:v>46094</c:v>
                </c:pt>
                <c:pt idx="873">
                  <c:v>46094</c:v>
                </c:pt>
                <c:pt idx="874">
                  <c:v>46094</c:v>
                </c:pt>
                <c:pt idx="875">
                  <c:v>46094</c:v>
                </c:pt>
                <c:pt idx="876">
                  <c:v>46094</c:v>
                </c:pt>
                <c:pt idx="877">
                  <c:v>46094</c:v>
                </c:pt>
                <c:pt idx="878">
                  <c:v>46094</c:v>
                </c:pt>
                <c:pt idx="879">
                  <c:v>46094</c:v>
                </c:pt>
                <c:pt idx="880">
                  <c:v>46119</c:v>
                </c:pt>
                <c:pt idx="881">
                  <c:v>46094</c:v>
                </c:pt>
                <c:pt idx="882">
                  <c:v>46094</c:v>
                </c:pt>
                <c:pt idx="883">
                  <c:v>46094</c:v>
                </c:pt>
                <c:pt idx="884">
                  <c:v>46097</c:v>
                </c:pt>
                <c:pt idx="885">
                  <c:v>46097</c:v>
                </c:pt>
                <c:pt idx="886">
                  <c:v>46097</c:v>
                </c:pt>
                <c:pt idx="887">
                  <c:v>46097</c:v>
                </c:pt>
                <c:pt idx="888">
                  <c:v>46160</c:v>
                </c:pt>
                <c:pt idx="889">
                  <c:v>46097</c:v>
                </c:pt>
                <c:pt idx="890">
                  <c:v>46097</c:v>
                </c:pt>
                <c:pt idx="891">
                  <c:v>46108</c:v>
                </c:pt>
                <c:pt idx="892">
                  <c:v>46100</c:v>
                </c:pt>
                <c:pt idx="893">
                  <c:v>46097</c:v>
                </c:pt>
                <c:pt idx="894">
                  <c:v>46097</c:v>
                </c:pt>
                <c:pt idx="895">
                  <c:v>46099</c:v>
                </c:pt>
                <c:pt idx="896">
                  <c:v>46097</c:v>
                </c:pt>
                <c:pt idx="897">
                  <c:v>46097</c:v>
                </c:pt>
                <c:pt idx="898">
                  <c:v>46098</c:v>
                </c:pt>
                <c:pt idx="899">
                  <c:v>46098</c:v>
                </c:pt>
                <c:pt idx="900">
                  <c:v>46098</c:v>
                </c:pt>
                <c:pt idx="901">
                  <c:v>46098</c:v>
                </c:pt>
                <c:pt idx="902">
                  <c:v>46098</c:v>
                </c:pt>
                <c:pt idx="903">
                  <c:v>46098</c:v>
                </c:pt>
                <c:pt idx="904">
                  <c:v>46098</c:v>
                </c:pt>
                <c:pt idx="905">
                  <c:v>46098</c:v>
                </c:pt>
                <c:pt idx="906">
                  <c:v>46100</c:v>
                </c:pt>
                <c:pt idx="907">
                  <c:v>46098</c:v>
                </c:pt>
                <c:pt idx="908">
                  <c:v>46098</c:v>
                </c:pt>
                <c:pt idx="909">
                  <c:v>46098</c:v>
                </c:pt>
                <c:pt idx="910">
                  <c:v>46098</c:v>
                </c:pt>
                <c:pt idx="911">
                  <c:v>46098</c:v>
                </c:pt>
                <c:pt idx="912">
                  <c:v>46098</c:v>
                </c:pt>
                <c:pt idx="913">
                  <c:v>46107</c:v>
                </c:pt>
                <c:pt idx="914">
                  <c:v>46098</c:v>
                </c:pt>
                <c:pt idx="915">
                  <c:v>46112</c:v>
                </c:pt>
                <c:pt idx="916">
                  <c:v>46098</c:v>
                </c:pt>
                <c:pt idx="917">
                  <c:v>46098</c:v>
                </c:pt>
                <c:pt idx="918">
                  <c:v>46105</c:v>
                </c:pt>
                <c:pt idx="919">
                  <c:v>46113</c:v>
                </c:pt>
                <c:pt idx="920">
                  <c:v>46105</c:v>
                </c:pt>
                <c:pt idx="921">
                  <c:v>46098</c:v>
                </c:pt>
                <c:pt idx="922">
                  <c:v>46098</c:v>
                </c:pt>
                <c:pt idx="923">
                  <c:v>46098</c:v>
                </c:pt>
                <c:pt idx="924">
                  <c:v>46098</c:v>
                </c:pt>
                <c:pt idx="925">
                  <c:v>46098</c:v>
                </c:pt>
                <c:pt idx="926">
                  <c:v>46098</c:v>
                </c:pt>
                <c:pt idx="927">
                  <c:v>46098</c:v>
                </c:pt>
                <c:pt idx="928">
                  <c:v>46098</c:v>
                </c:pt>
                <c:pt idx="929">
                  <c:v>46098</c:v>
                </c:pt>
                <c:pt idx="930">
                  <c:v>46098</c:v>
                </c:pt>
                <c:pt idx="931">
                  <c:v>46098</c:v>
                </c:pt>
                <c:pt idx="932">
                  <c:v>46108</c:v>
                </c:pt>
                <c:pt idx="933">
                  <c:v>46108</c:v>
                </c:pt>
                <c:pt idx="934">
                  <c:v>46105</c:v>
                </c:pt>
                <c:pt idx="935">
                  <c:v>46105</c:v>
                </c:pt>
                <c:pt idx="936">
                  <c:v>46098</c:v>
                </c:pt>
                <c:pt idx="937">
                  <c:v>46098</c:v>
                </c:pt>
                <c:pt idx="938">
                  <c:v>46098</c:v>
                </c:pt>
                <c:pt idx="939">
                  <c:v>46098</c:v>
                </c:pt>
                <c:pt idx="940">
                  <c:v>46098</c:v>
                </c:pt>
                <c:pt idx="941">
                  <c:v>46099</c:v>
                </c:pt>
                <c:pt idx="942">
                  <c:v>46105</c:v>
                </c:pt>
                <c:pt idx="943">
                  <c:v>46107</c:v>
                </c:pt>
                <c:pt idx="944">
                  <c:v>46107</c:v>
                </c:pt>
                <c:pt idx="945">
                  <c:v>46107</c:v>
                </c:pt>
                <c:pt idx="946">
                  <c:v>46099</c:v>
                </c:pt>
                <c:pt idx="947">
                  <c:v>46099</c:v>
                </c:pt>
                <c:pt idx="948">
                  <c:v>46099</c:v>
                </c:pt>
                <c:pt idx="949">
                  <c:v>46105</c:v>
                </c:pt>
                <c:pt idx="950">
                  <c:v>46099</c:v>
                </c:pt>
                <c:pt idx="951">
                  <c:v>46099</c:v>
                </c:pt>
                <c:pt idx="952">
                  <c:v>46099</c:v>
                </c:pt>
                <c:pt idx="953">
                  <c:v>46099</c:v>
                </c:pt>
                <c:pt idx="954">
                  <c:v>46099</c:v>
                </c:pt>
                <c:pt idx="955">
                  <c:v>46099</c:v>
                </c:pt>
                <c:pt idx="956">
                  <c:v>46099</c:v>
                </c:pt>
                <c:pt idx="957">
                  <c:v>46099</c:v>
                </c:pt>
                <c:pt idx="958">
                  <c:v>46107</c:v>
                </c:pt>
                <c:pt idx="959">
                  <c:v>46098</c:v>
                </c:pt>
                <c:pt idx="960">
                  <c:v>46098</c:v>
                </c:pt>
                <c:pt idx="961">
                  <c:v>46098</c:v>
                </c:pt>
                <c:pt idx="962">
                  <c:v>46098</c:v>
                </c:pt>
                <c:pt idx="963">
                  <c:v>46099</c:v>
                </c:pt>
                <c:pt idx="964">
                  <c:v>46099</c:v>
                </c:pt>
                <c:pt idx="965">
                  <c:v>46099</c:v>
                </c:pt>
                <c:pt idx="966">
                  <c:v>46100</c:v>
                </c:pt>
                <c:pt idx="967">
                  <c:v>46100</c:v>
                </c:pt>
                <c:pt idx="968">
                  <c:v>46105</c:v>
                </c:pt>
                <c:pt idx="969">
                  <c:v>46100</c:v>
                </c:pt>
                <c:pt idx="970">
                  <c:v>46100</c:v>
                </c:pt>
                <c:pt idx="971">
                  <c:v>46107</c:v>
                </c:pt>
                <c:pt idx="972">
                  <c:v>46107</c:v>
                </c:pt>
                <c:pt idx="973">
                  <c:v>46100</c:v>
                </c:pt>
                <c:pt idx="974">
                  <c:v>46100</c:v>
                </c:pt>
                <c:pt idx="975">
                  <c:v>46100</c:v>
                </c:pt>
                <c:pt idx="976">
                  <c:v>46100</c:v>
                </c:pt>
                <c:pt idx="977">
                  <c:v>46104</c:v>
                </c:pt>
                <c:pt idx="978">
                  <c:v>46100</c:v>
                </c:pt>
                <c:pt idx="979">
                  <c:v>46100</c:v>
                </c:pt>
                <c:pt idx="980">
                  <c:v>46100</c:v>
                </c:pt>
                <c:pt idx="981">
                  <c:v>46100</c:v>
                </c:pt>
                <c:pt idx="982">
                  <c:v>46100</c:v>
                </c:pt>
                <c:pt idx="983">
                  <c:v>46100</c:v>
                </c:pt>
                <c:pt idx="984">
                  <c:v>46100</c:v>
                </c:pt>
                <c:pt idx="985">
                  <c:v>46100</c:v>
                </c:pt>
                <c:pt idx="986">
                  <c:v>46105</c:v>
                </c:pt>
                <c:pt idx="987">
                  <c:v>46101</c:v>
                </c:pt>
                <c:pt idx="988">
                  <c:v>46101</c:v>
                </c:pt>
                <c:pt idx="989">
                  <c:v>46101</c:v>
                </c:pt>
                <c:pt idx="990">
                  <c:v>46101</c:v>
                </c:pt>
                <c:pt idx="991">
                  <c:v>46101</c:v>
                </c:pt>
                <c:pt idx="992">
                  <c:v>46101</c:v>
                </c:pt>
                <c:pt idx="993">
                  <c:v>46101</c:v>
                </c:pt>
                <c:pt idx="994">
                  <c:v>46101</c:v>
                </c:pt>
                <c:pt idx="995">
                  <c:v>46088</c:v>
                </c:pt>
                <c:pt idx="996">
                  <c:v>46104</c:v>
                </c:pt>
                <c:pt idx="997">
                  <c:v>46106</c:v>
                </c:pt>
                <c:pt idx="998">
                  <c:v>46106</c:v>
                </c:pt>
                <c:pt idx="999">
                  <c:v>46106</c:v>
                </c:pt>
                <c:pt idx="1000">
                  <c:v>46104</c:v>
                </c:pt>
                <c:pt idx="1001">
                  <c:v>46104</c:v>
                </c:pt>
                <c:pt idx="1002">
                  <c:v>46108</c:v>
                </c:pt>
                <c:pt idx="1003">
                  <c:v>46105</c:v>
                </c:pt>
                <c:pt idx="1004">
                  <c:v>46105</c:v>
                </c:pt>
                <c:pt idx="1005">
                  <c:v>46108</c:v>
                </c:pt>
                <c:pt idx="1006">
                  <c:v>46105</c:v>
                </c:pt>
                <c:pt idx="1007">
                  <c:v>46108</c:v>
                </c:pt>
                <c:pt idx="1008">
                  <c:v>46105</c:v>
                </c:pt>
                <c:pt idx="1009">
                  <c:v>46108</c:v>
                </c:pt>
                <c:pt idx="1010">
                  <c:v>46105</c:v>
                </c:pt>
                <c:pt idx="1011">
                  <c:v>46105</c:v>
                </c:pt>
                <c:pt idx="1012">
                  <c:v>46105</c:v>
                </c:pt>
                <c:pt idx="1013">
                  <c:v>46108</c:v>
                </c:pt>
                <c:pt idx="1014">
                  <c:v>46112</c:v>
                </c:pt>
                <c:pt idx="1015">
                  <c:v>46105</c:v>
                </c:pt>
                <c:pt idx="1016">
                  <c:v>46128</c:v>
                </c:pt>
                <c:pt idx="1017">
                  <c:v>46108</c:v>
                </c:pt>
                <c:pt idx="1018">
                  <c:v>46105</c:v>
                </c:pt>
                <c:pt idx="1019">
                  <c:v>46127</c:v>
                </c:pt>
                <c:pt idx="1020">
                  <c:v>46127</c:v>
                </c:pt>
                <c:pt idx="1021">
                  <c:v>46126</c:v>
                </c:pt>
                <c:pt idx="1022">
                  <c:v>46107</c:v>
                </c:pt>
                <c:pt idx="1023">
                  <c:v>46105</c:v>
                </c:pt>
                <c:pt idx="1024">
                  <c:v>46107</c:v>
                </c:pt>
                <c:pt idx="1025">
                  <c:v>46107</c:v>
                </c:pt>
                <c:pt idx="1026">
                  <c:v>46105</c:v>
                </c:pt>
                <c:pt idx="1027">
                  <c:v>46111</c:v>
                </c:pt>
                <c:pt idx="1028">
                  <c:v>46107</c:v>
                </c:pt>
                <c:pt idx="1029">
                  <c:v>46111</c:v>
                </c:pt>
                <c:pt idx="1030">
                  <c:v>46112</c:v>
                </c:pt>
                <c:pt idx="1031">
                  <c:v>46106</c:v>
                </c:pt>
                <c:pt idx="1032">
                  <c:v>46108</c:v>
                </c:pt>
                <c:pt idx="1033">
                  <c:v>46098</c:v>
                </c:pt>
                <c:pt idx="1034">
                  <c:v>46106</c:v>
                </c:pt>
                <c:pt idx="1035">
                  <c:v>46106</c:v>
                </c:pt>
                <c:pt idx="1036">
                  <c:v>46106</c:v>
                </c:pt>
                <c:pt idx="1037">
                  <c:v>46111</c:v>
                </c:pt>
                <c:pt idx="1038">
                  <c:v>46106</c:v>
                </c:pt>
                <c:pt idx="1039">
                  <c:v>46106</c:v>
                </c:pt>
                <c:pt idx="1040">
                  <c:v>46106</c:v>
                </c:pt>
                <c:pt idx="1041">
                  <c:v>46111</c:v>
                </c:pt>
                <c:pt idx="1042">
                  <c:v>46107</c:v>
                </c:pt>
                <c:pt idx="1043">
                  <c:v>46107</c:v>
                </c:pt>
                <c:pt idx="1044">
                  <c:v>46107</c:v>
                </c:pt>
                <c:pt idx="1045">
                  <c:v>46107</c:v>
                </c:pt>
                <c:pt idx="1046">
                  <c:v>46107</c:v>
                </c:pt>
                <c:pt idx="1047">
                  <c:v>46108</c:v>
                </c:pt>
                <c:pt idx="1048">
                  <c:v>46107</c:v>
                </c:pt>
                <c:pt idx="1049">
                  <c:v>46107</c:v>
                </c:pt>
                <c:pt idx="1050">
                  <c:v>46108</c:v>
                </c:pt>
                <c:pt idx="1051">
                  <c:v>46108</c:v>
                </c:pt>
                <c:pt idx="1052">
                  <c:v>46108</c:v>
                </c:pt>
                <c:pt idx="1053">
                  <c:v>46113</c:v>
                </c:pt>
                <c:pt idx="1054">
                  <c:v>46118</c:v>
                </c:pt>
                <c:pt idx="1055">
                  <c:v>46108</c:v>
                </c:pt>
                <c:pt idx="1056">
                  <c:v>46108</c:v>
                </c:pt>
                <c:pt idx="1057">
                  <c:v>46112</c:v>
                </c:pt>
                <c:pt idx="1058">
                  <c:v>46111</c:v>
                </c:pt>
                <c:pt idx="1059">
                  <c:v>46108</c:v>
                </c:pt>
                <c:pt idx="1060">
                  <c:v>46088</c:v>
                </c:pt>
                <c:pt idx="1061">
                  <c:v>46111</c:v>
                </c:pt>
                <c:pt idx="1062">
                  <c:v>46109</c:v>
                </c:pt>
                <c:pt idx="1063">
                  <c:v>46111</c:v>
                </c:pt>
                <c:pt idx="1064">
                  <c:v>46111</c:v>
                </c:pt>
                <c:pt idx="1065">
                  <c:v>46111</c:v>
                </c:pt>
                <c:pt idx="1066">
                  <c:v>46111</c:v>
                </c:pt>
                <c:pt idx="1067">
                  <c:v>46111</c:v>
                </c:pt>
                <c:pt idx="1068">
                  <c:v>46111</c:v>
                </c:pt>
                <c:pt idx="1069">
                  <c:v>46112</c:v>
                </c:pt>
                <c:pt idx="1070">
                  <c:v>46087</c:v>
                </c:pt>
                <c:pt idx="1071">
                  <c:v>46118</c:v>
                </c:pt>
                <c:pt idx="1072">
                  <c:v>46112</c:v>
                </c:pt>
                <c:pt idx="1073">
                  <c:v>46112</c:v>
                </c:pt>
                <c:pt idx="1074">
                  <c:v>46112</c:v>
                </c:pt>
                <c:pt idx="1075">
                  <c:v>46120</c:v>
                </c:pt>
                <c:pt idx="1076">
                  <c:v>46141</c:v>
                </c:pt>
                <c:pt idx="1077">
                  <c:v>46112</c:v>
                </c:pt>
                <c:pt idx="1078">
                  <c:v>46112</c:v>
                </c:pt>
                <c:pt idx="1079">
                  <c:v>46112</c:v>
                </c:pt>
                <c:pt idx="1080">
                  <c:v>46118</c:v>
                </c:pt>
                <c:pt idx="1081">
                  <c:v>46118</c:v>
                </c:pt>
                <c:pt idx="1082">
                  <c:v>46119</c:v>
                </c:pt>
                <c:pt idx="1083">
                  <c:v>46119</c:v>
                </c:pt>
                <c:pt idx="1084">
                  <c:v>46113</c:v>
                </c:pt>
                <c:pt idx="1085">
                  <c:v>46120</c:v>
                </c:pt>
                <c:pt idx="1086">
                  <c:v>46113</c:v>
                </c:pt>
                <c:pt idx="1087">
                  <c:v>46113</c:v>
                </c:pt>
                <c:pt idx="1088">
                  <c:v>46113</c:v>
                </c:pt>
                <c:pt idx="1089">
                  <c:v>46135</c:v>
                </c:pt>
                <c:pt idx="1090">
                  <c:v>46113</c:v>
                </c:pt>
                <c:pt idx="1091">
                  <c:v>46113</c:v>
                </c:pt>
                <c:pt idx="1092">
                  <c:v>46125</c:v>
                </c:pt>
                <c:pt idx="1093">
                  <c:v>46113</c:v>
                </c:pt>
                <c:pt idx="1094">
                  <c:v>46121</c:v>
                </c:pt>
                <c:pt idx="1095">
                  <c:v>46118</c:v>
                </c:pt>
                <c:pt idx="1096">
                  <c:v>46118</c:v>
                </c:pt>
                <c:pt idx="1097">
                  <c:v>46118</c:v>
                </c:pt>
                <c:pt idx="1098">
                  <c:v>46118</c:v>
                </c:pt>
                <c:pt idx="1099">
                  <c:v>46125</c:v>
                </c:pt>
                <c:pt idx="1100">
                  <c:v>46118</c:v>
                </c:pt>
                <c:pt idx="1101">
                  <c:v>46120</c:v>
                </c:pt>
                <c:pt idx="1102">
                  <c:v>46118</c:v>
                </c:pt>
                <c:pt idx="1103">
                  <c:v>46118</c:v>
                </c:pt>
                <c:pt idx="1104">
                  <c:v>46118</c:v>
                </c:pt>
                <c:pt idx="1105">
                  <c:v>46119</c:v>
                </c:pt>
                <c:pt idx="1106">
                  <c:v>46121</c:v>
                </c:pt>
                <c:pt idx="1107">
                  <c:v>46119</c:v>
                </c:pt>
                <c:pt idx="1108">
                  <c:v>46126</c:v>
                </c:pt>
                <c:pt idx="1109">
                  <c:v>46126</c:v>
                </c:pt>
                <c:pt idx="1110">
                  <c:v>46119</c:v>
                </c:pt>
                <c:pt idx="1111">
                  <c:v>46119</c:v>
                </c:pt>
                <c:pt idx="1112">
                  <c:v>46119</c:v>
                </c:pt>
                <c:pt idx="1113">
                  <c:v>46119</c:v>
                </c:pt>
                <c:pt idx="1114">
                  <c:v>46119</c:v>
                </c:pt>
                <c:pt idx="1115">
                  <c:v>46119</c:v>
                </c:pt>
                <c:pt idx="1116">
                  <c:v>46119</c:v>
                </c:pt>
                <c:pt idx="1117">
                  <c:v>46119</c:v>
                </c:pt>
                <c:pt idx="1118">
                  <c:v>46119</c:v>
                </c:pt>
                <c:pt idx="1119">
                  <c:v>46119</c:v>
                </c:pt>
                <c:pt idx="1120">
                  <c:v>46119</c:v>
                </c:pt>
                <c:pt idx="1121">
                  <c:v>46119</c:v>
                </c:pt>
                <c:pt idx="1122">
                  <c:v>46119</c:v>
                </c:pt>
                <c:pt idx="1123">
                  <c:v>46119</c:v>
                </c:pt>
                <c:pt idx="1124">
                  <c:v>46119</c:v>
                </c:pt>
                <c:pt idx="1125">
                  <c:v>46119</c:v>
                </c:pt>
                <c:pt idx="1126">
                  <c:v>0</c:v>
                </c:pt>
                <c:pt idx="1127">
                  <c:v>46119</c:v>
                </c:pt>
                <c:pt idx="1128">
                  <c:v>46119</c:v>
                </c:pt>
                <c:pt idx="1129">
                  <c:v>46119</c:v>
                </c:pt>
                <c:pt idx="1130">
                  <c:v>46119</c:v>
                </c:pt>
                <c:pt idx="1131">
                  <c:v>46119</c:v>
                </c:pt>
                <c:pt idx="1132">
                  <c:v>46119</c:v>
                </c:pt>
                <c:pt idx="1133">
                  <c:v>46119</c:v>
                </c:pt>
                <c:pt idx="1134">
                  <c:v>46119</c:v>
                </c:pt>
                <c:pt idx="1135">
                  <c:v>46119</c:v>
                </c:pt>
                <c:pt idx="1136">
                  <c:v>46119</c:v>
                </c:pt>
                <c:pt idx="1137">
                  <c:v>46119</c:v>
                </c:pt>
                <c:pt idx="1138">
                  <c:v>46119</c:v>
                </c:pt>
                <c:pt idx="1139">
                  <c:v>46119</c:v>
                </c:pt>
                <c:pt idx="1140">
                  <c:v>46125</c:v>
                </c:pt>
                <c:pt idx="1141">
                  <c:v>46119</c:v>
                </c:pt>
                <c:pt idx="1142">
                  <c:v>46119</c:v>
                </c:pt>
                <c:pt idx="1143">
                  <c:v>46119</c:v>
                </c:pt>
                <c:pt idx="1144">
                  <c:v>46119</c:v>
                </c:pt>
                <c:pt idx="1145">
                  <c:v>46125</c:v>
                </c:pt>
                <c:pt idx="1146">
                  <c:v>46119</c:v>
                </c:pt>
                <c:pt idx="1147">
                  <c:v>46119</c:v>
                </c:pt>
                <c:pt idx="1148">
                  <c:v>46120</c:v>
                </c:pt>
                <c:pt idx="1149">
                  <c:v>46120</c:v>
                </c:pt>
                <c:pt idx="1150">
                  <c:v>46120</c:v>
                </c:pt>
                <c:pt idx="1151">
                  <c:v>46120</c:v>
                </c:pt>
                <c:pt idx="1152">
                  <c:v>46120</c:v>
                </c:pt>
                <c:pt idx="1153">
                  <c:v>46120</c:v>
                </c:pt>
                <c:pt idx="1154">
                  <c:v>46127</c:v>
                </c:pt>
                <c:pt idx="1155">
                  <c:v>46127</c:v>
                </c:pt>
                <c:pt idx="1156">
                  <c:v>46127</c:v>
                </c:pt>
                <c:pt idx="1157">
                  <c:v>46127</c:v>
                </c:pt>
                <c:pt idx="1158">
                  <c:v>46127</c:v>
                </c:pt>
                <c:pt idx="1159">
                  <c:v>46120</c:v>
                </c:pt>
                <c:pt idx="1160">
                  <c:v>46120</c:v>
                </c:pt>
                <c:pt idx="1161">
                  <c:v>46120</c:v>
                </c:pt>
                <c:pt idx="1162">
                  <c:v>46120</c:v>
                </c:pt>
                <c:pt idx="1163">
                  <c:v>46120</c:v>
                </c:pt>
                <c:pt idx="1164">
                  <c:v>46120</c:v>
                </c:pt>
                <c:pt idx="1165">
                  <c:v>46120</c:v>
                </c:pt>
                <c:pt idx="1166">
                  <c:v>46120</c:v>
                </c:pt>
                <c:pt idx="1167">
                  <c:v>46120</c:v>
                </c:pt>
                <c:pt idx="1168">
                  <c:v>46120</c:v>
                </c:pt>
                <c:pt idx="1169">
                  <c:v>46120</c:v>
                </c:pt>
                <c:pt idx="1170">
                  <c:v>46125</c:v>
                </c:pt>
                <c:pt idx="1171">
                  <c:v>46120</c:v>
                </c:pt>
                <c:pt idx="1172">
                  <c:v>46120</c:v>
                </c:pt>
                <c:pt idx="1173">
                  <c:v>46120</c:v>
                </c:pt>
                <c:pt idx="1174">
                  <c:v>46127</c:v>
                </c:pt>
                <c:pt idx="1175">
                  <c:v>46127</c:v>
                </c:pt>
                <c:pt idx="1176">
                  <c:v>46127</c:v>
                </c:pt>
                <c:pt idx="1177">
                  <c:v>46126</c:v>
                </c:pt>
                <c:pt idx="1178">
                  <c:v>46120</c:v>
                </c:pt>
                <c:pt idx="1179">
                  <c:v>46126</c:v>
                </c:pt>
                <c:pt idx="1180">
                  <c:v>46121</c:v>
                </c:pt>
                <c:pt idx="1181">
                  <c:v>46120</c:v>
                </c:pt>
                <c:pt idx="1182">
                  <c:v>46120</c:v>
                </c:pt>
                <c:pt idx="1183">
                  <c:v>46120</c:v>
                </c:pt>
                <c:pt idx="1184">
                  <c:v>46120</c:v>
                </c:pt>
                <c:pt idx="1185">
                  <c:v>46120</c:v>
                </c:pt>
                <c:pt idx="1186">
                  <c:v>46126</c:v>
                </c:pt>
                <c:pt idx="1187">
                  <c:v>46127</c:v>
                </c:pt>
                <c:pt idx="1188">
                  <c:v>46126</c:v>
                </c:pt>
                <c:pt idx="1189">
                  <c:v>46126</c:v>
                </c:pt>
                <c:pt idx="1190">
                  <c:v>46125</c:v>
                </c:pt>
                <c:pt idx="1191">
                  <c:v>46120</c:v>
                </c:pt>
                <c:pt idx="1192">
                  <c:v>46120</c:v>
                </c:pt>
                <c:pt idx="1193">
                  <c:v>46126</c:v>
                </c:pt>
                <c:pt idx="1194">
                  <c:v>46127</c:v>
                </c:pt>
                <c:pt idx="1195">
                  <c:v>46120</c:v>
                </c:pt>
                <c:pt idx="1196">
                  <c:v>46127</c:v>
                </c:pt>
                <c:pt idx="1197">
                  <c:v>46120</c:v>
                </c:pt>
                <c:pt idx="1198">
                  <c:v>46120</c:v>
                </c:pt>
                <c:pt idx="1199">
                  <c:v>46120</c:v>
                </c:pt>
                <c:pt idx="1200">
                  <c:v>46125</c:v>
                </c:pt>
                <c:pt idx="1201">
                  <c:v>46120</c:v>
                </c:pt>
                <c:pt idx="1202">
                  <c:v>46125</c:v>
                </c:pt>
                <c:pt idx="1203">
                  <c:v>46120</c:v>
                </c:pt>
                <c:pt idx="1204">
                  <c:v>46120</c:v>
                </c:pt>
                <c:pt idx="1205">
                  <c:v>46140</c:v>
                </c:pt>
                <c:pt idx="1206">
                  <c:v>46120</c:v>
                </c:pt>
                <c:pt idx="1207">
                  <c:v>46120</c:v>
                </c:pt>
                <c:pt idx="1208">
                  <c:v>46120</c:v>
                </c:pt>
                <c:pt idx="1209">
                  <c:v>46120</c:v>
                </c:pt>
                <c:pt idx="1210">
                  <c:v>46120</c:v>
                </c:pt>
                <c:pt idx="1211">
                  <c:v>46120</c:v>
                </c:pt>
                <c:pt idx="1212">
                  <c:v>46121</c:v>
                </c:pt>
                <c:pt idx="1213">
                  <c:v>46121</c:v>
                </c:pt>
                <c:pt idx="1214">
                  <c:v>46121</c:v>
                </c:pt>
                <c:pt idx="1215">
                  <c:v>46121</c:v>
                </c:pt>
                <c:pt idx="1216">
                  <c:v>46127</c:v>
                </c:pt>
                <c:pt idx="1217">
                  <c:v>46121</c:v>
                </c:pt>
                <c:pt idx="1218">
                  <c:v>46128</c:v>
                </c:pt>
                <c:pt idx="1219">
                  <c:v>46121</c:v>
                </c:pt>
                <c:pt idx="1220">
                  <c:v>46129</c:v>
                </c:pt>
                <c:pt idx="1221">
                  <c:v>46127</c:v>
                </c:pt>
                <c:pt idx="1222">
                  <c:v>46126</c:v>
                </c:pt>
                <c:pt idx="1223">
                  <c:v>46121</c:v>
                </c:pt>
                <c:pt idx="1224">
                  <c:v>46127</c:v>
                </c:pt>
                <c:pt idx="1225">
                  <c:v>46121</c:v>
                </c:pt>
                <c:pt idx="1226">
                  <c:v>46126</c:v>
                </c:pt>
                <c:pt idx="1227">
                  <c:v>46121</c:v>
                </c:pt>
                <c:pt idx="1228">
                  <c:v>46121</c:v>
                </c:pt>
                <c:pt idx="1229">
                  <c:v>46126</c:v>
                </c:pt>
                <c:pt idx="1230">
                  <c:v>46129</c:v>
                </c:pt>
                <c:pt idx="1231">
                  <c:v>46121</c:v>
                </c:pt>
                <c:pt idx="1232">
                  <c:v>46121</c:v>
                </c:pt>
                <c:pt idx="1233">
                  <c:v>46121</c:v>
                </c:pt>
                <c:pt idx="1234">
                  <c:v>46121</c:v>
                </c:pt>
                <c:pt idx="1235">
                  <c:v>46125</c:v>
                </c:pt>
                <c:pt idx="1236">
                  <c:v>46122</c:v>
                </c:pt>
                <c:pt idx="1237">
                  <c:v>46122</c:v>
                </c:pt>
                <c:pt idx="1238">
                  <c:v>46122</c:v>
                </c:pt>
                <c:pt idx="1239">
                  <c:v>46122</c:v>
                </c:pt>
                <c:pt idx="1240">
                  <c:v>46122</c:v>
                </c:pt>
                <c:pt idx="1241">
                  <c:v>46122</c:v>
                </c:pt>
                <c:pt idx="1242">
                  <c:v>46128</c:v>
                </c:pt>
                <c:pt idx="1243">
                  <c:v>46122</c:v>
                </c:pt>
                <c:pt idx="1244">
                  <c:v>46122</c:v>
                </c:pt>
                <c:pt idx="1245">
                  <c:v>46122</c:v>
                </c:pt>
                <c:pt idx="1246">
                  <c:v>46122</c:v>
                </c:pt>
                <c:pt idx="1247">
                  <c:v>46122</c:v>
                </c:pt>
                <c:pt idx="1248">
                  <c:v>46122</c:v>
                </c:pt>
                <c:pt idx="1249">
                  <c:v>46122</c:v>
                </c:pt>
                <c:pt idx="1250">
                  <c:v>46136</c:v>
                </c:pt>
                <c:pt idx="1251">
                  <c:v>46122</c:v>
                </c:pt>
                <c:pt idx="1252">
                  <c:v>46122</c:v>
                </c:pt>
                <c:pt idx="1253">
                  <c:v>46122</c:v>
                </c:pt>
                <c:pt idx="1254">
                  <c:v>46156</c:v>
                </c:pt>
                <c:pt idx="1255">
                  <c:v>46122</c:v>
                </c:pt>
                <c:pt idx="1256">
                  <c:v>46135</c:v>
                </c:pt>
                <c:pt idx="1257">
                  <c:v>46136</c:v>
                </c:pt>
                <c:pt idx="1258">
                  <c:v>46135</c:v>
                </c:pt>
                <c:pt idx="1259">
                  <c:v>46135</c:v>
                </c:pt>
                <c:pt idx="1260">
                  <c:v>46122</c:v>
                </c:pt>
                <c:pt idx="1261">
                  <c:v>46122</c:v>
                </c:pt>
                <c:pt idx="1262">
                  <c:v>46128</c:v>
                </c:pt>
                <c:pt idx="1263">
                  <c:v>46122</c:v>
                </c:pt>
                <c:pt idx="1264">
                  <c:v>46122</c:v>
                </c:pt>
                <c:pt idx="1265">
                  <c:v>46122</c:v>
                </c:pt>
                <c:pt idx="1266">
                  <c:v>46127</c:v>
                </c:pt>
                <c:pt idx="1267">
                  <c:v>46129</c:v>
                </c:pt>
                <c:pt idx="1268">
                  <c:v>46122</c:v>
                </c:pt>
                <c:pt idx="1269">
                  <c:v>46127</c:v>
                </c:pt>
                <c:pt idx="1270">
                  <c:v>46127</c:v>
                </c:pt>
                <c:pt idx="1271">
                  <c:v>46134</c:v>
                </c:pt>
                <c:pt idx="1272">
                  <c:v>46122</c:v>
                </c:pt>
                <c:pt idx="1273">
                  <c:v>46128</c:v>
                </c:pt>
                <c:pt idx="1274">
                  <c:v>46122</c:v>
                </c:pt>
                <c:pt idx="1275">
                  <c:v>46122</c:v>
                </c:pt>
                <c:pt idx="1276">
                  <c:v>46122</c:v>
                </c:pt>
                <c:pt idx="1277">
                  <c:v>46122</c:v>
                </c:pt>
                <c:pt idx="1278">
                  <c:v>46125</c:v>
                </c:pt>
                <c:pt idx="1279">
                  <c:v>46125</c:v>
                </c:pt>
                <c:pt idx="1280">
                  <c:v>46125</c:v>
                </c:pt>
                <c:pt idx="1281">
                  <c:v>46125</c:v>
                </c:pt>
                <c:pt idx="1282">
                  <c:v>46135</c:v>
                </c:pt>
                <c:pt idx="1283">
                  <c:v>46125</c:v>
                </c:pt>
                <c:pt idx="1284">
                  <c:v>46125</c:v>
                </c:pt>
                <c:pt idx="1285">
                  <c:v>46125</c:v>
                </c:pt>
                <c:pt idx="1286">
                  <c:v>46125</c:v>
                </c:pt>
                <c:pt idx="1287">
                  <c:v>46125</c:v>
                </c:pt>
                <c:pt idx="1288">
                  <c:v>46125</c:v>
                </c:pt>
                <c:pt idx="1289">
                  <c:v>46125</c:v>
                </c:pt>
                <c:pt idx="1290">
                  <c:v>46129</c:v>
                </c:pt>
                <c:pt idx="1291">
                  <c:v>46125</c:v>
                </c:pt>
                <c:pt idx="1292">
                  <c:v>46125</c:v>
                </c:pt>
                <c:pt idx="1293">
                  <c:v>46125</c:v>
                </c:pt>
                <c:pt idx="1294">
                  <c:v>46125</c:v>
                </c:pt>
                <c:pt idx="1295">
                  <c:v>46125</c:v>
                </c:pt>
                <c:pt idx="1296">
                  <c:v>46125</c:v>
                </c:pt>
                <c:pt idx="1297">
                  <c:v>46129</c:v>
                </c:pt>
                <c:pt idx="1298">
                  <c:v>46125</c:v>
                </c:pt>
                <c:pt idx="1299">
                  <c:v>46125</c:v>
                </c:pt>
                <c:pt idx="1300">
                  <c:v>46125</c:v>
                </c:pt>
                <c:pt idx="1301">
                  <c:v>46125</c:v>
                </c:pt>
                <c:pt idx="1302">
                  <c:v>46125</c:v>
                </c:pt>
                <c:pt idx="1303">
                  <c:v>46125</c:v>
                </c:pt>
                <c:pt idx="1304">
                  <c:v>46125</c:v>
                </c:pt>
                <c:pt idx="1305">
                  <c:v>46125</c:v>
                </c:pt>
                <c:pt idx="1306">
                  <c:v>46125</c:v>
                </c:pt>
                <c:pt idx="1307">
                  <c:v>46157</c:v>
                </c:pt>
                <c:pt idx="1308">
                  <c:v>46125</c:v>
                </c:pt>
                <c:pt idx="1309">
                  <c:v>46125</c:v>
                </c:pt>
                <c:pt idx="1310">
                  <c:v>46125</c:v>
                </c:pt>
                <c:pt idx="1311">
                  <c:v>46125</c:v>
                </c:pt>
                <c:pt idx="1312">
                  <c:v>46125</c:v>
                </c:pt>
                <c:pt idx="1313">
                  <c:v>46126</c:v>
                </c:pt>
                <c:pt idx="1314">
                  <c:v>46126</c:v>
                </c:pt>
                <c:pt idx="1315">
                  <c:v>46129</c:v>
                </c:pt>
                <c:pt idx="1316">
                  <c:v>46126</c:v>
                </c:pt>
                <c:pt idx="1318">
                  <c:v>46126</c:v>
                </c:pt>
                <c:pt idx="1319">
                  <c:v>46126</c:v>
                </c:pt>
                <c:pt idx="1320">
                  <c:v>46129</c:v>
                </c:pt>
                <c:pt idx="1321">
                  <c:v>46126</c:v>
                </c:pt>
                <c:pt idx="1322">
                  <c:v>46135</c:v>
                </c:pt>
                <c:pt idx="1323">
                  <c:v>46126</c:v>
                </c:pt>
                <c:pt idx="1324">
                  <c:v>46126</c:v>
                </c:pt>
                <c:pt idx="1325">
                  <c:v>46126</c:v>
                </c:pt>
                <c:pt idx="1326">
                  <c:v>46126</c:v>
                </c:pt>
                <c:pt idx="1327">
                  <c:v>46129</c:v>
                </c:pt>
                <c:pt idx="1328">
                  <c:v>46127</c:v>
                </c:pt>
                <c:pt idx="1329">
                  <c:v>46126</c:v>
                </c:pt>
                <c:pt idx="1330">
                  <c:v>46126</c:v>
                </c:pt>
                <c:pt idx="1331">
                  <c:v>46129</c:v>
                </c:pt>
                <c:pt idx="1332">
                  <c:v>46129</c:v>
                </c:pt>
                <c:pt idx="1333">
                  <c:v>46160</c:v>
                </c:pt>
                <c:pt idx="1334">
                  <c:v>46126</c:v>
                </c:pt>
                <c:pt idx="1335">
                  <c:v>46139</c:v>
                </c:pt>
                <c:pt idx="1336">
                  <c:v>46126</c:v>
                </c:pt>
                <c:pt idx="1337">
                  <c:v>46126</c:v>
                </c:pt>
                <c:pt idx="1338">
                  <c:v>46126</c:v>
                </c:pt>
                <c:pt idx="1339">
                  <c:v>46127</c:v>
                </c:pt>
                <c:pt idx="1340">
                  <c:v>46127</c:v>
                </c:pt>
                <c:pt idx="1341">
                  <c:v>46127</c:v>
                </c:pt>
                <c:pt idx="1342">
                  <c:v>46127</c:v>
                </c:pt>
                <c:pt idx="1343">
                  <c:v>46136</c:v>
                </c:pt>
                <c:pt idx="1344">
                  <c:v>46128</c:v>
                </c:pt>
                <c:pt idx="1345">
                  <c:v>46127</c:v>
                </c:pt>
                <c:pt idx="1346">
                  <c:v>46127</c:v>
                </c:pt>
                <c:pt idx="1347">
                  <c:v>46129</c:v>
                </c:pt>
                <c:pt idx="1348">
                  <c:v>46127</c:v>
                </c:pt>
                <c:pt idx="1349">
                  <c:v>46127</c:v>
                </c:pt>
                <c:pt idx="1350">
                  <c:v>46127</c:v>
                </c:pt>
                <c:pt idx="1351">
                  <c:v>46127</c:v>
                </c:pt>
                <c:pt idx="1352">
                  <c:v>46141</c:v>
                </c:pt>
                <c:pt idx="1353">
                  <c:v>46141</c:v>
                </c:pt>
                <c:pt idx="1354">
                  <c:v>46127</c:v>
                </c:pt>
                <c:pt idx="1355">
                  <c:v>46127</c:v>
                </c:pt>
                <c:pt idx="1356">
                  <c:v>46135</c:v>
                </c:pt>
                <c:pt idx="1357">
                  <c:v>46127</c:v>
                </c:pt>
                <c:pt idx="1358">
                  <c:v>46127</c:v>
                </c:pt>
                <c:pt idx="1359">
                  <c:v>46153</c:v>
                </c:pt>
                <c:pt idx="1360">
                  <c:v>46127</c:v>
                </c:pt>
                <c:pt idx="1361">
                  <c:v>46127</c:v>
                </c:pt>
                <c:pt idx="1362">
                  <c:v>46127</c:v>
                </c:pt>
                <c:pt idx="1363">
                  <c:v>46140</c:v>
                </c:pt>
                <c:pt idx="1364">
                  <c:v>46127</c:v>
                </c:pt>
                <c:pt idx="1365">
                  <c:v>46127</c:v>
                </c:pt>
                <c:pt idx="1366">
                  <c:v>46127</c:v>
                </c:pt>
                <c:pt idx="1367">
                  <c:v>46141</c:v>
                </c:pt>
                <c:pt idx="1368">
                  <c:v>46127</c:v>
                </c:pt>
                <c:pt idx="1369">
                  <c:v>46127</c:v>
                </c:pt>
                <c:pt idx="1370">
                  <c:v>46128</c:v>
                </c:pt>
                <c:pt idx="1371">
                  <c:v>46128</c:v>
                </c:pt>
                <c:pt idx="1372">
                  <c:v>46146</c:v>
                </c:pt>
                <c:pt idx="1373">
                  <c:v>46128</c:v>
                </c:pt>
                <c:pt idx="1374">
                  <c:v>46141</c:v>
                </c:pt>
                <c:pt idx="1375">
                  <c:v>46128</c:v>
                </c:pt>
                <c:pt idx="1376">
                  <c:v>46128</c:v>
                </c:pt>
                <c:pt idx="1377">
                  <c:v>46146</c:v>
                </c:pt>
                <c:pt idx="1378">
                  <c:v>46140</c:v>
                </c:pt>
                <c:pt idx="1379">
                  <c:v>46128</c:v>
                </c:pt>
                <c:pt idx="1380">
                  <c:v>46128</c:v>
                </c:pt>
                <c:pt idx="1381">
                  <c:v>46128</c:v>
                </c:pt>
                <c:pt idx="1382">
                  <c:v>46148</c:v>
                </c:pt>
                <c:pt idx="1383">
                  <c:v>46128</c:v>
                </c:pt>
                <c:pt idx="1384">
                  <c:v>46140</c:v>
                </c:pt>
                <c:pt idx="1385">
                  <c:v>46128</c:v>
                </c:pt>
                <c:pt idx="1386">
                  <c:v>46128</c:v>
                </c:pt>
                <c:pt idx="1387">
                  <c:v>46128</c:v>
                </c:pt>
                <c:pt idx="1388">
                  <c:v>46128</c:v>
                </c:pt>
                <c:pt idx="1389">
                  <c:v>46128</c:v>
                </c:pt>
                <c:pt idx="1390">
                  <c:v>46128</c:v>
                </c:pt>
                <c:pt idx="1391">
                  <c:v>46128</c:v>
                </c:pt>
                <c:pt idx="1392">
                  <c:v>46142</c:v>
                </c:pt>
                <c:pt idx="1393">
                  <c:v>46136</c:v>
                </c:pt>
                <c:pt idx="1394">
                  <c:v>46129</c:v>
                </c:pt>
                <c:pt idx="1395">
                  <c:v>46129</c:v>
                </c:pt>
                <c:pt idx="1396">
                  <c:v>46140</c:v>
                </c:pt>
                <c:pt idx="1397">
                  <c:v>46139</c:v>
                </c:pt>
                <c:pt idx="1398">
                  <c:v>46129</c:v>
                </c:pt>
                <c:pt idx="1399">
                  <c:v>46141</c:v>
                </c:pt>
                <c:pt idx="1400">
                  <c:v>46136</c:v>
                </c:pt>
                <c:pt idx="1401">
                  <c:v>46141</c:v>
                </c:pt>
                <c:pt idx="1402">
                  <c:v>46140</c:v>
                </c:pt>
                <c:pt idx="1403">
                  <c:v>46134</c:v>
                </c:pt>
                <c:pt idx="1404">
                  <c:v>46142</c:v>
                </c:pt>
                <c:pt idx="1405">
                  <c:v>46141</c:v>
                </c:pt>
                <c:pt idx="1406">
                  <c:v>46134</c:v>
                </c:pt>
                <c:pt idx="1407">
                  <c:v>46134</c:v>
                </c:pt>
                <c:pt idx="1408">
                  <c:v>46134</c:v>
                </c:pt>
                <c:pt idx="1409">
                  <c:v>46134</c:v>
                </c:pt>
                <c:pt idx="1410">
                  <c:v>46134</c:v>
                </c:pt>
                <c:pt idx="1411">
                  <c:v>46134</c:v>
                </c:pt>
                <c:pt idx="1412">
                  <c:v>46141</c:v>
                </c:pt>
                <c:pt idx="1413">
                  <c:v>46135</c:v>
                </c:pt>
                <c:pt idx="1414">
                  <c:v>46135</c:v>
                </c:pt>
                <c:pt idx="1415">
                  <c:v>46135</c:v>
                </c:pt>
                <c:pt idx="1416">
                  <c:v>46135</c:v>
                </c:pt>
                <c:pt idx="1417">
                  <c:v>46135</c:v>
                </c:pt>
                <c:pt idx="1418">
                  <c:v>46135</c:v>
                </c:pt>
                <c:pt idx="1419">
                  <c:v>46135</c:v>
                </c:pt>
                <c:pt idx="1420">
                  <c:v>46141</c:v>
                </c:pt>
                <c:pt idx="1421">
                  <c:v>46142</c:v>
                </c:pt>
                <c:pt idx="1422">
                  <c:v>46136</c:v>
                </c:pt>
                <c:pt idx="1423">
                  <c:v>46135</c:v>
                </c:pt>
                <c:pt idx="1424">
                  <c:v>46135</c:v>
                </c:pt>
                <c:pt idx="1425">
                  <c:v>46150</c:v>
                </c:pt>
                <c:pt idx="1426">
                  <c:v>46146</c:v>
                </c:pt>
                <c:pt idx="1427">
                  <c:v>46135</c:v>
                </c:pt>
                <c:pt idx="1428">
                  <c:v>46141</c:v>
                </c:pt>
                <c:pt idx="1429">
                  <c:v>46135</c:v>
                </c:pt>
                <c:pt idx="1430">
                  <c:v>46135</c:v>
                </c:pt>
                <c:pt idx="1431">
                  <c:v>46141</c:v>
                </c:pt>
                <c:pt idx="1432">
                  <c:v>46149</c:v>
                </c:pt>
                <c:pt idx="1433">
                  <c:v>46136</c:v>
                </c:pt>
                <c:pt idx="1434">
                  <c:v>46136</c:v>
                </c:pt>
                <c:pt idx="1435">
                  <c:v>46136</c:v>
                </c:pt>
                <c:pt idx="1436">
                  <c:v>46136</c:v>
                </c:pt>
                <c:pt idx="1437">
                  <c:v>46141</c:v>
                </c:pt>
                <c:pt idx="1438">
                  <c:v>46141</c:v>
                </c:pt>
                <c:pt idx="1439">
                  <c:v>46136</c:v>
                </c:pt>
                <c:pt idx="1440">
                  <c:v>46141</c:v>
                </c:pt>
                <c:pt idx="1441">
                  <c:v>46141</c:v>
                </c:pt>
                <c:pt idx="1442">
                  <c:v>46153</c:v>
                </c:pt>
                <c:pt idx="1443">
                  <c:v>46147</c:v>
                </c:pt>
                <c:pt idx="1444">
                  <c:v>46147</c:v>
                </c:pt>
                <c:pt idx="1445">
                  <c:v>46147</c:v>
                </c:pt>
                <c:pt idx="1446">
                  <c:v>46141</c:v>
                </c:pt>
                <c:pt idx="1447">
                  <c:v>46140</c:v>
                </c:pt>
                <c:pt idx="1448">
                  <c:v>46141</c:v>
                </c:pt>
                <c:pt idx="1449">
                  <c:v>46146</c:v>
                </c:pt>
                <c:pt idx="1450">
                  <c:v>46147</c:v>
                </c:pt>
                <c:pt idx="1451">
                  <c:v>46146</c:v>
                </c:pt>
                <c:pt idx="1452">
                  <c:v>46136</c:v>
                </c:pt>
                <c:pt idx="1453">
                  <c:v>46142</c:v>
                </c:pt>
                <c:pt idx="1454">
                  <c:v>46136</c:v>
                </c:pt>
                <c:pt idx="1455">
                  <c:v>46136</c:v>
                </c:pt>
                <c:pt idx="1456">
                  <c:v>46136</c:v>
                </c:pt>
                <c:pt idx="1457">
                  <c:v>46136</c:v>
                </c:pt>
                <c:pt idx="1458">
                  <c:v>46136</c:v>
                </c:pt>
                <c:pt idx="1459">
                  <c:v>46136</c:v>
                </c:pt>
                <c:pt idx="1460">
                  <c:v>46136</c:v>
                </c:pt>
                <c:pt idx="1461">
                  <c:v>46136</c:v>
                </c:pt>
                <c:pt idx="1462">
                  <c:v>46146</c:v>
                </c:pt>
                <c:pt idx="1463">
                  <c:v>46146</c:v>
                </c:pt>
                <c:pt idx="1464">
                  <c:v>46146</c:v>
                </c:pt>
                <c:pt idx="1465">
                  <c:v>46146</c:v>
                </c:pt>
                <c:pt idx="1466">
                  <c:v>46146</c:v>
                </c:pt>
                <c:pt idx="1467">
                  <c:v>46141</c:v>
                </c:pt>
                <c:pt idx="1468">
                  <c:v>46136</c:v>
                </c:pt>
                <c:pt idx="1469">
                  <c:v>46139</c:v>
                </c:pt>
                <c:pt idx="1470">
                  <c:v>46140</c:v>
                </c:pt>
                <c:pt idx="1471">
                  <c:v>46140</c:v>
                </c:pt>
                <c:pt idx="1472">
                  <c:v>46140</c:v>
                </c:pt>
                <c:pt idx="1473">
                  <c:v>46139</c:v>
                </c:pt>
                <c:pt idx="1474">
                  <c:v>46140</c:v>
                </c:pt>
                <c:pt idx="1475">
                  <c:v>46139</c:v>
                </c:pt>
                <c:pt idx="1476">
                  <c:v>46141</c:v>
                </c:pt>
                <c:pt idx="1477">
                  <c:v>46139</c:v>
                </c:pt>
                <c:pt idx="1478">
                  <c:v>46139</c:v>
                </c:pt>
                <c:pt idx="1479">
                  <c:v>46147</c:v>
                </c:pt>
                <c:pt idx="1480">
                  <c:v>46140</c:v>
                </c:pt>
                <c:pt idx="1481">
                  <c:v>46146</c:v>
                </c:pt>
                <c:pt idx="1482">
                  <c:v>46141</c:v>
                </c:pt>
                <c:pt idx="1483">
                  <c:v>46154</c:v>
                </c:pt>
                <c:pt idx="1484">
                  <c:v>46154</c:v>
                </c:pt>
                <c:pt idx="1485">
                  <c:v>46141</c:v>
                </c:pt>
                <c:pt idx="1486">
                  <c:v>46160</c:v>
                </c:pt>
                <c:pt idx="1487">
                  <c:v>46140</c:v>
                </c:pt>
                <c:pt idx="1488">
                  <c:v>46140</c:v>
                </c:pt>
                <c:pt idx="1489">
                  <c:v>46140</c:v>
                </c:pt>
                <c:pt idx="1490">
                  <c:v>46140</c:v>
                </c:pt>
                <c:pt idx="1491">
                  <c:v>46141</c:v>
                </c:pt>
                <c:pt idx="1492">
                  <c:v>46147</c:v>
                </c:pt>
                <c:pt idx="1493">
                  <c:v>46141</c:v>
                </c:pt>
                <c:pt idx="1494">
                  <c:v>46142</c:v>
                </c:pt>
                <c:pt idx="1495">
                  <c:v>46141</c:v>
                </c:pt>
                <c:pt idx="1496">
                  <c:v>46141</c:v>
                </c:pt>
                <c:pt idx="1497">
                  <c:v>46141</c:v>
                </c:pt>
                <c:pt idx="1498">
                  <c:v>46141</c:v>
                </c:pt>
                <c:pt idx="1499">
                  <c:v>46147</c:v>
                </c:pt>
                <c:pt idx="1500">
                  <c:v>46141</c:v>
                </c:pt>
                <c:pt idx="1501">
                  <c:v>46141</c:v>
                </c:pt>
                <c:pt idx="1502">
                  <c:v>46141</c:v>
                </c:pt>
                <c:pt idx="1503">
                  <c:v>46154</c:v>
                </c:pt>
                <c:pt idx="1504">
                  <c:v>46141</c:v>
                </c:pt>
                <c:pt idx="1505">
                  <c:v>46141</c:v>
                </c:pt>
                <c:pt idx="1506">
                  <c:v>46141</c:v>
                </c:pt>
                <c:pt idx="1507">
                  <c:v>46141</c:v>
                </c:pt>
                <c:pt idx="1508">
                  <c:v>46141</c:v>
                </c:pt>
                <c:pt idx="1509">
                  <c:v>46147</c:v>
                </c:pt>
                <c:pt idx="1510">
                  <c:v>46147</c:v>
                </c:pt>
                <c:pt idx="1511">
                  <c:v>46141</c:v>
                </c:pt>
                <c:pt idx="1512">
                  <c:v>46141</c:v>
                </c:pt>
                <c:pt idx="1513">
                  <c:v>46150</c:v>
                </c:pt>
                <c:pt idx="1514">
                  <c:v>46141</c:v>
                </c:pt>
                <c:pt idx="1515">
                  <c:v>46147</c:v>
                </c:pt>
                <c:pt idx="1516">
                  <c:v>46141</c:v>
                </c:pt>
                <c:pt idx="1517">
                  <c:v>46141</c:v>
                </c:pt>
                <c:pt idx="1518">
                  <c:v>46149</c:v>
                </c:pt>
                <c:pt idx="1519">
                  <c:v>46153</c:v>
                </c:pt>
                <c:pt idx="1520">
                  <c:v>46150</c:v>
                </c:pt>
                <c:pt idx="1521">
                  <c:v>46153</c:v>
                </c:pt>
                <c:pt idx="1522">
                  <c:v>46142</c:v>
                </c:pt>
                <c:pt idx="1523">
                  <c:v>46153</c:v>
                </c:pt>
                <c:pt idx="1524">
                  <c:v>46149</c:v>
                </c:pt>
                <c:pt idx="1525">
                  <c:v>46142</c:v>
                </c:pt>
                <c:pt idx="1526">
                  <c:v>46146</c:v>
                </c:pt>
                <c:pt idx="1527">
                  <c:v>46146</c:v>
                </c:pt>
                <c:pt idx="1528">
                  <c:v>46148</c:v>
                </c:pt>
                <c:pt idx="1529">
                  <c:v>46146</c:v>
                </c:pt>
                <c:pt idx="1530">
                  <c:v>46148</c:v>
                </c:pt>
                <c:pt idx="1531">
                  <c:v>46146</c:v>
                </c:pt>
                <c:pt idx="1532">
                  <c:v>46147</c:v>
                </c:pt>
                <c:pt idx="1533">
                  <c:v>46146</c:v>
                </c:pt>
                <c:pt idx="1534">
                  <c:v>46146</c:v>
                </c:pt>
                <c:pt idx="1535">
                  <c:v>46148</c:v>
                </c:pt>
                <c:pt idx="1536">
                  <c:v>46146</c:v>
                </c:pt>
                <c:pt idx="1537">
                  <c:v>46153</c:v>
                </c:pt>
                <c:pt idx="1538">
                  <c:v>46154</c:v>
                </c:pt>
                <c:pt idx="1539">
                  <c:v>46153</c:v>
                </c:pt>
                <c:pt idx="1540">
                  <c:v>46153</c:v>
                </c:pt>
                <c:pt idx="1541">
                  <c:v>46147</c:v>
                </c:pt>
                <c:pt idx="1542">
                  <c:v>46150</c:v>
                </c:pt>
                <c:pt idx="1543">
                  <c:v>46153</c:v>
                </c:pt>
                <c:pt idx="1544">
                  <c:v>46147</c:v>
                </c:pt>
                <c:pt idx="1545">
                  <c:v>46147</c:v>
                </c:pt>
                <c:pt idx="1546">
                  <c:v>46147</c:v>
                </c:pt>
                <c:pt idx="1547">
                  <c:v>46149</c:v>
                </c:pt>
                <c:pt idx="1548">
                  <c:v>46149</c:v>
                </c:pt>
                <c:pt idx="1549">
                  <c:v>46147</c:v>
                </c:pt>
                <c:pt idx="1550">
                  <c:v>46149</c:v>
                </c:pt>
                <c:pt idx="1551">
                  <c:v>46147</c:v>
                </c:pt>
                <c:pt idx="1552">
                  <c:v>46150</c:v>
                </c:pt>
                <c:pt idx="1553">
                  <c:v>46153</c:v>
                </c:pt>
                <c:pt idx="1554">
                  <c:v>46150</c:v>
                </c:pt>
                <c:pt idx="1555">
                  <c:v>46153</c:v>
                </c:pt>
                <c:pt idx="1556">
                  <c:v>46150</c:v>
                </c:pt>
                <c:pt idx="1557">
                  <c:v>46150</c:v>
                </c:pt>
                <c:pt idx="1558">
                  <c:v>46153</c:v>
                </c:pt>
                <c:pt idx="1559">
                  <c:v>46148</c:v>
                </c:pt>
                <c:pt idx="1560">
                  <c:v>46147</c:v>
                </c:pt>
                <c:pt idx="1561">
                  <c:v>46147</c:v>
                </c:pt>
                <c:pt idx="1562">
                  <c:v>46153</c:v>
                </c:pt>
                <c:pt idx="1563">
                  <c:v>46153</c:v>
                </c:pt>
                <c:pt idx="1564">
                  <c:v>46153</c:v>
                </c:pt>
                <c:pt idx="1565">
                  <c:v>46153</c:v>
                </c:pt>
                <c:pt idx="1566">
                  <c:v>46153</c:v>
                </c:pt>
                <c:pt idx="1567">
                  <c:v>46153</c:v>
                </c:pt>
                <c:pt idx="1568">
                  <c:v>46153</c:v>
                </c:pt>
                <c:pt idx="1569">
                  <c:v>46147</c:v>
                </c:pt>
                <c:pt idx="1570">
                  <c:v>46147</c:v>
                </c:pt>
                <c:pt idx="1571">
                  <c:v>46147</c:v>
                </c:pt>
                <c:pt idx="1572">
                  <c:v>46147</c:v>
                </c:pt>
                <c:pt idx="1573">
                  <c:v>46147</c:v>
                </c:pt>
                <c:pt idx="1574">
                  <c:v>46153</c:v>
                </c:pt>
                <c:pt idx="1575">
                  <c:v>46147</c:v>
                </c:pt>
                <c:pt idx="1576">
                  <c:v>46147</c:v>
                </c:pt>
                <c:pt idx="1577">
                  <c:v>46150</c:v>
                </c:pt>
                <c:pt idx="1578">
                  <c:v>46154</c:v>
                </c:pt>
                <c:pt idx="1579">
                  <c:v>46147</c:v>
                </c:pt>
                <c:pt idx="1580">
                  <c:v>46153</c:v>
                </c:pt>
                <c:pt idx="1581">
                  <c:v>46147</c:v>
                </c:pt>
                <c:pt idx="1582">
                  <c:v>46147</c:v>
                </c:pt>
                <c:pt idx="1583">
                  <c:v>46147</c:v>
                </c:pt>
                <c:pt idx="1584">
                  <c:v>46153</c:v>
                </c:pt>
                <c:pt idx="1585">
                  <c:v>46153</c:v>
                </c:pt>
                <c:pt idx="1586">
                  <c:v>46147</c:v>
                </c:pt>
                <c:pt idx="1587">
                  <c:v>46147</c:v>
                </c:pt>
                <c:pt idx="1588">
                  <c:v>46147</c:v>
                </c:pt>
                <c:pt idx="1589">
                  <c:v>46147</c:v>
                </c:pt>
                <c:pt idx="1590">
                  <c:v>46147</c:v>
                </c:pt>
                <c:pt idx="1591">
                  <c:v>46147</c:v>
                </c:pt>
                <c:pt idx="1592">
                  <c:v>46147</c:v>
                </c:pt>
                <c:pt idx="1593">
                  <c:v>46147</c:v>
                </c:pt>
                <c:pt idx="1594">
                  <c:v>46147</c:v>
                </c:pt>
                <c:pt idx="1595">
                  <c:v>46147</c:v>
                </c:pt>
                <c:pt idx="1596">
                  <c:v>46147</c:v>
                </c:pt>
                <c:pt idx="1597">
                  <c:v>46147</c:v>
                </c:pt>
                <c:pt idx="1598">
                  <c:v>46147</c:v>
                </c:pt>
                <c:pt idx="1599">
                  <c:v>46147</c:v>
                </c:pt>
                <c:pt idx="1600">
                  <c:v>46154</c:v>
                </c:pt>
                <c:pt idx="1601">
                  <c:v>46154</c:v>
                </c:pt>
                <c:pt idx="1602">
                  <c:v>46147</c:v>
                </c:pt>
                <c:pt idx="1603">
                  <c:v>46147</c:v>
                </c:pt>
                <c:pt idx="1604">
                  <c:v>46147</c:v>
                </c:pt>
                <c:pt idx="1605">
                  <c:v>46148</c:v>
                </c:pt>
                <c:pt idx="1606">
                  <c:v>46154</c:v>
                </c:pt>
                <c:pt idx="1607">
                  <c:v>46148</c:v>
                </c:pt>
                <c:pt idx="1608">
                  <c:v>46148</c:v>
                </c:pt>
                <c:pt idx="1609">
                  <c:v>46148</c:v>
                </c:pt>
                <c:pt idx="1610">
                  <c:v>46148</c:v>
                </c:pt>
                <c:pt idx="1611">
                  <c:v>46150</c:v>
                </c:pt>
                <c:pt idx="1612">
                  <c:v>46148</c:v>
                </c:pt>
                <c:pt idx="1613">
                  <c:v>46153</c:v>
                </c:pt>
                <c:pt idx="1614">
                  <c:v>46153</c:v>
                </c:pt>
                <c:pt idx="1615">
                  <c:v>46148</c:v>
                </c:pt>
                <c:pt idx="1616">
                  <c:v>46150</c:v>
                </c:pt>
                <c:pt idx="1617">
                  <c:v>46148</c:v>
                </c:pt>
                <c:pt idx="1618">
                  <c:v>46153</c:v>
                </c:pt>
                <c:pt idx="1619">
                  <c:v>46153</c:v>
                </c:pt>
                <c:pt idx="1620">
                  <c:v>46148</c:v>
                </c:pt>
                <c:pt idx="1621">
                  <c:v>46148</c:v>
                </c:pt>
                <c:pt idx="1622">
                  <c:v>46153</c:v>
                </c:pt>
                <c:pt idx="1623">
                  <c:v>46154</c:v>
                </c:pt>
                <c:pt idx="1624">
                  <c:v>46148</c:v>
                </c:pt>
                <c:pt idx="1625">
                  <c:v>46148</c:v>
                </c:pt>
                <c:pt idx="1626">
                  <c:v>46148</c:v>
                </c:pt>
                <c:pt idx="1627">
                  <c:v>46148</c:v>
                </c:pt>
                <c:pt idx="1628">
                  <c:v>46154</c:v>
                </c:pt>
                <c:pt idx="1629">
                  <c:v>46148</c:v>
                </c:pt>
                <c:pt idx="1630">
                  <c:v>46148</c:v>
                </c:pt>
                <c:pt idx="1631">
                  <c:v>46148</c:v>
                </c:pt>
                <c:pt idx="1632">
                  <c:v>46148</c:v>
                </c:pt>
                <c:pt idx="1633">
                  <c:v>46153</c:v>
                </c:pt>
                <c:pt idx="1634">
                  <c:v>46148</c:v>
                </c:pt>
                <c:pt idx="1635">
                  <c:v>46148</c:v>
                </c:pt>
                <c:pt idx="1636">
                  <c:v>46148</c:v>
                </c:pt>
                <c:pt idx="1637">
                  <c:v>46149</c:v>
                </c:pt>
                <c:pt idx="1638">
                  <c:v>46154</c:v>
                </c:pt>
                <c:pt idx="1639">
                  <c:v>46154</c:v>
                </c:pt>
                <c:pt idx="1640">
                  <c:v>46149</c:v>
                </c:pt>
                <c:pt idx="1641">
                  <c:v>46149</c:v>
                </c:pt>
                <c:pt idx="1642">
                  <c:v>46149</c:v>
                </c:pt>
                <c:pt idx="1643">
                  <c:v>46149</c:v>
                </c:pt>
                <c:pt idx="1644">
                  <c:v>46154</c:v>
                </c:pt>
                <c:pt idx="1645">
                  <c:v>46149</c:v>
                </c:pt>
                <c:pt idx="1646">
                  <c:v>46149</c:v>
                </c:pt>
                <c:pt idx="1647">
                  <c:v>46149</c:v>
                </c:pt>
                <c:pt idx="1648">
                  <c:v>46154</c:v>
                </c:pt>
                <c:pt idx="1649">
                  <c:v>46149</c:v>
                </c:pt>
                <c:pt idx="1650">
                  <c:v>46149</c:v>
                </c:pt>
                <c:pt idx="1651">
                  <c:v>46149</c:v>
                </c:pt>
                <c:pt idx="1652">
                  <c:v>46149</c:v>
                </c:pt>
                <c:pt idx="1653">
                  <c:v>46149</c:v>
                </c:pt>
                <c:pt idx="1654">
                  <c:v>46154</c:v>
                </c:pt>
                <c:pt idx="1655">
                  <c:v>46149</c:v>
                </c:pt>
                <c:pt idx="1656">
                  <c:v>46149</c:v>
                </c:pt>
                <c:pt idx="1657">
                  <c:v>46149</c:v>
                </c:pt>
                <c:pt idx="1658">
                  <c:v>46149</c:v>
                </c:pt>
                <c:pt idx="1659">
                  <c:v>46149</c:v>
                </c:pt>
                <c:pt idx="1660">
                  <c:v>46149</c:v>
                </c:pt>
                <c:pt idx="1661">
                  <c:v>46149</c:v>
                </c:pt>
                <c:pt idx="1662">
                  <c:v>46149</c:v>
                </c:pt>
                <c:pt idx="1663">
                  <c:v>46149</c:v>
                </c:pt>
                <c:pt idx="1664">
                  <c:v>46149</c:v>
                </c:pt>
                <c:pt idx="1665">
                  <c:v>46149</c:v>
                </c:pt>
                <c:pt idx="1666">
                  <c:v>46153</c:v>
                </c:pt>
                <c:pt idx="1667">
                  <c:v>46154</c:v>
                </c:pt>
                <c:pt idx="1668">
                  <c:v>46149</c:v>
                </c:pt>
                <c:pt idx="1669">
                  <c:v>46149</c:v>
                </c:pt>
                <c:pt idx="1670">
                  <c:v>46150</c:v>
                </c:pt>
                <c:pt idx="1671">
                  <c:v>46150</c:v>
                </c:pt>
                <c:pt idx="1672">
                  <c:v>46150</c:v>
                </c:pt>
                <c:pt idx="1673">
                  <c:v>46150</c:v>
                </c:pt>
                <c:pt idx="1674">
                  <c:v>46150</c:v>
                </c:pt>
                <c:pt idx="1675">
                  <c:v>46150</c:v>
                </c:pt>
                <c:pt idx="1676">
                  <c:v>46150</c:v>
                </c:pt>
                <c:pt idx="1677">
                  <c:v>46150</c:v>
                </c:pt>
                <c:pt idx="1678">
                  <c:v>46154</c:v>
                </c:pt>
                <c:pt idx="1679">
                  <c:v>46156</c:v>
                </c:pt>
                <c:pt idx="1680">
                  <c:v>46161</c:v>
                </c:pt>
                <c:pt idx="1681">
                  <c:v>46161</c:v>
                </c:pt>
                <c:pt idx="1682">
                  <c:v>46156</c:v>
                </c:pt>
                <c:pt idx="1683">
                  <c:v>46155</c:v>
                </c:pt>
                <c:pt idx="1684">
                  <c:v>46150</c:v>
                </c:pt>
                <c:pt idx="1685">
                  <c:v>46150</c:v>
                </c:pt>
                <c:pt idx="1686">
                  <c:v>46154</c:v>
                </c:pt>
                <c:pt idx="1687">
                  <c:v>46153</c:v>
                </c:pt>
                <c:pt idx="1688">
                  <c:v>46150</c:v>
                </c:pt>
                <c:pt idx="1689">
                  <c:v>46150</c:v>
                </c:pt>
                <c:pt idx="1690">
                  <c:v>46150</c:v>
                </c:pt>
                <c:pt idx="1691">
                  <c:v>46155</c:v>
                </c:pt>
                <c:pt idx="1692">
                  <c:v>46154</c:v>
                </c:pt>
                <c:pt idx="1693">
                  <c:v>46156</c:v>
                </c:pt>
                <c:pt idx="1694">
                  <c:v>46150</c:v>
                </c:pt>
                <c:pt idx="1695">
                  <c:v>46156</c:v>
                </c:pt>
                <c:pt idx="1696">
                  <c:v>46157</c:v>
                </c:pt>
                <c:pt idx="1697">
                  <c:v>46155</c:v>
                </c:pt>
                <c:pt idx="1698">
                  <c:v>46153</c:v>
                </c:pt>
                <c:pt idx="1699">
                  <c:v>46153</c:v>
                </c:pt>
                <c:pt idx="1700">
                  <c:v>46153</c:v>
                </c:pt>
                <c:pt idx="1701">
                  <c:v>46156</c:v>
                </c:pt>
                <c:pt idx="1702">
                  <c:v>46153</c:v>
                </c:pt>
                <c:pt idx="1703">
                  <c:v>46153</c:v>
                </c:pt>
                <c:pt idx="1704">
                  <c:v>46153</c:v>
                </c:pt>
                <c:pt idx="1705">
                  <c:v>46153</c:v>
                </c:pt>
                <c:pt idx="1706">
                  <c:v>46155</c:v>
                </c:pt>
                <c:pt idx="1707">
                  <c:v>46153</c:v>
                </c:pt>
                <c:pt idx="1708">
                  <c:v>46156</c:v>
                </c:pt>
                <c:pt idx="1709">
                  <c:v>46153</c:v>
                </c:pt>
                <c:pt idx="1710">
                  <c:v>46157</c:v>
                </c:pt>
                <c:pt idx="1711">
                  <c:v>46156</c:v>
                </c:pt>
                <c:pt idx="1712">
                  <c:v>46153</c:v>
                </c:pt>
                <c:pt idx="1713">
                  <c:v>46156</c:v>
                </c:pt>
                <c:pt idx="1714">
                  <c:v>46160</c:v>
                </c:pt>
                <c:pt idx="1715">
                  <c:v>46160</c:v>
                </c:pt>
                <c:pt idx="1716">
                  <c:v>46156</c:v>
                </c:pt>
                <c:pt idx="1717">
                  <c:v>46154</c:v>
                </c:pt>
                <c:pt idx="1718">
                  <c:v>46160</c:v>
                </c:pt>
                <c:pt idx="1719">
                  <c:v>46160</c:v>
                </c:pt>
                <c:pt idx="1720">
                  <c:v>46160</c:v>
                </c:pt>
                <c:pt idx="1721">
                  <c:v>46160</c:v>
                </c:pt>
                <c:pt idx="1722">
                  <c:v>46161</c:v>
                </c:pt>
                <c:pt idx="1723">
                  <c:v>46154</c:v>
                </c:pt>
                <c:pt idx="1724">
                  <c:v>46161</c:v>
                </c:pt>
                <c:pt idx="1725">
                  <c:v>46156</c:v>
                </c:pt>
                <c:pt idx="1726">
                  <c:v>46154</c:v>
                </c:pt>
                <c:pt idx="1727">
                  <c:v>46161</c:v>
                </c:pt>
                <c:pt idx="1728">
                  <c:v>46160</c:v>
                </c:pt>
                <c:pt idx="1729">
                  <c:v>46154</c:v>
                </c:pt>
                <c:pt idx="1730">
                  <c:v>46154</c:v>
                </c:pt>
                <c:pt idx="1731">
                  <c:v>46156</c:v>
                </c:pt>
                <c:pt idx="1732">
                  <c:v>46154</c:v>
                </c:pt>
                <c:pt idx="1733">
                  <c:v>46156</c:v>
                </c:pt>
                <c:pt idx="1734">
                  <c:v>46154</c:v>
                </c:pt>
                <c:pt idx="1735">
                  <c:v>46154</c:v>
                </c:pt>
                <c:pt idx="1736">
                  <c:v>46155</c:v>
                </c:pt>
                <c:pt idx="1737">
                  <c:v>46154</c:v>
                </c:pt>
                <c:pt idx="1738">
                  <c:v>46154</c:v>
                </c:pt>
                <c:pt idx="1739">
                  <c:v>46161</c:v>
                </c:pt>
                <c:pt idx="1740">
                  <c:v>46160</c:v>
                </c:pt>
                <c:pt idx="1741">
                  <c:v>46154</c:v>
                </c:pt>
                <c:pt idx="1742">
                  <c:v>46154</c:v>
                </c:pt>
                <c:pt idx="1743">
                  <c:v>46154</c:v>
                </c:pt>
                <c:pt idx="1744">
                  <c:v>46154</c:v>
                </c:pt>
                <c:pt idx="1745">
                  <c:v>46154</c:v>
                </c:pt>
                <c:pt idx="1746">
                  <c:v>46154</c:v>
                </c:pt>
                <c:pt idx="1747">
                  <c:v>46154</c:v>
                </c:pt>
                <c:pt idx="1748">
                  <c:v>46154</c:v>
                </c:pt>
                <c:pt idx="1749">
                  <c:v>46154</c:v>
                </c:pt>
                <c:pt idx="1750">
                  <c:v>46155</c:v>
                </c:pt>
                <c:pt idx="1751">
                  <c:v>46161</c:v>
                </c:pt>
                <c:pt idx="1752">
                  <c:v>46154</c:v>
                </c:pt>
                <c:pt idx="1753">
                  <c:v>46154</c:v>
                </c:pt>
                <c:pt idx="1754">
                  <c:v>46154</c:v>
                </c:pt>
                <c:pt idx="1755">
                  <c:v>46154</c:v>
                </c:pt>
                <c:pt idx="1756">
                  <c:v>46154</c:v>
                </c:pt>
                <c:pt idx="1757">
                  <c:v>46154</c:v>
                </c:pt>
                <c:pt idx="1758">
                  <c:v>46154</c:v>
                </c:pt>
                <c:pt idx="1759">
                  <c:v>46161</c:v>
                </c:pt>
                <c:pt idx="1760">
                  <c:v>46154</c:v>
                </c:pt>
                <c:pt idx="1761">
                  <c:v>46160</c:v>
                </c:pt>
                <c:pt idx="1762">
                  <c:v>46154</c:v>
                </c:pt>
                <c:pt idx="1763">
                  <c:v>46161</c:v>
                </c:pt>
                <c:pt idx="1764">
                  <c:v>46161</c:v>
                </c:pt>
                <c:pt idx="1765">
                  <c:v>46155</c:v>
                </c:pt>
                <c:pt idx="1766">
                  <c:v>46155</c:v>
                </c:pt>
                <c:pt idx="1767">
                  <c:v>46155</c:v>
                </c:pt>
                <c:pt idx="1768">
                  <c:v>46160</c:v>
                </c:pt>
                <c:pt idx="1769">
                  <c:v>46160</c:v>
                </c:pt>
                <c:pt idx="1770">
                  <c:v>46157</c:v>
                </c:pt>
                <c:pt idx="1771">
                  <c:v>46157</c:v>
                </c:pt>
                <c:pt idx="1772">
                  <c:v>46157</c:v>
                </c:pt>
                <c:pt idx="1773">
                  <c:v>46155</c:v>
                </c:pt>
                <c:pt idx="1774">
                  <c:v>46155</c:v>
                </c:pt>
                <c:pt idx="1775">
                  <c:v>46161</c:v>
                </c:pt>
                <c:pt idx="1776">
                  <c:v>46155</c:v>
                </c:pt>
                <c:pt idx="1777">
                  <c:v>46157</c:v>
                </c:pt>
                <c:pt idx="1778">
                  <c:v>46155</c:v>
                </c:pt>
                <c:pt idx="1779">
                  <c:v>46155</c:v>
                </c:pt>
                <c:pt idx="1780">
                  <c:v>46155</c:v>
                </c:pt>
                <c:pt idx="1781">
                  <c:v>46155</c:v>
                </c:pt>
                <c:pt idx="1782">
                  <c:v>46155</c:v>
                </c:pt>
                <c:pt idx="1783">
                  <c:v>46156</c:v>
                </c:pt>
                <c:pt idx="1784">
                  <c:v>46161</c:v>
                </c:pt>
                <c:pt idx="1785">
                  <c:v>46155</c:v>
                </c:pt>
                <c:pt idx="1786">
                  <c:v>46155</c:v>
                </c:pt>
                <c:pt idx="1787">
                  <c:v>46157</c:v>
                </c:pt>
                <c:pt idx="1788">
                  <c:v>46156</c:v>
                </c:pt>
                <c:pt idx="1789">
                  <c:v>46156</c:v>
                </c:pt>
                <c:pt idx="1790">
                  <c:v>46156</c:v>
                </c:pt>
                <c:pt idx="1791">
                  <c:v>46156</c:v>
                </c:pt>
                <c:pt idx="1792">
                  <c:v>46160</c:v>
                </c:pt>
                <c:pt idx="1793">
                  <c:v>46156</c:v>
                </c:pt>
                <c:pt idx="1794">
                  <c:v>46156</c:v>
                </c:pt>
                <c:pt idx="1795">
                  <c:v>46156</c:v>
                </c:pt>
                <c:pt idx="1796">
                  <c:v>46157</c:v>
                </c:pt>
                <c:pt idx="1797">
                  <c:v>46157</c:v>
                </c:pt>
                <c:pt idx="1798">
                  <c:v>46157</c:v>
                </c:pt>
                <c:pt idx="1799">
                  <c:v>46157</c:v>
                </c:pt>
                <c:pt idx="1800">
                  <c:v>46157</c:v>
                </c:pt>
                <c:pt idx="1801">
                  <c:v>46157</c:v>
                </c:pt>
                <c:pt idx="1802">
                  <c:v>46157</c:v>
                </c:pt>
                <c:pt idx="1803">
                  <c:v>46157</c:v>
                </c:pt>
                <c:pt idx="1804">
                  <c:v>46157</c:v>
                </c:pt>
                <c:pt idx="1805">
                  <c:v>46157</c:v>
                </c:pt>
                <c:pt idx="1806">
                  <c:v>46157</c:v>
                </c:pt>
                <c:pt idx="1807">
                  <c:v>46157</c:v>
                </c:pt>
                <c:pt idx="1808">
                  <c:v>46157</c:v>
                </c:pt>
                <c:pt idx="1809">
                  <c:v>46157</c:v>
                </c:pt>
                <c:pt idx="1810">
                  <c:v>46157</c:v>
                </c:pt>
                <c:pt idx="1811">
                  <c:v>46157</c:v>
                </c:pt>
                <c:pt idx="1812">
                  <c:v>46157</c:v>
                </c:pt>
                <c:pt idx="1813">
                  <c:v>46157</c:v>
                </c:pt>
                <c:pt idx="1814">
                  <c:v>46160</c:v>
                </c:pt>
                <c:pt idx="1815">
                  <c:v>46160</c:v>
                </c:pt>
                <c:pt idx="1816">
                  <c:v>46160</c:v>
                </c:pt>
                <c:pt idx="1817">
                  <c:v>46160</c:v>
                </c:pt>
                <c:pt idx="1818">
                  <c:v>46160</c:v>
                </c:pt>
                <c:pt idx="1819">
                  <c:v>46160</c:v>
                </c:pt>
                <c:pt idx="1820">
                  <c:v>46160</c:v>
                </c:pt>
                <c:pt idx="1821">
                  <c:v>46160</c:v>
                </c:pt>
                <c:pt idx="1822">
                  <c:v>46160</c:v>
                </c:pt>
                <c:pt idx="1823">
                  <c:v>46160</c:v>
                </c:pt>
                <c:pt idx="1824">
                  <c:v>46160</c:v>
                </c:pt>
                <c:pt idx="1825">
                  <c:v>46160</c:v>
                </c:pt>
                <c:pt idx="1826">
                  <c:v>46160</c:v>
                </c:pt>
                <c:pt idx="1827">
                  <c:v>46160</c:v>
                </c:pt>
                <c:pt idx="1828">
                  <c:v>46160</c:v>
                </c:pt>
                <c:pt idx="1829">
                  <c:v>46160</c:v>
                </c:pt>
                <c:pt idx="1830">
                  <c:v>46160</c:v>
                </c:pt>
                <c:pt idx="1831">
                  <c:v>46160</c:v>
                </c:pt>
                <c:pt idx="1832">
                  <c:v>46160</c:v>
                </c:pt>
                <c:pt idx="1833">
                  <c:v>46160</c:v>
                </c:pt>
                <c:pt idx="1834">
                  <c:v>46160</c:v>
                </c:pt>
                <c:pt idx="1835">
                  <c:v>46160</c:v>
                </c:pt>
                <c:pt idx="1836">
                  <c:v>46160</c:v>
                </c:pt>
                <c:pt idx="1837">
                  <c:v>46160</c:v>
                </c:pt>
                <c:pt idx="1838">
                  <c:v>46160</c:v>
                </c:pt>
                <c:pt idx="1839">
                  <c:v>46160</c:v>
                </c:pt>
                <c:pt idx="1840">
                  <c:v>46160</c:v>
                </c:pt>
                <c:pt idx="1841">
                  <c:v>46160</c:v>
                </c:pt>
                <c:pt idx="1842">
                  <c:v>46160</c:v>
                </c:pt>
                <c:pt idx="1843">
                  <c:v>46160</c:v>
                </c:pt>
                <c:pt idx="1844">
                  <c:v>46160</c:v>
                </c:pt>
                <c:pt idx="1845">
                  <c:v>46160</c:v>
                </c:pt>
                <c:pt idx="1846">
                  <c:v>46160</c:v>
                </c:pt>
                <c:pt idx="1847">
                  <c:v>46160</c:v>
                </c:pt>
                <c:pt idx="1848">
                  <c:v>46160</c:v>
                </c:pt>
                <c:pt idx="1849">
                  <c:v>46160</c:v>
                </c:pt>
                <c:pt idx="1850">
                  <c:v>46160</c:v>
                </c:pt>
                <c:pt idx="1851">
                  <c:v>46160</c:v>
                </c:pt>
                <c:pt idx="1852">
                  <c:v>46160</c:v>
                </c:pt>
                <c:pt idx="1853">
                  <c:v>46160</c:v>
                </c:pt>
                <c:pt idx="1854">
                  <c:v>46160</c:v>
                </c:pt>
                <c:pt idx="1855">
                  <c:v>46160</c:v>
                </c:pt>
                <c:pt idx="1856">
                  <c:v>46161</c:v>
                </c:pt>
                <c:pt idx="1857">
                  <c:v>46161</c:v>
                </c:pt>
                <c:pt idx="1858">
                  <c:v>46161</c:v>
                </c:pt>
                <c:pt idx="1859">
                  <c:v>46161</c:v>
                </c:pt>
                <c:pt idx="1860">
                  <c:v>46161</c:v>
                </c:pt>
                <c:pt idx="1861">
                  <c:v>46161</c:v>
                </c:pt>
                <c:pt idx="1862">
                  <c:v>46161</c:v>
                </c:pt>
                <c:pt idx="1863">
                  <c:v>46161</c:v>
                </c:pt>
                <c:pt idx="1864">
                  <c:v>46161</c:v>
                </c:pt>
                <c:pt idx="1865">
                  <c:v>46161</c:v>
                </c:pt>
                <c:pt idx="1866">
                  <c:v>46161</c:v>
                </c:pt>
                <c:pt idx="1867">
                  <c:v>46161</c:v>
                </c:pt>
                <c:pt idx="1868">
                  <c:v>46161</c:v>
                </c:pt>
                <c:pt idx="1869">
                  <c:v>46161</c:v>
                </c:pt>
                <c:pt idx="1870">
                  <c:v>46161</c:v>
                </c:pt>
                <c:pt idx="1871">
                  <c:v>46161</c:v>
                </c:pt>
                <c:pt idx="1872">
                  <c:v>46161</c:v>
                </c:pt>
                <c:pt idx="1873">
                  <c:v>46161</c:v>
                </c:pt>
                <c:pt idx="1874">
                  <c:v>46161</c:v>
                </c:pt>
                <c:pt idx="1875">
                  <c:v>46161</c:v>
                </c:pt>
                <c:pt idx="1876">
                  <c:v>46161</c:v>
                </c:pt>
                <c:pt idx="1877">
                  <c:v>46161</c:v>
                </c:pt>
                <c:pt idx="1878">
                  <c:v>46161</c:v>
                </c:pt>
                <c:pt idx="1879">
                  <c:v>46161</c:v>
                </c:pt>
                <c:pt idx="1880">
                  <c:v>46161</c:v>
                </c:pt>
                <c:pt idx="1881">
                  <c:v>46161</c:v>
                </c:pt>
                <c:pt idx="1882">
                  <c:v>46161</c:v>
                </c:pt>
                <c:pt idx="1883">
                  <c:v>46161</c:v>
                </c:pt>
                <c:pt idx="1884">
                  <c:v>46161</c:v>
                </c:pt>
                <c:pt idx="1885">
                  <c:v>46161</c:v>
                </c:pt>
                <c:pt idx="1886">
                  <c:v>46161</c:v>
                </c:pt>
                <c:pt idx="1887">
                  <c:v>46162</c:v>
                </c:pt>
                <c:pt idx="1888">
                  <c:v>46162</c:v>
                </c:pt>
                <c:pt idx="1889">
                  <c:v>46162</c:v>
                </c:pt>
                <c:pt idx="1890">
                  <c:v>46162</c:v>
                </c:pt>
                <c:pt idx="1891">
                  <c:v>46162</c:v>
                </c:pt>
                <c:pt idx="1892">
                  <c:v>46162</c:v>
                </c:pt>
                <c:pt idx="1893">
                  <c:v>46162</c:v>
                </c:pt>
                <c:pt idx="1894">
                  <c:v>46162</c:v>
                </c:pt>
                <c:pt idx="1895">
                  <c:v>46162</c:v>
                </c:pt>
                <c:pt idx="1896">
                  <c:v>46162</c:v>
                </c:pt>
                <c:pt idx="1897">
                  <c:v>46162</c:v>
                </c:pt>
                <c:pt idx="1898">
                  <c:v>46162</c:v>
                </c:pt>
                <c:pt idx="1899">
                  <c:v>46162</c:v>
                </c:pt>
                <c:pt idx="1900">
                  <c:v>46162</c:v>
                </c:pt>
                <c:pt idx="1901">
                  <c:v>46162</c:v>
                </c:pt>
                <c:pt idx="1902">
                  <c:v>46162</c:v>
                </c:pt>
                <c:pt idx="1903">
                  <c:v>46162</c:v>
                </c:pt>
                <c:pt idx="1904">
                  <c:v>46162</c:v>
                </c:pt>
                <c:pt idx="1905">
                  <c:v>46162</c:v>
                </c:pt>
                <c:pt idx="1906">
                  <c:v>46162</c:v>
                </c:pt>
                <c:pt idx="1907">
                  <c:v>46162</c:v>
                </c:pt>
                <c:pt idx="1908">
                  <c:v>46162</c:v>
                </c:pt>
                <c:pt idx="1909">
                  <c:v>46162</c:v>
                </c:pt>
                <c:pt idx="1910">
                  <c:v>46162</c:v>
                </c:pt>
                <c:pt idx="1911">
                  <c:v>46162</c:v>
                </c:pt>
                <c:pt idx="1912">
                  <c:v>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EA-4783-A855-9FF601EC7E11}"/>
            </c:ext>
          </c:extLst>
        </c:ser>
        <c:ser>
          <c:idx val="4"/>
          <c:order val="4"/>
          <c:tx>
            <c:strRef>
              <c:f>'INVENTÁRIO 2026'!$D$2</c:f>
              <c:strCache>
                <c:ptCount val="1"/>
                <c:pt idx="0">
                  <c:v>NÚMERO DE PROTOCOLO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'INVENTÁRIO 2026'!$D$3:$D$11811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 formatCode="m/d/yyyy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 formatCode="mmm\-yy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 formatCode="mmm\-yy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 formatCode="mmm\-yy">
                  <c:v>0</c:v>
                </c:pt>
                <c:pt idx="499" formatCode="m/d/yyyy">
                  <c:v>0</c:v>
                </c:pt>
                <c:pt idx="500" formatCode="m/d/yyyy">
                  <c:v>0</c:v>
                </c:pt>
                <c:pt idx="501" formatCode="m/d/yyyy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 formatCode="m/d/yyyy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EA-4783-A855-9FF601EC7E11}"/>
            </c:ext>
          </c:extLst>
        </c:ser>
        <c:ser>
          <c:idx val="5"/>
          <c:order val="5"/>
          <c:tx>
            <c:strRef>
              <c:f>'INVENTÁRIO 2026'!$E$2</c:f>
              <c:strCache>
                <c:ptCount val="1"/>
                <c:pt idx="0">
                  <c:v>ÓRGÃO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'INVENTÁRIO 2026'!$E$3:$E$11811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EA-4783-A855-9FF601EC7E11}"/>
            </c:ext>
          </c:extLst>
        </c:ser>
        <c:ser>
          <c:idx val="6"/>
          <c:order val="6"/>
          <c:tx>
            <c:strRef>
              <c:f>'INVENTÁRIO 2026'!$F$2</c:f>
              <c:strCache>
                <c:ptCount val="1"/>
                <c:pt idx="0">
                  <c:v>COMPETÊNCIA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2026'!$F$3:$F$11811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17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EA-4783-A855-9FF601EC7E11}"/>
            </c:ext>
          </c:extLst>
        </c:ser>
        <c:ser>
          <c:idx val="7"/>
          <c:order val="7"/>
          <c:tx>
            <c:strRef>
              <c:f>'INVENTÁRIO 2026'!$G$2</c:f>
              <c:strCache>
                <c:ptCount val="1"/>
                <c:pt idx="0">
                  <c:v>TIPO DE PROCESSO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2026'!$G$3:$G$11811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EA-4783-A855-9FF601EC7E11}"/>
            </c:ext>
          </c:extLst>
        </c:ser>
        <c:ser>
          <c:idx val="8"/>
          <c:order val="8"/>
          <c:tx>
            <c:strRef>
              <c:f>'INVENTÁRIO 2026'!$H$2</c:f>
              <c:strCache>
                <c:ptCount val="1"/>
                <c:pt idx="0">
                  <c:v>NOTA/FATURA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2026'!$H$3:$H$11811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573</c:v>
                </c:pt>
                <c:pt idx="16">
                  <c:v>347</c:v>
                </c:pt>
                <c:pt idx="17">
                  <c:v>4728</c:v>
                </c:pt>
                <c:pt idx="18">
                  <c:v>1383</c:v>
                </c:pt>
                <c:pt idx="19">
                  <c:v>229</c:v>
                </c:pt>
                <c:pt idx="20">
                  <c:v>79</c:v>
                </c:pt>
                <c:pt idx="21">
                  <c:v>996</c:v>
                </c:pt>
                <c:pt idx="22">
                  <c:v>825</c:v>
                </c:pt>
                <c:pt idx="23">
                  <c:v>3321</c:v>
                </c:pt>
                <c:pt idx="24">
                  <c:v>13</c:v>
                </c:pt>
                <c:pt idx="25">
                  <c:v>1648</c:v>
                </c:pt>
                <c:pt idx="26">
                  <c:v>209</c:v>
                </c:pt>
                <c:pt idx="27">
                  <c:v>216</c:v>
                </c:pt>
                <c:pt idx="28">
                  <c:v>110</c:v>
                </c:pt>
                <c:pt idx="29">
                  <c:v>97</c:v>
                </c:pt>
                <c:pt idx="30">
                  <c:v>2631</c:v>
                </c:pt>
                <c:pt idx="31">
                  <c:v>83</c:v>
                </c:pt>
                <c:pt idx="32">
                  <c:v>234</c:v>
                </c:pt>
                <c:pt idx="33">
                  <c:v>621</c:v>
                </c:pt>
                <c:pt idx="34">
                  <c:v>2</c:v>
                </c:pt>
                <c:pt idx="35">
                  <c:v>289</c:v>
                </c:pt>
                <c:pt idx="36">
                  <c:v>1033</c:v>
                </c:pt>
                <c:pt idx="37">
                  <c:v>199</c:v>
                </c:pt>
                <c:pt idx="38">
                  <c:v>327</c:v>
                </c:pt>
                <c:pt idx="39">
                  <c:v>721</c:v>
                </c:pt>
                <c:pt idx="40">
                  <c:v>952</c:v>
                </c:pt>
                <c:pt idx="41">
                  <c:v>424</c:v>
                </c:pt>
                <c:pt idx="42">
                  <c:v>610047433768</c:v>
                </c:pt>
                <c:pt idx="43">
                  <c:v>0</c:v>
                </c:pt>
                <c:pt idx="44">
                  <c:v>13415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839</c:v>
                </c:pt>
                <c:pt idx="55">
                  <c:v>87</c:v>
                </c:pt>
                <c:pt idx="56">
                  <c:v>40</c:v>
                </c:pt>
                <c:pt idx="57">
                  <c:v>0</c:v>
                </c:pt>
                <c:pt idx="58">
                  <c:v>35957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167</c:v>
                </c:pt>
                <c:pt idx="67">
                  <c:v>260</c:v>
                </c:pt>
                <c:pt idx="68">
                  <c:v>2344</c:v>
                </c:pt>
                <c:pt idx="69">
                  <c:v>2343</c:v>
                </c:pt>
                <c:pt idx="70">
                  <c:v>0</c:v>
                </c:pt>
                <c:pt idx="71">
                  <c:v>0</c:v>
                </c:pt>
                <c:pt idx="72">
                  <c:v>36040</c:v>
                </c:pt>
                <c:pt idx="73">
                  <c:v>6928</c:v>
                </c:pt>
                <c:pt idx="74">
                  <c:v>253998</c:v>
                </c:pt>
                <c:pt idx="75">
                  <c:v>682</c:v>
                </c:pt>
                <c:pt idx="76">
                  <c:v>1048</c:v>
                </c:pt>
                <c:pt idx="77">
                  <c:v>943</c:v>
                </c:pt>
                <c:pt idx="78">
                  <c:v>523193</c:v>
                </c:pt>
                <c:pt idx="79">
                  <c:v>185889</c:v>
                </c:pt>
                <c:pt idx="80">
                  <c:v>18659</c:v>
                </c:pt>
                <c:pt idx="81">
                  <c:v>185505</c:v>
                </c:pt>
                <c:pt idx="82">
                  <c:v>4618</c:v>
                </c:pt>
                <c:pt idx="83">
                  <c:v>20922607</c:v>
                </c:pt>
                <c:pt idx="84">
                  <c:v>680</c:v>
                </c:pt>
                <c:pt idx="85">
                  <c:v>2092490</c:v>
                </c:pt>
                <c:pt idx="86">
                  <c:v>684</c:v>
                </c:pt>
                <c:pt idx="87">
                  <c:v>64958</c:v>
                </c:pt>
                <c:pt idx="88">
                  <c:v>344565</c:v>
                </c:pt>
                <c:pt idx="89">
                  <c:v>9653</c:v>
                </c:pt>
                <c:pt idx="90">
                  <c:v>0</c:v>
                </c:pt>
                <c:pt idx="91">
                  <c:v>184473</c:v>
                </c:pt>
                <c:pt idx="92">
                  <c:v>184752</c:v>
                </c:pt>
                <c:pt idx="93">
                  <c:v>64950</c:v>
                </c:pt>
                <c:pt idx="94">
                  <c:v>185263</c:v>
                </c:pt>
                <c:pt idx="95">
                  <c:v>185237</c:v>
                </c:pt>
                <c:pt idx="96">
                  <c:v>1302104</c:v>
                </c:pt>
                <c:pt idx="97">
                  <c:v>29381</c:v>
                </c:pt>
                <c:pt idx="98">
                  <c:v>178009</c:v>
                </c:pt>
                <c:pt idx="99">
                  <c:v>178010</c:v>
                </c:pt>
                <c:pt idx="100">
                  <c:v>4302</c:v>
                </c:pt>
                <c:pt idx="101">
                  <c:v>4303</c:v>
                </c:pt>
                <c:pt idx="102">
                  <c:v>1480735</c:v>
                </c:pt>
                <c:pt idx="103">
                  <c:v>2092557</c:v>
                </c:pt>
                <c:pt idx="104">
                  <c:v>148453</c:v>
                </c:pt>
                <c:pt idx="105">
                  <c:v>181780</c:v>
                </c:pt>
                <c:pt idx="106">
                  <c:v>184474</c:v>
                </c:pt>
                <c:pt idx="107">
                  <c:v>184475</c:v>
                </c:pt>
                <c:pt idx="108">
                  <c:v>184579</c:v>
                </c:pt>
                <c:pt idx="109">
                  <c:v>1476149</c:v>
                </c:pt>
                <c:pt idx="110">
                  <c:v>1476143</c:v>
                </c:pt>
                <c:pt idx="111">
                  <c:v>1484908</c:v>
                </c:pt>
                <c:pt idx="112">
                  <c:v>28447</c:v>
                </c:pt>
                <c:pt idx="113">
                  <c:v>185169</c:v>
                </c:pt>
                <c:pt idx="114">
                  <c:v>184417</c:v>
                </c:pt>
                <c:pt idx="115">
                  <c:v>184523</c:v>
                </c:pt>
                <c:pt idx="116">
                  <c:v>184685</c:v>
                </c:pt>
                <c:pt idx="117">
                  <c:v>185392</c:v>
                </c:pt>
                <c:pt idx="118">
                  <c:v>184478</c:v>
                </c:pt>
                <c:pt idx="119">
                  <c:v>184671</c:v>
                </c:pt>
                <c:pt idx="120">
                  <c:v>766</c:v>
                </c:pt>
                <c:pt idx="121">
                  <c:v>29476</c:v>
                </c:pt>
                <c:pt idx="122">
                  <c:v>185413</c:v>
                </c:pt>
                <c:pt idx="123">
                  <c:v>54754</c:v>
                </c:pt>
                <c:pt idx="124">
                  <c:v>184662</c:v>
                </c:pt>
                <c:pt idx="125">
                  <c:v>4301</c:v>
                </c:pt>
                <c:pt idx="126">
                  <c:v>184844</c:v>
                </c:pt>
                <c:pt idx="127">
                  <c:v>1476376</c:v>
                </c:pt>
                <c:pt idx="128">
                  <c:v>184470</c:v>
                </c:pt>
                <c:pt idx="129">
                  <c:v>1477027</c:v>
                </c:pt>
                <c:pt idx="130">
                  <c:v>29491</c:v>
                </c:pt>
                <c:pt idx="131">
                  <c:v>1476262</c:v>
                </c:pt>
                <c:pt idx="132">
                  <c:v>1476237</c:v>
                </c:pt>
                <c:pt idx="133">
                  <c:v>29449</c:v>
                </c:pt>
                <c:pt idx="134">
                  <c:v>54</c:v>
                </c:pt>
                <c:pt idx="135">
                  <c:v>187722</c:v>
                </c:pt>
                <c:pt idx="136">
                  <c:v>9799</c:v>
                </c:pt>
                <c:pt idx="137">
                  <c:v>183</c:v>
                </c:pt>
                <c:pt idx="138">
                  <c:v>9990</c:v>
                </c:pt>
                <c:pt idx="139">
                  <c:v>806</c:v>
                </c:pt>
                <c:pt idx="140">
                  <c:v>805</c:v>
                </c:pt>
                <c:pt idx="141">
                  <c:v>21833</c:v>
                </c:pt>
                <c:pt idx="142">
                  <c:v>185893</c:v>
                </c:pt>
                <c:pt idx="143">
                  <c:v>448268</c:v>
                </c:pt>
                <c:pt idx="144">
                  <c:v>9647</c:v>
                </c:pt>
                <c:pt idx="145">
                  <c:v>185844</c:v>
                </c:pt>
                <c:pt idx="146">
                  <c:v>9988</c:v>
                </c:pt>
                <c:pt idx="147">
                  <c:v>178578</c:v>
                </c:pt>
                <c:pt idx="148">
                  <c:v>9823</c:v>
                </c:pt>
                <c:pt idx="149">
                  <c:v>804</c:v>
                </c:pt>
                <c:pt idx="150">
                  <c:v>110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2467</c:v>
                </c:pt>
                <c:pt idx="161">
                  <c:v>2467</c:v>
                </c:pt>
                <c:pt idx="162">
                  <c:v>17427</c:v>
                </c:pt>
                <c:pt idx="163">
                  <c:v>359</c:v>
                </c:pt>
                <c:pt idx="164">
                  <c:v>408</c:v>
                </c:pt>
                <c:pt idx="165">
                  <c:v>185966</c:v>
                </c:pt>
                <c:pt idx="166">
                  <c:v>1726880</c:v>
                </c:pt>
                <c:pt idx="167">
                  <c:v>185996</c:v>
                </c:pt>
                <c:pt idx="168">
                  <c:v>186004</c:v>
                </c:pt>
                <c:pt idx="169">
                  <c:v>186150</c:v>
                </c:pt>
                <c:pt idx="170">
                  <c:v>0</c:v>
                </c:pt>
                <c:pt idx="171">
                  <c:v>0</c:v>
                </c:pt>
                <c:pt idx="172">
                  <c:v>4436</c:v>
                </c:pt>
                <c:pt idx="173">
                  <c:v>4436</c:v>
                </c:pt>
                <c:pt idx="174">
                  <c:v>29864</c:v>
                </c:pt>
                <c:pt idx="175">
                  <c:v>42149</c:v>
                </c:pt>
                <c:pt idx="176">
                  <c:v>29858</c:v>
                </c:pt>
                <c:pt idx="177">
                  <c:v>0</c:v>
                </c:pt>
                <c:pt idx="178">
                  <c:v>3454</c:v>
                </c:pt>
                <c:pt idx="179">
                  <c:v>0</c:v>
                </c:pt>
                <c:pt idx="180">
                  <c:v>6</c:v>
                </c:pt>
                <c:pt idx="181">
                  <c:v>335</c:v>
                </c:pt>
                <c:pt idx="182">
                  <c:v>7</c:v>
                </c:pt>
                <c:pt idx="183">
                  <c:v>2</c:v>
                </c:pt>
                <c:pt idx="184">
                  <c:v>2026492</c:v>
                </c:pt>
                <c:pt idx="185">
                  <c:v>0</c:v>
                </c:pt>
                <c:pt idx="186">
                  <c:v>4433</c:v>
                </c:pt>
                <c:pt idx="187">
                  <c:v>1055</c:v>
                </c:pt>
                <c:pt idx="188">
                  <c:v>1620</c:v>
                </c:pt>
                <c:pt idx="189">
                  <c:v>463</c:v>
                </c:pt>
                <c:pt idx="190">
                  <c:v>8090</c:v>
                </c:pt>
                <c:pt idx="191">
                  <c:v>0</c:v>
                </c:pt>
                <c:pt idx="192">
                  <c:v>1300</c:v>
                </c:pt>
                <c:pt idx="193">
                  <c:v>1365</c:v>
                </c:pt>
                <c:pt idx="194">
                  <c:v>1298</c:v>
                </c:pt>
                <c:pt idx="195">
                  <c:v>685</c:v>
                </c:pt>
                <c:pt idx="196">
                  <c:v>191</c:v>
                </c:pt>
                <c:pt idx="197">
                  <c:v>685</c:v>
                </c:pt>
                <c:pt idx="198">
                  <c:v>651</c:v>
                </c:pt>
                <c:pt idx="199">
                  <c:v>1365</c:v>
                </c:pt>
                <c:pt idx="200">
                  <c:v>238756</c:v>
                </c:pt>
                <c:pt idx="201">
                  <c:v>0</c:v>
                </c:pt>
                <c:pt idx="202">
                  <c:v>118382</c:v>
                </c:pt>
                <c:pt idx="203">
                  <c:v>2720607</c:v>
                </c:pt>
                <c:pt idx="204">
                  <c:v>465</c:v>
                </c:pt>
                <c:pt idx="205">
                  <c:v>2720620</c:v>
                </c:pt>
                <c:pt idx="206">
                  <c:v>2720610</c:v>
                </c:pt>
                <c:pt idx="207">
                  <c:v>0</c:v>
                </c:pt>
                <c:pt idx="208">
                  <c:v>2720608</c:v>
                </c:pt>
                <c:pt idx="209">
                  <c:v>11083</c:v>
                </c:pt>
                <c:pt idx="210">
                  <c:v>17424</c:v>
                </c:pt>
                <c:pt idx="211">
                  <c:v>409</c:v>
                </c:pt>
                <c:pt idx="212">
                  <c:v>1253</c:v>
                </c:pt>
                <c:pt idx="213">
                  <c:v>20613</c:v>
                </c:pt>
                <c:pt idx="214">
                  <c:v>44680</c:v>
                </c:pt>
                <c:pt idx="215">
                  <c:v>2720611</c:v>
                </c:pt>
                <c:pt idx="216">
                  <c:v>2720616</c:v>
                </c:pt>
                <c:pt idx="217">
                  <c:v>2720619</c:v>
                </c:pt>
                <c:pt idx="218">
                  <c:v>44679</c:v>
                </c:pt>
                <c:pt idx="219">
                  <c:v>2720609</c:v>
                </c:pt>
                <c:pt idx="220">
                  <c:v>2720618</c:v>
                </c:pt>
                <c:pt idx="221">
                  <c:v>2720615</c:v>
                </c:pt>
                <c:pt idx="222">
                  <c:v>2720621</c:v>
                </c:pt>
                <c:pt idx="223">
                  <c:v>121</c:v>
                </c:pt>
                <c:pt idx="224">
                  <c:v>3328</c:v>
                </c:pt>
                <c:pt idx="225">
                  <c:v>3325</c:v>
                </c:pt>
                <c:pt idx="226">
                  <c:v>3326</c:v>
                </c:pt>
                <c:pt idx="227">
                  <c:v>3327</c:v>
                </c:pt>
                <c:pt idx="228">
                  <c:v>0</c:v>
                </c:pt>
                <c:pt idx="229">
                  <c:v>0</c:v>
                </c:pt>
                <c:pt idx="230">
                  <c:v>189</c:v>
                </c:pt>
                <c:pt idx="231">
                  <c:v>1251</c:v>
                </c:pt>
                <c:pt idx="232">
                  <c:v>1252</c:v>
                </c:pt>
                <c:pt idx="233">
                  <c:v>20252297</c:v>
                </c:pt>
                <c:pt idx="234">
                  <c:v>0</c:v>
                </c:pt>
                <c:pt idx="235">
                  <c:v>940</c:v>
                </c:pt>
                <c:pt idx="236">
                  <c:v>482</c:v>
                </c:pt>
                <c:pt idx="237">
                  <c:v>203</c:v>
                </c:pt>
                <c:pt idx="238">
                  <c:v>140</c:v>
                </c:pt>
                <c:pt idx="239">
                  <c:v>204</c:v>
                </c:pt>
                <c:pt idx="240">
                  <c:v>407</c:v>
                </c:pt>
                <c:pt idx="241">
                  <c:v>2644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91101</c:v>
                </c:pt>
                <c:pt idx="246">
                  <c:v>0</c:v>
                </c:pt>
                <c:pt idx="247">
                  <c:v>0</c:v>
                </c:pt>
                <c:pt idx="248">
                  <c:v>4438</c:v>
                </c:pt>
                <c:pt idx="249">
                  <c:v>4435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5667</c:v>
                </c:pt>
                <c:pt idx="259">
                  <c:v>5630</c:v>
                </c:pt>
                <c:pt idx="260">
                  <c:v>20875</c:v>
                </c:pt>
                <c:pt idx="261">
                  <c:v>143</c:v>
                </c:pt>
                <c:pt idx="262">
                  <c:v>1839</c:v>
                </c:pt>
                <c:pt idx="263">
                  <c:v>1837</c:v>
                </c:pt>
                <c:pt idx="264">
                  <c:v>1837</c:v>
                </c:pt>
                <c:pt idx="265">
                  <c:v>3329</c:v>
                </c:pt>
                <c:pt idx="266">
                  <c:v>3329</c:v>
                </c:pt>
                <c:pt idx="267">
                  <c:v>26</c:v>
                </c:pt>
                <c:pt idx="268">
                  <c:v>1831</c:v>
                </c:pt>
                <c:pt idx="269">
                  <c:v>1829</c:v>
                </c:pt>
                <c:pt idx="270">
                  <c:v>1830</c:v>
                </c:pt>
                <c:pt idx="271">
                  <c:v>1836</c:v>
                </c:pt>
                <c:pt idx="272">
                  <c:v>1835</c:v>
                </c:pt>
                <c:pt idx="273">
                  <c:v>1832</c:v>
                </c:pt>
                <c:pt idx="274">
                  <c:v>0</c:v>
                </c:pt>
                <c:pt idx="275">
                  <c:v>0</c:v>
                </c:pt>
                <c:pt idx="276">
                  <c:v>397</c:v>
                </c:pt>
                <c:pt idx="277">
                  <c:v>39801</c:v>
                </c:pt>
                <c:pt idx="278">
                  <c:v>0</c:v>
                </c:pt>
                <c:pt idx="279">
                  <c:v>39801</c:v>
                </c:pt>
                <c:pt idx="280">
                  <c:v>397</c:v>
                </c:pt>
                <c:pt idx="281">
                  <c:v>1489427</c:v>
                </c:pt>
                <c:pt idx="282">
                  <c:v>1488734</c:v>
                </c:pt>
                <c:pt idx="283">
                  <c:v>11082</c:v>
                </c:pt>
                <c:pt idx="284">
                  <c:v>5047</c:v>
                </c:pt>
                <c:pt idx="285">
                  <c:v>0</c:v>
                </c:pt>
                <c:pt idx="286">
                  <c:v>17425</c:v>
                </c:pt>
                <c:pt idx="287">
                  <c:v>11088</c:v>
                </c:pt>
                <c:pt idx="288">
                  <c:v>11088</c:v>
                </c:pt>
                <c:pt idx="289">
                  <c:v>11088</c:v>
                </c:pt>
                <c:pt idx="290">
                  <c:v>11088</c:v>
                </c:pt>
                <c:pt idx="291">
                  <c:v>17468</c:v>
                </c:pt>
                <c:pt idx="292">
                  <c:v>17650</c:v>
                </c:pt>
                <c:pt idx="293">
                  <c:v>17469</c:v>
                </c:pt>
                <c:pt idx="294">
                  <c:v>1834</c:v>
                </c:pt>
                <c:pt idx="295">
                  <c:v>1833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73460699</c:v>
                </c:pt>
                <c:pt idx="300">
                  <c:v>73643521</c:v>
                </c:pt>
                <c:pt idx="301">
                  <c:v>178857</c:v>
                </c:pt>
                <c:pt idx="302">
                  <c:v>178858</c:v>
                </c:pt>
                <c:pt idx="303">
                  <c:v>59</c:v>
                </c:pt>
                <c:pt idx="304">
                  <c:v>42216</c:v>
                </c:pt>
                <c:pt idx="305">
                  <c:v>2106462</c:v>
                </c:pt>
                <c:pt idx="306">
                  <c:v>0</c:v>
                </c:pt>
                <c:pt idx="307">
                  <c:v>0</c:v>
                </c:pt>
                <c:pt idx="308">
                  <c:v>933602384</c:v>
                </c:pt>
                <c:pt idx="309">
                  <c:v>0</c:v>
                </c:pt>
                <c:pt idx="310">
                  <c:v>1465</c:v>
                </c:pt>
                <c:pt idx="311">
                  <c:v>115586646</c:v>
                </c:pt>
                <c:pt idx="312">
                  <c:v>2108741</c:v>
                </c:pt>
                <c:pt idx="313">
                  <c:v>1895</c:v>
                </c:pt>
                <c:pt idx="314">
                  <c:v>0</c:v>
                </c:pt>
                <c:pt idx="315">
                  <c:v>178942</c:v>
                </c:pt>
                <c:pt idx="316">
                  <c:v>0</c:v>
                </c:pt>
                <c:pt idx="317">
                  <c:v>0</c:v>
                </c:pt>
                <c:pt idx="318">
                  <c:v>341</c:v>
                </c:pt>
                <c:pt idx="319">
                  <c:v>466</c:v>
                </c:pt>
                <c:pt idx="320">
                  <c:v>271</c:v>
                </c:pt>
                <c:pt idx="321">
                  <c:v>880750</c:v>
                </c:pt>
                <c:pt idx="322">
                  <c:v>104</c:v>
                </c:pt>
                <c:pt idx="323">
                  <c:v>866</c:v>
                </c:pt>
                <c:pt idx="324">
                  <c:v>2720603</c:v>
                </c:pt>
                <c:pt idx="325">
                  <c:v>0</c:v>
                </c:pt>
                <c:pt idx="326">
                  <c:v>897473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88</c:v>
                </c:pt>
                <c:pt idx="331">
                  <c:v>1877</c:v>
                </c:pt>
                <c:pt idx="332">
                  <c:v>41</c:v>
                </c:pt>
                <c:pt idx="333">
                  <c:v>185</c:v>
                </c:pt>
                <c:pt idx="334">
                  <c:v>79253</c:v>
                </c:pt>
                <c:pt idx="335">
                  <c:v>0</c:v>
                </c:pt>
                <c:pt idx="336">
                  <c:v>103</c:v>
                </c:pt>
                <c:pt idx="337">
                  <c:v>200</c:v>
                </c:pt>
                <c:pt idx="338">
                  <c:v>1422</c:v>
                </c:pt>
                <c:pt idx="339">
                  <c:v>67</c:v>
                </c:pt>
                <c:pt idx="340">
                  <c:v>68</c:v>
                </c:pt>
                <c:pt idx="341">
                  <c:v>5621</c:v>
                </c:pt>
                <c:pt idx="342">
                  <c:v>2158</c:v>
                </c:pt>
                <c:pt idx="343">
                  <c:v>2161</c:v>
                </c:pt>
                <c:pt idx="344">
                  <c:v>2162</c:v>
                </c:pt>
                <c:pt idx="345">
                  <c:v>2159</c:v>
                </c:pt>
                <c:pt idx="346">
                  <c:v>2163</c:v>
                </c:pt>
                <c:pt idx="347">
                  <c:v>2160</c:v>
                </c:pt>
                <c:pt idx="348">
                  <c:v>0</c:v>
                </c:pt>
                <c:pt idx="349">
                  <c:v>880748</c:v>
                </c:pt>
                <c:pt idx="350">
                  <c:v>1372</c:v>
                </c:pt>
                <c:pt idx="351">
                  <c:v>0</c:v>
                </c:pt>
                <c:pt idx="352">
                  <c:v>0</c:v>
                </c:pt>
                <c:pt idx="353">
                  <c:v>935248038</c:v>
                </c:pt>
                <c:pt idx="354">
                  <c:v>0</c:v>
                </c:pt>
                <c:pt idx="355">
                  <c:v>590</c:v>
                </c:pt>
                <c:pt idx="356">
                  <c:v>0</c:v>
                </c:pt>
                <c:pt idx="357">
                  <c:v>833</c:v>
                </c:pt>
                <c:pt idx="358">
                  <c:v>1657</c:v>
                </c:pt>
                <c:pt idx="359">
                  <c:v>0</c:v>
                </c:pt>
                <c:pt idx="360">
                  <c:v>6</c:v>
                </c:pt>
                <c:pt idx="361">
                  <c:v>225.82</c:v>
                </c:pt>
                <c:pt idx="362">
                  <c:v>73506982</c:v>
                </c:pt>
                <c:pt idx="363">
                  <c:v>73506311</c:v>
                </c:pt>
                <c:pt idx="364">
                  <c:v>184608767</c:v>
                </c:pt>
                <c:pt idx="365">
                  <c:v>0</c:v>
                </c:pt>
                <c:pt idx="366">
                  <c:v>0</c:v>
                </c:pt>
                <c:pt idx="367">
                  <c:v>62</c:v>
                </c:pt>
                <c:pt idx="368">
                  <c:v>193</c:v>
                </c:pt>
                <c:pt idx="369">
                  <c:v>1313</c:v>
                </c:pt>
                <c:pt idx="370">
                  <c:v>168</c:v>
                </c:pt>
                <c:pt idx="371">
                  <c:v>0</c:v>
                </c:pt>
                <c:pt idx="372">
                  <c:v>0</c:v>
                </c:pt>
                <c:pt idx="373">
                  <c:v>25</c:v>
                </c:pt>
                <c:pt idx="374">
                  <c:v>0</c:v>
                </c:pt>
                <c:pt idx="375">
                  <c:v>84</c:v>
                </c:pt>
                <c:pt idx="376">
                  <c:v>1037</c:v>
                </c:pt>
                <c:pt idx="377">
                  <c:v>3361</c:v>
                </c:pt>
                <c:pt idx="378">
                  <c:v>291</c:v>
                </c:pt>
                <c:pt idx="379">
                  <c:v>263</c:v>
                </c:pt>
                <c:pt idx="380">
                  <c:v>0</c:v>
                </c:pt>
                <c:pt idx="381">
                  <c:v>0</c:v>
                </c:pt>
                <c:pt idx="382">
                  <c:v>216</c:v>
                </c:pt>
                <c:pt idx="383">
                  <c:v>726</c:v>
                </c:pt>
                <c:pt idx="384">
                  <c:v>357</c:v>
                </c:pt>
                <c:pt idx="385">
                  <c:v>4743</c:v>
                </c:pt>
                <c:pt idx="386">
                  <c:v>203</c:v>
                </c:pt>
                <c:pt idx="387">
                  <c:v>1</c:v>
                </c:pt>
                <c:pt idx="388">
                  <c:v>100</c:v>
                </c:pt>
                <c:pt idx="389">
                  <c:v>2647</c:v>
                </c:pt>
                <c:pt idx="390">
                  <c:v>1021</c:v>
                </c:pt>
                <c:pt idx="391">
                  <c:v>236</c:v>
                </c:pt>
                <c:pt idx="392">
                  <c:v>217</c:v>
                </c:pt>
                <c:pt idx="393">
                  <c:v>88</c:v>
                </c:pt>
                <c:pt idx="394">
                  <c:v>628</c:v>
                </c:pt>
                <c:pt idx="395">
                  <c:v>231</c:v>
                </c:pt>
                <c:pt idx="396">
                  <c:v>11</c:v>
                </c:pt>
                <c:pt idx="397">
                  <c:v>954</c:v>
                </c:pt>
                <c:pt idx="398">
                  <c:v>334</c:v>
                </c:pt>
                <c:pt idx="399">
                  <c:v>470</c:v>
                </c:pt>
                <c:pt idx="400">
                  <c:v>1624</c:v>
                </c:pt>
                <c:pt idx="401">
                  <c:v>0</c:v>
                </c:pt>
                <c:pt idx="402">
                  <c:v>401</c:v>
                </c:pt>
                <c:pt idx="403">
                  <c:v>8148</c:v>
                </c:pt>
                <c:pt idx="404">
                  <c:v>944</c:v>
                </c:pt>
                <c:pt idx="405">
                  <c:v>0</c:v>
                </c:pt>
                <c:pt idx="406">
                  <c:v>149002211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169590</c:v>
                </c:pt>
                <c:pt idx="411">
                  <c:v>2782356</c:v>
                </c:pt>
                <c:pt idx="412">
                  <c:v>950</c:v>
                </c:pt>
                <c:pt idx="413">
                  <c:v>3</c:v>
                </c:pt>
                <c:pt idx="414">
                  <c:v>0</c:v>
                </c:pt>
                <c:pt idx="415">
                  <c:v>607</c:v>
                </c:pt>
                <c:pt idx="416">
                  <c:v>0</c:v>
                </c:pt>
                <c:pt idx="417">
                  <c:v>195</c:v>
                </c:pt>
                <c:pt idx="418">
                  <c:v>0</c:v>
                </c:pt>
                <c:pt idx="419">
                  <c:v>2383</c:v>
                </c:pt>
                <c:pt idx="420">
                  <c:v>2382</c:v>
                </c:pt>
                <c:pt idx="421">
                  <c:v>57</c:v>
                </c:pt>
                <c:pt idx="422">
                  <c:v>548</c:v>
                </c:pt>
                <c:pt idx="423">
                  <c:v>115</c:v>
                </c:pt>
                <c:pt idx="424">
                  <c:v>0</c:v>
                </c:pt>
                <c:pt idx="425">
                  <c:v>0</c:v>
                </c:pt>
                <c:pt idx="426">
                  <c:v>931518298</c:v>
                </c:pt>
                <c:pt idx="427">
                  <c:v>34</c:v>
                </c:pt>
                <c:pt idx="428">
                  <c:v>469</c:v>
                </c:pt>
                <c:pt idx="430">
                  <c:v>2498</c:v>
                </c:pt>
                <c:pt idx="431">
                  <c:v>0</c:v>
                </c:pt>
                <c:pt idx="432">
                  <c:v>2782354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349</c:v>
                </c:pt>
                <c:pt idx="437">
                  <c:v>116</c:v>
                </c:pt>
                <c:pt idx="438">
                  <c:v>5077</c:v>
                </c:pt>
                <c:pt idx="439">
                  <c:v>1069</c:v>
                </c:pt>
                <c:pt idx="440">
                  <c:v>11</c:v>
                </c:pt>
                <c:pt idx="441">
                  <c:v>258</c:v>
                </c:pt>
                <c:pt idx="442">
                  <c:v>79253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2164</c:v>
                </c:pt>
                <c:pt idx="448">
                  <c:v>20262334</c:v>
                </c:pt>
                <c:pt idx="449">
                  <c:v>2157</c:v>
                </c:pt>
                <c:pt idx="450">
                  <c:v>2196</c:v>
                </c:pt>
                <c:pt idx="451">
                  <c:v>2194</c:v>
                </c:pt>
                <c:pt idx="452">
                  <c:v>2195</c:v>
                </c:pt>
                <c:pt idx="453">
                  <c:v>2193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4735</c:v>
                </c:pt>
                <c:pt idx="458">
                  <c:v>1216</c:v>
                </c:pt>
                <c:pt idx="459">
                  <c:v>264</c:v>
                </c:pt>
                <c:pt idx="460">
                  <c:v>3415</c:v>
                </c:pt>
                <c:pt idx="461">
                  <c:v>6956</c:v>
                </c:pt>
                <c:pt idx="462">
                  <c:v>0</c:v>
                </c:pt>
                <c:pt idx="463">
                  <c:v>0</c:v>
                </c:pt>
                <c:pt idx="464">
                  <c:v>4457</c:v>
                </c:pt>
                <c:pt idx="465">
                  <c:v>4460</c:v>
                </c:pt>
                <c:pt idx="466">
                  <c:v>4458</c:v>
                </c:pt>
                <c:pt idx="467">
                  <c:v>2199</c:v>
                </c:pt>
                <c:pt idx="468">
                  <c:v>2205</c:v>
                </c:pt>
                <c:pt idx="469">
                  <c:v>2198</c:v>
                </c:pt>
                <c:pt idx="470">
                  <c:v>2201</c:v>
                </c:pt>
                <c:pt idx="471">
                  <c:v>2783112</c:v>
                </c:pt>
                <c:pt idx="472">
                  <c:v>2782381</c:v>
                </c:pt>
                <c:pt idx="473">
                  <c:v>2782383</c:v>
                </c:pt>
                <c:pt idx="474">
                  <c:v>2782379</c:v>
                </c:pt>
                <c:pt idx="475">
                  <c:v>2782380</c:v>
                </c:pt>
                <c:pt idx="476">
                  <c:v>0</c:v>
                </c:pt>
                <c:pt idx="477">
                  <c:v>471</c:v>
                </c:pt>
                <c:pt idx="478">
                  <c:v>2203</c:v>
                </c:pt>
                <c:pt idx="479">
                  <c:v>2200</c:v>
                </c:pt>
                <c:pt idx="480">
                  <c:v>0</c:v>
                </c:pt>
                <c:pt idx="481">
                  <c:v>4454</c:v>
                </c:pt>
                <c:pt idx="482">
                  <c:v>4453</c:v>
                </c:pt>
                <c:pt idx="483">
                  <c:v>4454</c:v>
                </c:pt>
                <c:pt idx="484">
                  <c:v>178858</c:v>
                </c:pt>
                <c:pt idx="485">
                  <c:v>122</c:v>
                </c:pt>
                <c:pt idx="486">
                  <c:v>42263</c:v>
                </c:pt>
                <c:pt idx="487">
                  <c:v>20262334</c:v>
                </c:pt>
                <c:pt idx="488">
                  <c:v>70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2025909</c:v>
                </c:pt>
                <c:pt idx="496">
                  <c:v>4995</c:v>
                </c:pt>
                <c:pt idx="497">
                  <c:v>4888</c:v>
                </c:pt>
                <c:pt idx="498">
                  <c:v>0</c:v>
                </c:pt>
                <c:pt idx="499">
                  <c:v>750</c:v>
                </c:pt>
                <c:pt idx="500">
                  <c:v>573</c:v>
                </c:pt>
                <c:pt idx="501">
                  <c:v>63</c:v>
                </c:pt>
                <c:pt idx="502">
                  <c:v>73604364</c:v>
                </c:pt>
                <c:pt idx="503">
                  <c:v>352</c:v>
                </c:pt>
                <c:pt idx="504">
                  <c:v>0</c:v>
                </c:pt>
                <c:pt idx="505">
                  <c:v>7346060</c:v>
                </c:pt>
                <c:pt idx="506">
                  <c:v>44948</c:v>
                </c:pt>
                <c:pt idx="507">
                  <c:v>17469</c:v>
                </c:pt>
                <c:pt idx="508">
                  <c:v>0</c:v>
                </c:pt>
                <c:pt idx="509">
                  <c:v>11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935250262</c:v>
                </c:pt>
                <c:pt idx="515">
                  <c:v>935250263</c:v>
                </c:pt>
                <c:pt idx="516">
                  <c:v>935250261</c:v>
                </c:pt>
                <c:pt idx="517">
                  <c:v>935250308</c:v>
                </c:pt>
                <c:pt idx="518">
                  <c:v>935369313</c:v>
                </c:pt>
                <c:pt idx="519">
                  <c:v>17467</c:v>
                </c:pt>
                <c:pt idx="520">
                  <c:v>72</c:v>
                </c:pt>
                <c:pt idx="521">
                  <c:v>105</c:v>
                </c:pt>
                <c:pt idx="522">
                  <c:v>527441</c:v>
                </c:pt>
                <c:pt idx="523">
                  <c:v>187445</c:v>
                </c:pt>
                <c:pt idx="524">
                  <c:v>5368</c:v>
                </c:pt>
                <c:pt idx="525">
                  <c:v>157</c:v>
                </c:pt>
                <c:pt idx="526">
                  <c:v>352319</c:v>
                </c:pt>
                <c:pt idx="527">
                  <c:v>875</c:v>
                </c:pt>
                <c:pt idx="528">
                  <c:v>791</c:v>
                </c:pt>
                <c:pt idx="529">
                  <c:v>792</c:v>
                </c:pt>
                <c:pt idx="530">
                  <c:v>4461</c:v>
                </c:pt>
                <c:pt idx="531">
                  <c:v>4462</c:v>
                </c:pt>
                <c:pt idx="532">
                  <c:v>4463</c:v>
                </c:pt>
                <c:pt idx="533">
                  <c:v>2782382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366</c:v>
                </c:pt>
                <c:pt idx="538">
                  <c:v>366</c:v>
                </c:pt>
                <c:pt idx="539">
                  <c:v>366</c:v>
                </c:pt>
                <c:pt idx="540">
                  <c:v>0</c:v>
                </c:pt>
                <c:pt idx="541">
                  <c:v>540500</c:v>
                </c:pt>
                <c:pt idx="542">
                  <c:v>30409</c:v>
                </c:pt>
                <c:pt idx="543">
                  <c:v>572</c:v>
                </c:pt>
                <c:pt idx="544">
                  <c:v>0</c:v>
                </c:pt>
                <c:pt idx="545">
                  <c:v>4509</c:v>
                </c:pt>
                <c:pt idx="546">
                  <c:v>44943</c:v>
                </c:pt>
                <c:pt idx="547">
                  <c:v>2496</c:v>
                </c:pt>
                <c:pt idx="548">
                  <c:v>2497</c:v>
                </c:pt>
                <c:pt idx="549">
                  <c:v>0</c:v>
                </c:pt>
                <c:pt idx="550">
                  <c:v>0</c:v>
                </c:pt>
                <c:pt idx="551">
                  <c:v>367</c:v>
                </c:pt>
                <c:pt idx="552">
                  <c:v>729</c:v>
                </c:pt>
                <c:pt idx="553">
                  <c:v>0</c:v>
                </c:pt>
                <c:pt idx="554">
                  <c:v>703</c:v>
                </c:pt>
                <c:pt idx="555">
                  <c:v>5624</c:v>
                </c:pt>
                <c:pt idx="556">
                  <c:v>278287</c:v>
                </c:pt>
                <c:pt idx="557">
                  <c:v>0</c:v>
                </c:pt>
                <c:pt idx="558">
                  <c:v>0</c:v>
                </c:pt>
                <c:pt idx="559">
                  <c:v>22300</c:v>
                </c:pt>
                <c:pt idx="560">
                  <c:v>2783648</c:v>
                </c:pt>
                <c:pt idx="561">
                  <c:v>1</c:v>
                </c:pt>
                <c:pt idx="562">
                  <c:v>2782392</c:v>
                </c:pt>
                <c:pt idx="563">
                  <c:v>2782390</c:v>
                </c:pt>
                <c:pt idx="564">
                  <c:v>0</c:v>
                </c:pt>
                <c:pt idx="565">
                  <c:v>2782389</c:v>
                </c:pt>
                <c:pt idx="566">
                  <c:v>2782389</c:v>
                </c:pt>
                <c:pt idx="567">
                  <c:v>2782385</c:v>
                </c:pt>
                <c:pt idx="568">
                  <c:v>2782391</c:v>
                </c:pt>
                <c:pt idx="569">
                  <c:v>2782388</c:v>
                </c:pt>
                <c:pt idx="570">
                  <c:v>941177315</c:v>
                </c:pt>
                <c:pt idx="571">
                  <c:v>0</c:v>
                </c:pt>
                <c:pt idx="572">
                  <c:v>197</c:v>
                </c:pt>
                <c:pt idx="573">
                  <c:v>192</c:v>
                </c:pt>
                <c:pt idx="574">
                  <c:v>196</c:v>
                </c:pt>
                <c:pt idx="575">
                  <c:v>1322</c:v>
                </c:pt>
                <c:pt idx="576">
                  <c:v>0</c:v>
                </c:pt>
                <c:pt idx="579">
                  <c:v>44944</c:v>
                </c:pt>
                <c:pt idx="580">
                  <c:v>0</c:v>
                </c:pt>
                <c:pt idx="581">
                  <c:v>91833</c:v>
                </c:pt>
                <c:pt idx="582">
                  <c:v>119015</c:v>
                </c:pt>
                <c:pt idx="583">
                  <c:v>365</c:v>
                </c:pt>
                <c:pt idx="584">
                  <c:v>26</c:v>
                </c:pt>
                <c:pt idx="585">
                  <c:v>7739</c:v>
                </c:pt>
                <c:pt idx="586">
                  <c:v>0</c:v>
                </c:pt>
                <c:pt idx="587">
                  <c:v>5610</c:v>
                </c:pt>
                <c:pt idx="588">
                  <c:v>5609</c:v>
                </c:pt>
                <c:pt idx="589">
                  <c:v>26</c:v>
                </c:pt>
                <c:pt idx="590">
                  <c:v>925940</c:v>
                </c:pt>
                <c:pt idx="591">
                  <c:v>0</c:v>
                </c:pt>
                <c:pt idx="592">
                  <c:v>1872</c:v>
                </c:pt>
                <c:pt idx="593">
                  <c:v>17466</c:v>
                </c:pt>
                <c:pt idx="595">
                  <c:v>2796</c:v>
                </c:pt>
                <c:pt idx="596">
                  <c:v>849</c:v>
                </c:pt>
                <c:pt idx="597">
                  <c:v>5607</c:v>
                </c:pt>
                <c:pt idx="598">
                  <c:v>0</c:v>
                </c:pt>
                <c:pt idx="599">
                  <c:v>5608</c:v>
                </c:pt>
                <c:pt idx="600">
                  <c:v>766</c:v>
                </c:pt>
                <c:pt idx="601">
                  <c:v>0</c:v>
                </c:pt>
                <c:pt idx="602">
                  <c:v>5606</c:v>
                </c:pt>
                <c:pt idx="603">
                  <c:v>36357</c:v>
                </c:pt>
                <c:pt idx="604">
                  <c:v>11599</c:v>
                </c:pt>
                <c:pt idx="605">
                  <c:v>185</c:v>
                </c:pt>
                <c:pt idx="606">
                  <c:v>0</c:v>
                </c:pt>
                <c:pt idx="607">
                  <c:v>207</c:v>
                </c:pt>
                <c:pt idx="608">
                  <c:v>548</c:v>
                </c:pt>
                <c:pt idx="609">
                  <c:v>57</c:v>
                </c:pt>
                <c:pt idx="610">
                  <c:v>2797</c:v>
                </c:pt>
                <c:pt idx="611">
                  <c:v>106</c:v>
                </c:pt>
                <c:pt idx="612">
                  <c:v>3410</c:v>
                </c:pt>
                <c:pt idx="613">
                  <c:v>0</c:v>
                </c:pt>
                <c:pt idx="614">
                  <c:v>11590</c:v>
                </c:pt>
                <c:pt idx="615">
                  <c:v>17896</c:v>
                </c:pt>
                <c:pt idx="616">
                  <c:v>5608</c:v>
                </c:pt>
                <c:pt idx="617">
                  <c:v>1258</c:v>
                </c:pt>
                <c:pt idx="618">
                  <c:v>1259</c:v>
                </c:pt>
                <c:pt idx="619">
                  <c:v>1257</c:v>
                </c:pt>
                <c:pt idx="620">
                  <c:v>8127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5373</c:v>
                </c:pt>
                <c:pt idx="629">
                  <c:v>1675</c:v>
                </c:pt>
                <c:pt idx="630">
                  <c:v>841</c:v>
                </c:pt>
                <c:pt idx="631">
                  <c:v>294</c:v>
                </c:pt>
                <c:pt idx="632">
                  <c:v>10</c:v>
                </c:pt>
                <c:pt idx="633">
                  <c:v>634</c:v>
                </c:pt>
                <c:pt idx="634">
                  <c:v>73</c:v>
                </c:pt>
                <c:pt idx="635">
                  <c:v>241</c:v>
                </c:pt>
                <c:pt idx="636">
                  <c:v>732</c:v>
                </c:pt>
                <c:pt idx="637">
                  <c:v>606</c:v>
                </c:pt>
                <c:pt idx="638">
                  <c:v>171</c:v>
                </c:pt>
                <c:pt idx="639">
                  <c:v>27</c:v>
                </c:pt>
                <c:pt idx="640">
                  <c:v>3405</c:v>
                </c:pt>
                <c:pt idx="641">
                  <c:v>2657</c:v>
                </c:pt>
                <c:pt idx="642">
                  <c:v>88</c:v>
                </c:pt>
                <c:pt idx="643">
                  <c:v>957</c:v>
                </c:pt>
                <c:pt idx="644">
                  <c:v>357</c:v>
                </c:pt>
                <c:pt idx="645">
                  <c:v>1049</c:v>
                </c:pt>
                <c:pt idx="646">
                  <c:v>19</c:v>
                </c:pt>
                <c:pt idx="647">
                  <c:v>218</c:v>
                </c:pt>
                <c:pt idx="648">
                  <c:v>1380</c:v>
                </c:pt>
                <c:pt idx="649">
                  <c:v>472</c:v>
                </c:pt>
                <c:pt idx="650">
                  <c:v>116</c:v>
                </c:pt>
                <c:pt idx="651">
                  <c:v>1632</c:v>
                </c:pt>
                <c:pt idx="652">
                  <c:v>1878</c:v>
                </c:pt>
                <c:pt idx="653">
                  <c:v>1877</c:v>
                </c:pt>
                <c:pt idx="654">
                  <c:v>190609</c:v>
                </c:pt>
                <c:pt idx="655">
                  <c:v>190609</c:v>
                </c:pt>
                <c:pt idx="656">
                  <c:v>11591</c:v>
                </c:pt>
                <c:pt idx="657">
                  <c:v>969</c:v>
                </c:pt>
                <c:pt idx="658">
                  <c:v>242508</c:v>
                </c:pt>
                <c:pt idx="659">
                  <c:v>1879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1411</c:v>
                </c:pt>
                <c:pt idx="664">
                  <c:v>0</c:v>
                </c:pt>
                <c:pt idx="665">
                  <c:v>491</c:v>
                </c:pt>
                <c:pt idx="666">
                  <c:v>0</c:v>
                </c:pt>
                <c:pt idx="667">
                  <c:v>2407</c:v>
                </c:pt>
                <c:pt idx="668">
                  <c:v>73506982</c:v>
                </c:pt>
                <c:pt idx="669">
                  <c:v>73502960</c:v>
                </c:pt>
                <c:pt idx="670">
                  <c:v>73506311</c:v>
                </c:pt>
                <c:pt idx="671">
                  <c:v>17542</c:v>
                </c:pt>
                <c:pt idx="672">
                  <c:v>0</c:v>
                </c:pt>
                <c:pt idx="673">
                  <c:v>233</c:v>
                </c:pt>
                <c:pt idx="674">
                  <c:v>119</c:v>
                </c:pt>
                <c:pt idx="675">
                  <c:v>26</c:v>
                </c:pt>
                <c:pt idx="676">
                  <c:v>1042</c:v>
                </c:pt>
                <c:pt idx="677">
                  <c:v>0</c:v>
                </c:pt>
                <c:pt idx="678">
                  <c:v>0</c:v>
                </c:pt>
                <c:pt idx="679">
                  <c:v>1025</c:v>
                </c:pt>
                <c:pt idx="680">
                  <c:v>90</c:v>
                </c:pt>
                <c:pt idx="681">
                  <c:v>0</c:v>
                </c:pt>
                <c:pt idx="682">
                  <c:v>476</c:v>
                </c:pt>
                <c:pt idx="683">
                  <c:v>0</c:v>
                </c:pt>
                <c:pt idx="684">
                  <c:v>184608767</c:v>
                </c:pt>
                <c:pt idx="685">
                  <c:v>11596</c:v>
                </c:pt>
                <c:pt idx="686">
                  <c:v>11596</c:v>
                </c:pt>
                <c:pt idx="687">
                  <c:v>11596</c:v>
                </c:pt>
                <c:pt idx="688">
                  <c:v>11596</c:v>
                </c:pt>
                <c:pt idx="689">
                  <c:v>119666</c:v>
                </c:pt>
                <c:pt idx="690">
                  <c:v>0</c:v>
                </c:pt>
                <c:pt idx="691">
                  <c:v>935368008</c:v>
                </c:pt>
                <c:pt idx="692" formatCode="m/d/yyyy">
                  <c:v>935248070</c:v>
                </c:pt>
                <c:pt idx="693">
                  <c:v>2388</c:v>
                </c:pt>
                <c:pt idx="694">
                  <c:v>1845</c:v>
                </c:pt>
                <c:pt idx="695">
                  <c:v>1843</c:v>
                </c:pt>
                <c:pt idx="696">
                  <c:v>1844</c:v>
                </c:pt>
                <c:pt idx="697">
                  <c:v>1846</c:v>
                </c:pt>
                <c:pt idx="698">
                  <c:v>3336</c:v>
                </c:pt>
                <c:pt idx="699">
                  <c:v>3337</c:v>
                </c:pt>
                <c:pt idx="700">
                  <c:v>3338</c:v>
                </c:pt>
                <c:pt idx="701">
                  <c:v>3339</c:v>
                </c:pt>
                <c:pt idx="702">
                  <c:v>19</c:v>
                </c:pt>
                <c:pt idx="703">
                  <c:v>1850</c:v>
                </c:pt>
                <c:pt idx="704">
                  <c:v>19</c:v>
                </c:pt>
                <c:pt idx="705">
                  <c:v>478</c:v>
                </c:pt>
                <c:pt idx="706">
                  <c:v>7</c:v>
                </c:pt>
                <c:pt idx="707">
                  <c:v>1849</c:v>
                </c:pt>
                <c:pt idx="708">
                  <c:v>1847</c:v>
                </c:pt>
                <c:pt idx="709">
                  <c:v>0</c:v>
                </c:pt>
                <c:pt idx="710">
                  <c:v>0</c:v>
                </c:pt>
                <c:pt idx="711">
                  <c:v>222</c:v>
                </c:pt>
                <c:pt idx="712">
                  <c:v>0</c:v>
                </c:pt>
                <c:pt idx="713">
                  <c:v>90</c:v>
                </c:pt>
                <c:pt idx="714">
                  <c:v>2</c:v>
                </c:pt>
                <c:pt idx="715">
                  <c:v>2797105</c:v>
                </c:pt>
                <c:pt idx="716">
                  <c:v>2796375</c:v>
                </c:pt>
                <c:pt idx="717">
                  <c:v>2796373</c:v>
                </c:pt>
                <c:pt idx="718">
                  <c:v>2796377</c:v>
                </c:pt>
                <c:pt idx="719">
                  <c:v>2796376</c:v>
                </c:pt>
                <c:pt idx="720">
                  <c:v>477</c:v>
                </c:pt>
                <c:pt idx="721">
                  <c:v>1848</c:v>
                </c:pt>
                <c:pt idx="722">
                  <c:v>2796345</c:v>
                </c:pt>
                <c:pt idx="723">
                  <c:v>1324</c:v>
                </c:pt>
                <c:pt idx="724">
                  <c:v>17906</c:v>
                </c:pt>
                <c:pt idx="725">
                  <c:v>91916</c:v>
                </c:pt>
                <c:pt idx="726">
                  <c:v>102</c:v>
                </c:pt>
                <c:pt idx="727">
                  <c:v>0</c:v>
                </c:pt>
                <c:pt idx="728">
                  <c:v>2411</c:v>
                </c:pt>
                <c:pt idx="729">
                  <c:v>2409</c:v>
                </c:pt>
                <c:pt idx="730">
                  <c:v>475</c:v>
                </c:pt>
                <c:pt idx="731">
                  <c:v>0</c:v>
                </c:pt>
                <c:pt idx="732">
                  <c:v>0</c:v>
                </c:pt>
                <c:pt idx="733">
                  <c:v>942953898</c:v>
                </c:pt>
                <c:pt idx="734">
                  <c:v>2793</c:v>
                </c:pt>
                <c:pt idx="735">
                  <c:v>0</c:v>
                </c:pt>
                <c:pt idx="736">
                  <c:v>412</c:v>
                </c:pt>
                <c:pt idx="737">
                  <c:v>0</c:v>
                </c:pt>
                <c:pt idx="738">
                  <c:v>942946546</c:v>
                </c:pt>
                <c:pt idx="739">
                  <c:v>943142618</c:v>
                </c:pt>
                <c:pt idx="740">
                  <c:v>942946589</c:v>
                </c:pt>
                <c:pt idx="741">
                  <c:v>9085</c:v>
                </c:pt>
                <c:pt idx="742">
                  <c:v>199</c:v>
                </c:pt>
                <c:pt idx="743">
                  <c:v>198</c:v>
                </c:pt>
                <c:pt idx="744">
                  <c:v>17515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5108</c:v>
                </c:pt>
                <c:pt idx="751">
                  <c:v>5578</c:v>
                </c:pt>
                <c:pt idx="752">
                  <c:v>0</c:v>
                </c:pt>
                <c:pt idx="753">
                  <c:v>1028</c:v>
                </c:pt>
                <c:pt idx="754">
                  <c:v>2417</c:v>
                </c:pt>
                <c:pt idx="755">
                  <c:v>2261</c:v>
                </c:pt>
                <c:pt idx="756">
                  <c:v>2259</c:v>
                </c:pt>
                <c:pt idx="757">
                  <c:v>2260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2272</c:v>
                </c:pt>
                <c:pt idx="764">
                  <c:v>342</c:v>
                </c:pt>
                <c:pt idx="765">
                  <c:v>2</c:v>
                </c:pt>
                <c:pt idx="766">
                  <c:v>196</c:v>
                </c:pt>
                <c:pt idx="767">
                  <c:v>210</c:v>
                </c:pt>
                <c:pt idx="768">
                  <c:v>0</c:v>
                </c:pt>
                <c:pt idx="769">
                  <c:v>0</c:v>
                </c:pt>
                <c:pt idx="770">
                  <c:v>664</c:v>
                </c:pt>
                <c:pt idx="771">
                  <c:v>45580</c:v>
                </c:pt>
                <c:pt idx="772">
                  <c:v>1027</c:v>
                </c:pt>
                <c:pt idx="773">
                  <c:v>0</c:v>
                </c:pt>
                <c:pt idx="774">
                  <c:v>13620</c:v>
                </c:pt>
                <c:pt idx="775">
                  <c:v>2534</c:v>
                </c:pt>
                <c:pt idx="776">
                  <c:v>2535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1410</c:v>
                </c:pt>
                <c:pt idx="781">
                  <c:v>0</c:v>
                </c:pt>
                <c:pt idx="782">
                  <c:v>1841</c:v>
                </c:pt>
                <c:pt idx="783">
                  <c:v>13533</c:v>
                </c:pt>
                <c:pt idx="784">
                  <c:v>13621</c:v>
                </c:pt>
                <c:pt idx="785">
                  <c:v>1841</c:v>
                </c:pt>
                <c:pt idx="786">
                  <c:v>6984</c:v>
                </c:pt>
                <c:pt idx="787">
                  <c:v>6982</c:v>
                </c:pt>
                <c:pt idx="788">
                  <c:v>169</c:v>
                </c:pt>
                <c:pt idx="789">
                  <c:v>2262</c:v>
                </c:pt>
                <c:pt idx="790">
                  <c:v>2264</c:v>
                </c:pt>
                <c:pt idx="791">
                  <c:v>2265</c:v>
                </c:pt>
                <c:pt idx="792">
                  <c:v>2269</c:v>
                </c:pt>
                <c:pt idx="793">
                  <c:v>2271</c:v>
                </c:pt>
                <c:pt idx="794">
                  <c:v>36102</c:v>
                </c:pt>
                <c:pt idx="795">
                  <c:v>1842</c:v>
                </c:pt>
                <c:pt idx="796">
                  <c:v>1842</c:v>
                </c:pt>
                <c:pt idx="797">
                  <c:v>75</c:v>
                </c:pt>
                <c:pt idx="798">
                  <c:v>0</c:v>
                </c:pt>
                <c:pt idx="799">
                  <c:v>0</c:v>
                </c:pt>
                <c:pt idx="800">
                  <c:v>4775</c:v>
                </c:pt>
                <c:pt idx="801">
                  <c:v>1633</c:v>
                </c:pt>
                <c:pt idx="802">
                  <c:v>0</c:v>
                </c:pt>
                <c:pt idx="803">
                  <c:v>13531</c:v>
                </c:pt>
                <c:pt idx="804">
                  <c:v>13619</c:v>
                </c:pt>
                <c:pt idx="805">
                  <c:v>191</c:v>
                </c:pt>
                <c:pt idx="806">
                  <c:v>89</c:v>
                </c:pt>
                <c:pt idx="807">
                  <c:v>908</c:v>
                </c:pt>
                <c:pt idx="808">
                  <c:v>156</c:v>
                </c:pt>
                <c:pt idx="809">
                  <c:v>157</c:v>
                </c:pt>
                <c:pt idx="810">
                  <c:v>42</c:v>
                </c:pt>
                <c:pt idx="811">
                  <c:v>1026</c:v>
                </c:pt>
                <c:pt idx="812">
                  <c:v>1026</c:v>
                </c:pt>
                <c:pt idx="813">
                  <c:v>1026</c:v>
                </c:pt>
                <c:pt idx="814">
                  <c:v>1026</c:v>
                </c:pt>
                <c:pt idx="815">
                  <c:v>1026</c:v>
                </c:pt>
                <c:pt idx="816">
                  <c:v>11449</c:v>
                </c:pt>
                <c:pt idx="817">
                  <c:v>200</c:v>
                </c:pt>
                <c:pt idx="818">
                  <c:v>1904</c:v>
                </c:pt>
                <c:pt idx="819">
                  <c:v>2300</c:v>
                </c:pt>
                <c:pt idx="820">
                  <c:v>2298</c:v>
                </c:pt>
                <c:pt idx="821">
                  <c:v>2267</c:v>
                </c:pt>
                <c:pt idx="822">
                  <c:v>942919856</c:v>
                </c:pt>
                <c:pt idx="823">
                  <c:v>942919853</c:v>
                </c:pt>
                <c:pt idx="824">
                  <c:v>942919854</c:v>
                </c:pt>
                <c:pt idx="825">
                  <c:v>942919855</c:v>
                </c:pt>
                <c:pt idx="826">
                  <c:v>942919870</c:v>
                </c:pt>
                <c:pt idx="827">
                  <c:v>1423</c:v>
                </c:pt>
                <c:pt idx="828">
                  <c:v>5628</c:v>
                </c:pt>
                <c:pt idx="829">
                  <c:v>0</c:v>
                </c:pt>
                <c:pt idx="830">
                  <c:v>219009</c:v>
                </c:pt>
                <c:pt idx="831">
                  <c:v>17543</c:v>
                </c:pt>
                <c:pt idx="832">
                  <c:v>1078</c:v>
                </c:pt>
                <c:pt idx="833">
                  <c:v>739</c:v>
                </c:pt>
                <c:pt idx="834">
                  <c:v>0</c:v>
                </c:pt>
                <c:pt idx="835">
                  <c:v>942946544</c:v>
                </c:pt>
                <c:pt idx="836">
                  <c:v>942946587</c:v>
                </c:pt>
                <c:pt idx="837">
                  <c:v>65</c:v>
                </c:pt>
                <c:pt idx="838">
                  <c:v>4509</c:v>
                </c:pt>
                <c:pt idx="839">
                  <c:v>4498</c:v>
                </c:pt>
                <c:pt idx="840">
                  <c:v>4499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4484</c:v>
                </c:pt>
                <c:pt idx="846">
                  <c:v>4485</c:v>
                </c:pt>
                <c:pt idx="847">
                  <c:v>4495</c:v>
                </c:pt>
                <c:pt idx="848">
                  <c:v>4489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1910</c:v>
                </c:pt>
                <c:pt idx="854">
                  <c:v>35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2674</c:v>
                </c:pt>
                <c:pt idx="860">
                  <c:v>2675</c:v>
                </c:pt>
                <c:pt idx="861">
                  <c:v>0</c:v>
                </c:pt>
                <c:pt idx="862">
                  <c:v>2307</c:v>
                </c:pt>
                <c:pt idx="863">
                  <c:v>2304</c:v>
                </c:pt>
                <c:pt idx="864">
                  <c:v>2305</c:v>
                </c:pt>
                <c:pt idx="865">
                  <c:v>2303</c:v>
                </c:pt>
                <c:pt idx="866">
                  <c:v>2305</c:v>
                </c:pt>
                <c:pt idx="867">
                  <c:v>11916</c:v>
                </c:pt>
                <c:pt idx="868">
                  <c:v>16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121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243246</c:v>
                </c:pt>
                <c:pt idx="878">
                  <c:v>243206</c:v>
                </c:pt>
                <c:pt idx="879">
                  <c:v>1024</c:v>
                </c:pt>
                <c:pt idx="880">
                  <c:v>5703</c:v>
                </c:pt>
                <c:pt idx="881">
                  <c:v>0</c:v>
                </c:pt>
                <c:pt idx="882">
                  <c:v>2270</c:v>
                </c:pt>
                <c:pt idx="883">
                  <c:v>0</c:v>
                </c:pt>
                <c:pt idx="884">
                  <c:v>11915</c:v>
                </c:pt>
                <c:pt idx="885">
                  <c:v>3656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268</c:v>
                </c:pt>
                <c:pt idx="893">
                  <c:v>704</c:v>
                </c:pt>
                <c:pt idx="894">
                  <c:v>14</c:v>
                </c:pt>
                <c:pt idx="895">
                  <c:v>3478</c:v>
                </c:pt>
                <c:pt idx="896">
                  <c:v>243207</c:v>
                </c:pt>
                <c:pt idx="897">
                  <c:v>0</c:v>
                </c:pt>
                <c:pt idx="898">
                  <c:v>11920</c:v>
                </c:pt>
                <c:pt idx="899">
                  <c:v>11920</c:v>
                </c:pt>
                <c:pt idx="900">
                  <c:v>11920</c:v>
                </c:pt>
                <c:pt idx="901">
                  <c:v>11920</c:v>
                </c:pt>
                <c:pt idx="902">
                  <c:v>3</c:v>
                </c:pt>
                <c:pt idx="903">
                  <c:v>2165</c:v>
                </c:pt>
                <c:pt idx="904">
                  <c:v>2310</c:v>
                </c:pt>
                <c:pt idx="905">
                  <c:v>2026934</c:v>
                </c:pt>
                <c:pt idx="906">
                  <c:v>4500</c:v>
                </c:pt>
                <c:pt idx="907">
                  <c:v>4501</c:v>
                </c:pt>
                <c:pt idx="908">
                  <c:v>4502</c:v>
                </c:pt>
                <c:pt idx="909">
                  <c:v>333</c:v>
                </c:pt>
                <c:pt idx="910">
                  <c:v>1637</c:v>
                </c:pt>
                <c:pt idx="911">
                  <c:v>2574</c:v>
                </c:pt>
                <c:pt idx="912">
                  <c:v>2572</c:v>
                </c:pt>
                <c:pt idx="913">
                  <c:v>6529</c:v>
                </c:pt>
                <c:pt idx="914">
                  <c:v>1635</c:v>
                </c:pt>
                <c:pt idx="915">
                  <c:v>6536</c:v>
                </c:pt>
                <c:pt idx="916">
                  <c:v>754</c:v>
                </c:pt>
                <c:pt idx="917">
                  <c:v>1638</c:v>
                </c:pt>
                <c:pt idx="918">
                  <c:v>63</c:v>
                </c:pt>
                <c:pt idx="919">
                  <c:v>1197</c:v>
                </c:pt>
                <c:pt idx="920">
                  <c:v>64</c:v>
                </c:pt>
                <c:pt idx="921">
                  <c:v>1905</c:v>
                </c:pt>
                <c:pt idx="922">
                  <c:v>854</c:v>
                </c:pt>
                <c:pt idx="923">
                  <c:v>0</c:v>
                </c:pt>
                <c:pt idx="924">
                  <c:v>0</c:v>
                </c:pt>
                <c:pt idx="925">
                  <c:v>331</c:v>
                </c:pt>
                <c:pt idx="926">
                  <c:v>2363</c:v>
                </c:pt>
                <c:pt idx="927">
                  <c:v>2362</c:v>
                </c:pt>
                <c:pt idx="928">
                  <c:v>0</c:v>
                </c:pt>
                <c:pt idx="929">
                  <c:v>2808</c:v>
                </c:pt>
                <c:pt idx="930">
                  <c:v>2806</c:v>
                </c:pt>
                <c:pt idx="931">
                  <c:v>0</c:v>
                </c:pt>
                <c:pt idx="932">
                  <c:v>3334</c:v>
                </c:pt>
                <c:pt idx="933">
                  <c:v>3334</c:v>
                </c:pt>
                <c:pt idx="934">
                  <c:v>84707</c:v>
                </c:pt>
                <c:pt idx="935">
                  <c:v>84706</c:v>
                </c:pt>
                <c:pt idx="936">
                  <c:v>0</c:v>
                </c:pt>
                <c:pt idx="937">
                  <c:v>0</c:v>
                </c:pt>
                <c:pt idx="938">
                  <c:v>2327</c:v>
                </c:pt>
                <c:pt idx="939">
                  <c:v>2328</c:v>
                </c:pt>
                <c:pt idx="940">
                  <c:v>2325</c:v>
                </c:pt>
                <c:pt idx="941">
                  <c:v>655589</c:v>
                </c:pt>
                <c:pt idx="942">
                  <c:v>0</c:v>
                </c:pt>
                <c:pt idx="943">
                  <c:v>237</c:v>
                </c:pt>
                <c:pt idx="944">
                  <c:v>430</c:v>
                </c:pt>
                <c:pt idx="945">
                  <c:v>25</c:v>
                </c:pt>
                <c:pt idx="946">
                  <c:v>11923</c:v>
                </c:pt>
                <c:pt idx="947">
                  <c:v>0</c:v>
                </c:pt>
                <c:pt idx="948">
                  <c:v>13634</c:v>
                </c:pt>
                <c:pt idx="949">
                  <c:v>973</c:v>
                </c:pt>
                <c:pt idx="950">
                  <c:v>4516</c:v>
                </c:pt>
                <c:pt idx="951">
                  <c:v>4515</c:v>
                </c:pt>
                <c:pt idx="952">
                  <c:v>0</c:v>
                </c:pt>
                <c:pt idx="959">
                  <c:v>2312</c:v>
                </c:pt>
                <c:pt idx="960">
                  <c:v>2309</c:v>
                </c:pt>
                <c:pt idx="961">
                  <c:v>2301</c:v>
                </c:pt>
                <c:pt idx="962">
                  <c:v>2302</c:v>
                </c:pt>
                <c:pt idx="966">
                  <c:v>71</c:v>
                </c:pt>
                <c:pt idx="967">
                  <c:v>13</c:v>
                </c:pt>
                <c:pt idx="968">
                  <c:v>5750</c:v>
                </c:pt>
                <c:pt idx="969">
                  <c:v>1957</c:v>
                </c:pt>
                <c:pt idx="970">
                  <c:v>7806</c:v>
                </c:pt>
                <c:pt idx="971">
                  <c:v>6541</c:v>
                </c:pt>
                <c:pt idx="972">
                  <c:v>3706</c:v>
                </c:pt>
                <c:pt idx="973">
                  <c:v>7764</c:v>
                </c:pt>
                <c:pt idx="974">
                  <c:v>1640</c:v>
                </c:pt>
                <c:pt idx="975">
                  <c:v>0</c:v>
                </c:pt>
                <c:pt idx="976">
                  <c:v>0</c:v>
                </c:pt>
                <c:pt idx="977">
                  <c:v>804</c:v>
                </c:pt>
                <c:pt idx="980">
                  <c:v>396</c:v>
                </c:pt>
                <c:pt idx="981">
                  <c:v>0</c:v>
                </c:pt>
                <c:pt idx="982">
                  <c:v>2365</c:v>
                </c:pt>
                <c:pt idx="983">
                  <c:v>2366</c:v>
                </c:pt>
                <c:pt idx="985">
                  <c:v>11916</c:v>
                </c:pt>
                <c:pt idx="986">
                  <c:v>17551</c:v>
                </c:pt>
                <c:pt idx="987" formatCode="#,##0">
                  <c:v>189609</c:v>
                </c:pt>
                <c:pt idx="988" formatCode="#,##0">
                  <c:v>189004</c:v>
                </c:pt>
                <c:pt idx="989">
                  <c:v>76</c:v>
                </c:pt>
                <c:pt idx="990">
                  <c:v>5113</c:v>
                </c:pt>
                <c:pt idx="991">
                  <c:v>16947</c:v>
                </c:pt>
                <c:pt idx="992">
                  <c:v>0</c:v>
                </c:pt>
                <c:pt idx="993">
                  <c:v>1644</c:v>
                </c:pt>
                <c:pt idx="995">
                  <c:v>5730</c:v>
                </c:pt>
                <c:pt idx="996">
                  <c:v>2326</c:v>
                </c:pt>
                <c:pt idx="997">
                  <c:v>335</c:v>
                </c:pt>
                <c:pt idx="998">
                  <c:v>1616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2796379</c:v>
                </c:pt>
                <c:pt idx="1003">
                  <c:v>2796384</c:v>
                </c:pt>
                <c:pt idx="1004">
                  <c:v>2798046</c:v>
                </c:pt>
                <c:pt idx="1005">
                  <c:v>2798048</c:v>
                </c:pt>
                <c:pt idx="1006">
                  <c:v>2796382</c:v>
                </c:pt>
                <c:pt idx="1007">
                  <c:v>2796385</c:v>
                </c:pt>
                <c:pt idx="1008">
                  <c:v>2798047</c:v>
                </c:pt>
                <c:pt idx="1009">
                  <c:v>2796378</c:v>
                </c:pt>
                <c:pt idx="1010">
                  <c:v>2796381</c:v>
                </c:pt>
                <c:pt idx="1011">
                  <c:v>2796380</c:v>
                </c:pt>
                <c:pt idx="1012">
                  <c:v>2796386</c:v>
                </c:pt>
                <c:pt idx="1013">
                  <c:v>2797680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243858</c:v>
                </c:pt>
                <c:pt idx="1020">
                  <c:v>243856</c:v>
                </c:pt>
                <c:pt idx="1021">
                  <c:v>327</c:v>
                </c:pt>
                <c:pt idx="1022">
                  <c:v>0</c:v>
                </c:pt>
                <c:pt idx="1023">
                  <c:v>0</c:v>
                </c:pt>
                <c:pt idx="1024">
                  <c:v>73502960</c:v>
                </c:pt>
                <c:pt idx="1025">
                  <c:v>73643521</c:v>
                </c:pt>
                <c:pt idx="1026">
                  <c:v>0</c:v>
                </c:pt>
                <c:pt idx="1027">
                  <c:v>7659</c:v>
                </c:pt>
                <c:pt idx="1028">
                  <c:v>73506311</c:v>
                </c:pt>
                <c:pt idx="1029">
                  <c:v>225068</c:v>
                </c:pt>
                <c:pt idx="1030">
                  <c:v>363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13</c:v>
                </c:pt>
                <c:pt idx="1035">
                  <c:v>0</c:v>
                </c:pt>
                <c:pt idx="1036">
                  <c:v>1942</c:v>
                </c:pt>
                <c:pt idx="1037">
                  <c:v>8759</c:v>
                </c:pt>
                <c:pt idx="1038">
                  <c:v>0</c:v>
                </c:pt>
                <c:pt idx="1039">
                  <c:v>1109833</c:v>
                </c:pt>
                <c:pt idx="1040">
                  <c:v>277</c:v>
                </c:pt>
                <c:pt idx="1041">
                  <c:v>58847325</c:v>
                </c:pt>
                <c:pt idx="1042">
                  <c:v>0</c:v>
                </c:pt>
                <c:pt idx="1043">
                  <c:v>0</c:v>
                </c:pt>
                <c:pt idx="1045">
                  <c:v>42931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880</c:v>
                </c:pt>
                <c:pt idx="1050">
                  <c:v>78</c:v>
                </c:pt>
                <c:pt idx="1051">
                  <c:v>0</c:v>
                </c:pt>
                <c:pt idx="1052">
                  <c:v>0</c:v>
                </c:pt>
                <c:pt idx="1053">
                  <c:v>962890</c:v>
                </c:pt>
                <c:pt idx="1054">
                  <c:v>2110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1721</c:v>
                </c:pt>
                <c:pt idx="1062">
                  <c:v>196182</c:v>
                </c:pt>
                <c:pt idx="1063">
                  <c:v>16224</c:v>
                </c:pt>
                <c:pt idx="1064">
                  <c:v>0</c:v>
                </c:pt>
                <c:pt idx="1065">
                  <c:v>4</c:v>
                </c:pt>
                <c:pt idx="1066">
                  <c:v>2870</c:v>
                </c:pt>
                <c:pt idx="1067">
                  <c:v>1263</c:v>
                </c:pt>
                <c:pt idx="1068">
                  <c:v>0</c:v>
                </c:pt>
                <c:pt idx="1069">
                  <c:v>1264</c:v>
                </c:pt>
                <c:pt idx="1070">
                  <c:v>76</c:v>
                </c:pt>
                <c:pt idx="1071">
                  <c:v>7719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5239</c:v>
                </c:pt>
                <c:pt idx="1078">
                  <c:v>0</c:v>
                </c:pt>
                <c:pt idx="1079">
                  <c:v>1720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214</c:v>
                </c:pt>
                <c:pt idx="1089">
                  <c:v>103</c:v>
                </c:pt>
                <c:pt idx="1090">
                  <c:v>334</c:v>
                </c:pt>
                <c:pt idx="1091">
                  <c:v>0</c:v>
                </c:pt>
                <c:pt idx="1092">
                  <c:v>5188</c:v>
                </c:pt>
                <c:pt idx="1093">
                  <c:v>215</c:v>
                </c:pt>
                <c:pt idx="1094">
                  <c:v>0</c:v>
                </c:pt>
                <c:pt idx="1095">
                  <c:v>232</c:v>
                </c:pt>
                <c:pt idx="1096">
                  <c:v>26556</c:v>
                </c:pt>
                <c:pt idx="1097">
                  <c:v>225840</c:v>
                </c:pt>
                <c:pt idx="1098">
                  <c:v>92390</c:v>
                </c:pt>
                <c:pt idx="1099">
                  <c:v>0</c:v>
                </c:pt>
                <c:pt idx="1100">
                  <c:v>778</c:v>
                </c:pt>
                <c:pt idx="1101">
                  <c:v>0</c:v>
                </c:pt>
                <c:pt idx="1103">
                  <c:v>484</c:v>
                </c:pt>
                <c:pt idx="1104">
                  <c:v>0</c:v>
                </c:pt>
                <c:pt idx="1105">
                  <c:v>1269</c:v>
                </c:pt>
                <c:pt idx="1106">
                  <c:v>0</c:v>
                </c:pt>
                <c:pt idx="1107">
                  <c:v>119</c:v>
                </c:pt>
                <c:pt idx="1108">
                  <c:v>212</c:v>
                </c:pt>
                <c:pt idx="1109">
                  <c:v>210</c:v>
                </c:pt>
                <c:pt idx="1110">
                  <c:v>36791</c:v>
                </c:pt>
                <c:pt idx="1111">
                  <c:v>497</c:v>
                </c:pt>
                <c:pt idx="1112">
                  <c:v>170</c:v>
                </c:pt>
                <c:pt idx="1113">
                  <c:v>2824</c:v>
                </c:pt>
                <c:pt idx="1114">
                  <c:v>2801</c:v>
                </c:pt>
                <c:pt idx="1115">
                  <c:v>125</c:v>
                </c:pt>
                <c:pt idx="1116">
                  <c:v>172</c:v>
                </c:pt>
                <c:pt idx="1117">
                  <c:v>30</c:v>
                </c:pt>
                <c:pt idx="1118">
                  <c:v>296</c:v>
                </c:pt>
                <c:pt idx="1119">
                  <c:v>93</c:v>
                </c:pt>
                <c:pt idx="1120">
                  <c:v>0</c:v>
                </c:pt>
                <c:pt idx="1121">
                  <c:v>2682</c:v>
                </c:pt>
                <c:pt idx="1122">
                  <c:v>227</c:v>
                </c:pt>
                <c:pt idx="1123">
                  <c:v>3</c:v>
                </c:pt>
                <c:pt idx="1124">
                  <c:v>0</c:v>
                </c:pt>
                <c:pt idx="1125">
                  <c:v>3459</c:v>
                </c:pt>
                <c:pt idx="1126">
                  <c:v>0</c:v>
                </c:pt>
                <c:pt idx="1127">
                  <c:v>42</c:v>
                </c:pt>
                <c:pt idx="1128">
                  <c:v>235</c:v>
                </c:pt>
                <c:pt idx="1129">
                  <c:v>220</c:v>
                </c:pt>
                <c:pt idx="1130">
                  <c:v>3</c:v>
                </c:pt>
                <c:pt idx="1131">
                  <c:v>950395240</c:v>
                </c:pt>
                <c:pt idx="1132">
                  <c:v>950395226</c:v>
                </c:pt>
                <c:pt idx="1133">
                  <c:v>244662</c:v>
                </c:pt>
                <c:pt idx="1134">
                  <c:v>1696</c:v>
                </c:pt>
                <c:pt idx="1135">
                  <c:v>950395199</c:v>
                </c:pt>
                <c:pt idx="1136">
                  <c:v>105</c:v>
                </c:pt>
                <c:pt idx="1137">
                  <c:v>628</c:v>
                </c:pt>
                <c:pt idx="1138">
                  <c:v>0</c:v>
                </c:pt>
                <c:pt idx="1139">
                  <c:v>848</c:v>
                </c:pt>
                <c:pt idx="1140">
                  <c:v>0</c:v>
                </c:pt>
                <c:pt idx="1141">
                  <c:v>960</c:v>
                </c:pt>
                <c:pt idx="1142">
                  <c:v>0</c:v>
                </c:pt>
                <c:pt idx="1143">
                  <c:v>11488</c:v>
                </c:pt>
                <c:pt idx="1144">
                  <c:v>1519</c:v>
                </c:pt>
                <c:pt idx="1145">
                  <c:v>483</c:v>
                </c:pt>
                <c:pt idx="1146">
                  <c:v>0</c:v>
                </c:pt>
                <c:pt idx="1147">
                  <c:v>39</c:v>
                </c:pt>
                <c:pt idx="1148">
                  <c:v>0</c:v>
                </c:pt>
                <c:pt idx="1150">
                  <c:v>1057</c:v>
                </c:pt>
                <c:pt idx="1151">
                  <c:v>0</c:v>
                </c:pt>
                <c:pt idx="1152">
                  <c:v>205</c:v>
                </c:pt>
                <c:pt idx="1153">
                  <c:v>245</c:v>
                </c:pt>
                <c:pt idx="1154">
                  <c:v>0</c:v>
                </c:pt>
                <c:pt idx="1155">
                  <c:v>1692</c:v>
                </c:pt>
                <c:pt idx="1156">
                  <c:v>1692</c:v>
                </c:pt>
                <c:pt idx="1157">
                  <c:v>1692</c:v>
                </c:pt>
                <c:pt idx="1158">
                  <c:v>1692</c:v>
                </c:pt>
                <c:pt idx="1159">
                  <c:v>0</c:v>
                </c:pt>
                <c:pt idx="1160">
                  <c:v>206</c:v>
                </c:pt>
                <c:pt idx="1161">
                  <c:v>0</c:v>
                </c:pt>
                <c:pt idx="1162">
                  <c:v>27</c:v>
                </c:pt>
                <c:pt idx="1163">
                  <c:v>16</c:v>
                </c:pt>
                <c:pt idx="1164">
                  <c:v>736</c:v>
                </c:pt>
                <c:pt idx="1165">
                  <c:v>94</c:v>
                </c:pt>
                <c:pt idx="1166">
                  <c:v>1328</c:v>
                </c:pt>
                <c:pt idx="1167">
                  <c:v>0</c:v>
                </c:pt>
                <c:pt idx="1168">
                  <c:v>2591</c:v>
                </c:pt>
                <c:pt idx="1169">
                  <c:v>9504927</c:v>
                </c:pt>
                <c:pt idx="1170">
                  <c:v>0</c:v>
                </c:pt>
                <c:pt idx="1171">
                  <c:v>950771320</c:v>
                </c:pt>
                <c:pt idx="1172">
                  <c:v>181778890</c:v>
                </c:pt>
                <c:pt idx="1173">
                  <c:v>1695</c:v>
                </c:pt>
                <c:pt idx="1174">
                  <c:v>244664</c:v>
                </c:pt>
                <c:pt idx="1175">
                  <c:v>244663</c:v>
                </c:pt>
                <c:pt idx="1176">
                  <c:v>244901</c:v>
                </c:pt>
                <c:pt idx="1177">
                  <c:v>1392</c:v>
                </c:pt>
                <c:pt idx="1178">
                  <c:v>2449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279864</c:v>
                </c:pt>
                <c:pt idx="1185">
                  <c:v>2450</c:v>
                </c:pt>
                <c:pt idx="1186">
                  <c:v>1079</c:v>
                </c:pt>
                <c:pt idx="1187">
                  <c:v>2451</c:v>
                </c:pt>
                <c:pt idx="1188">
                  <c:v>950594607</c:v>
                </c:pt>
                <c:pt idx="1189">
                  <c:v>485</c:v>
                </c:pt>
                <c:pt idx="1190">
                  <c:v>0</c:v>
                </c:pt>
                <c:pt idx="1191">
                  <c:v>90</c:v>
                </c:pt>
                <c:pt idx="1192">
                  <c:v>0</c:v>
                </c:pt>
                <c:pt idx="1193">
                  <c:v>815</c:v>
                </c:pt>
                <c:pt idx="1194">
                  <c:v>45905</c:v>
                </c:pt>
                <c:pt idx="1195">
                  <c:v>4543</c:v>
                </c:pt>
                <c:pt idx="1196">
                  <c:v>2587</c:v>
                </c:pt>
                <c:pt idx="1197">
                  <c:v>950389106</c:v>
                </c:pt>
                <c:pt idx="1198">
                  <c:v>950594608</c:v>
                </c:pt>
                <c:pt idx="1199">
                  <c:v>120331</c:v>
                </c:pt>
                <c:pt idx="1200">
                  <c:v>0</c:v>
                </c:pt>
                <c:pt idx="1201">
                  <c:v>950389144</c:v>
                </c:pt>
                <c:pt idx="1202">
                  <c:v>0</c:v>
                </c:pt>
                <c:pt idx="1203">
                  <c:v>499</c:v>
                </c:pt>
                <c:pt idx="1204">
                  <c:v>0</c:v>
                </c:pt>
                <c:pt idx="1205">
                  <c:v>45907</c:v>
                </c:pt>
                <c:pt idx="1206">
                  <c:v>1433</c:v>
                </c:pt>
                <c:pt idx="1207">
                  <c:v>13</c:v>
                </c:pt>
                <c:pt idx="1208">
                  <c:v>196</c:v>
                </c:pt>
                <c:pt idx="1209">
                  <c:v>950389105</c:v>
                </c:pt>
                <c:pt idx="1210">
                  <c:v>0</c:v>
                </c:pt>
                <c:pt idx="1211">
                  <c:v>947</c:v>
                </c:pt>
                <c:pt idx="1212">
                  <c:v>49</c:v>
                </c:pt>
                <c:pt idx="1213">
                  <c:v>0</c:v>
                </c:pt>
                <c:pt idx="1214">
                  <c:v>361415</c:v>
                </c:pt>
                <c:pt idx="1215">
                  <c:v>127</c:v>
                </c:pt>
                <c:pt idx="1216">
                  <c:v>17571</c:v>
                </c:pt>
                <c:pt idx="1217">
                  <c:v>778</c:v>
                </c:pt>
                <c:pt idx="1218">
                  <c:v>13723</c:v>
                </c:pt>
                <c:pt idx="1219">
                  <c:v>1261</c:v>
                </c:pt>
                <c:pt idx="1220">
                  <c:v>1073</c:v>
                </c:pt>
                <c:pt idx="1221">
                  <c:v>206</c:v>
                </c:pt>
                <c:pt idx="1223">
                  <c:v>2478</c:v>
                </c:pt>
                <c:pt idx="1224">
                  <c:v>2477</c:v>
                </c:pt>
                <c:pt idx="1225">
                  <c:v>2585</c:v>
                </c:pt>
                <c:pt idx="1226">
                  <c:v>2481</c:v>
                </c:pt>
                <c:pt idx="1227">
                  <c:v>2481</c:v>
                </c:pt>
                <c:pt idx="1229">
                  <c:v>1690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80</c:v>
                </c:pt>
                <c:pt idx="1236">
                  <c:v>77</c:v>
                </c:pt>
                <c:pt idx="1237">
                  <c:v>786</c:v>
                </c:pt>
                <c:pt idx="1238">
                  <c:v>192656</c:v>
                </c:pt>
                <c:pt idx="1239">
                  <c:v>192527</c:v>
                </c:pt>
                <c:pt idx="1240">
                  <c:v>192619</c:v>
                </c:pt>
                <c:pt idx="1241">
                  <c:v>4890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2484</c:v>
                </c:pt>
                <c:pt idx="1247">
                  <c:v>1264</c:v>
                </c:pt>
                <c:pt idx="1248">
                  <c:v>1266</c:v>
                </c:pt>
                <c:pt idx="1249">
                  <c:v>1265</c:v>
                </c:pt>
                <c:pt idx="1250">
                  <c:v>2696</c:v>
                </c:pt>
                <c:pt idx="1251">
                  <c:v>5180</c:v>
                </c:pt>
                <c:pt idx="1252">
                  <c:v>2452</c:v>
                </c:pt>
                <c:pt idx="1253">
                  <c:v>2483</c:v>
                </c:pt>
                <c:pt idx="1254">
                  <c:v>0</c:v>
                </c:pt>
                <c:pt idx="1255">
                  <c:v>2482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2460</c:v>
                </c:pt>
                <c:pt idx="1262">
                  <c:v>2459</c:v>
                </c:pt>
                <c:pt idx="1263">
                  <c:v>418</c:v>
                </c:pt>
                <c:pt idx="1264">
                  <c:v>2485</c:v>
                </c:pt>
                <c:pt idx="1265">
                  <c:v>2486</c:v>
                </c:pt>
                <c:pt idx="1266">
                  <c:v>703</c:v>
                </c:pt>
                <c:pt idx="1267">
                  <c:v>816</c:v>
                </c:pt>
                <c:pt idx="1268">
                  <c:v>45908</c:v>
                </c:pt>
                <c:pt idx="1269">
                  <c:v>37165</c:v>
                </c:pt>
                <c:pt idx="1270">
                  <c:v>1694</c:v>
                </c:pt>
                <c:pt idx="1271">
                  <c:v>0</c:v>
                </c:pt>
                <c:pt idx="1272">
                  <c:v>13724</c:v>
                </c:pt>
                <c:pt idx="1273">
                  <c:v>12399</c:v>
                </c:pt>
                <c:pt idx="1274">
                  <c:v>2026965</c:v>
                </c:pt>
                <c:pt idx="1275">
                  <c:v>2026945</c:v>
                </c:pt>
                <c:pt idx="1276">
                  <c:v>13722</c:v>
                </c:pt>
                <c:pt idx="1277">
                  <c:v>0</c:v>
                </c:pt>
                <c:pt idx="1279">
                  <c:v>1857</c:v>
                </c:pt>
                <c:pt idx="1280">
                  <c:v>0</c:v>
                </c:pt>
                <c:pt idx="1281">
                  <c:v>1859</c:v>
                </c:pt>
                <c:pt idx="1282">
                  <c:v>1860</c:v>
                </c:pt>
                <c:pt idx="1283">
                  <c:v>12303</c:v>
                </c:pt>
                <c:pt idx="1284">
                  <c:v>0</c:v>
                </c:pt>
                <c:pt idx="1285">
                  <c:v>0</c:v>
                </c:pt>
                <c:pt idx="1286">
                  <c:v>1862</c:v>
                </c:pt>
                <c:pt idx="1287">
                  <c:v>1863</c:v>
                </c:pt>
                <c:pt idx="1288">
                  <c:v>1864</c:v>
                </c:pt>
                <c:pt idx="1289">
                  <c:v>0</c:v>
                </c:pt>
                <c:pt idx="1290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1865</c:v>
                </c:pt>
                <c:pt idx="1295">
                  <c:v>0</c:v>
                </c:pt>
                <c:pt idx="1296">
                  <c:v>1646</c:v>
                </c:pt>
                <c:pt idx="1297">
                  <c:v>0</c:v>
                </c:pt>
                <c:pt idx="1298">
                  <c:v>3350</c:v>
                </c:pt>
                <c:pt idx="1299">
                  <c:v>3347</c:v>
                </c:pt>
                <c:pt idx="1300">
                  <c:v>3348</c:v>
                </c:pt>
                <c:pt idx="1301">
                  <c:v>4898</c:v>
                </c:pt>
                <c:pt idx="1302">
                  <c:v>0</c:v>
                </c:pt>
                <c:pt idx="1303">
                  <c:v>0</c:v>
                </c:pt>
                <c:pt idx="1304">
                  <c:v>2697</c:v>
                </c:pt>
                <c:pt idx="1305">
                  <c:v>1623</c:v>
                </c:pt>
                <c:pt idx="1306">
                  <c:v>1624</c:v>
                </c:pt>
                <c:pt idx="1307">
                  <c:v>12392</c:v>
                </c:pt>
                <c:pt idx="1308">
                  <c:v>2489</c:v>
                </c:pt>
                <c:pt idx="1309">
                  <c:v>5775</c:v>
                </c:pt>
                <c:pt idx="1310">
                  <c:v>719</c:v>
                </c:pt>
                <c:pt idx="1311">
                  <c:v>940</c:v>
                </c:pt>
                <c:pt idx="1312">
                  <c:v>0</c:v>
                </c:pt>
                <c:pt idx="1313">
                  <c:v>883</c:v>
                </c:pt>
                <c:pt idx="1314">
                  <c:v>5630</c:v>
                </c:pt>
                <c:pt idx="1315">
                  <c:v>8789</c:v>
                </c:pt>
                <c:pt idx="1316">
                  <c:v>1403</c:v>
                </c:pt>
                <c:pt idx="1318">
                  <c:v>1405</c:v>
                </c:pt>
                <c:pt idx="1319">
                  <c:v>273</c:v>
                </c:pt>
                <c:pt idx="1320">
                  <c:v>272</c:v>
                </c:pt>
                <c:pt idx="1321">
                  <c:v>3540</c:v>
                </c:pt>
                <c:pt idx="1322">
                  <c:v>12390</c:v>
                </c:pt>
                <c:pt idx="1323">
                  <c:v>12396</c:v>
                </c:pt>
                <c:pt idx="1324">
                  <c:v>12396</c:v>
                </c:pt>
                <c:pt idx="1325">
                  <c:v>12396</c:v>
                </c:pt>
                <c:pt idx="1326">
                  <c:v>12396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62</c:v>
                </c:pt>
                <c:pt idx="1331">
                  <c:v>1087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2483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18315</c:v>
                </c:pt>
                <c:pt idx="1340">
                  <c:v>2500</c:v>
                </c:pt>
                <c:pt idx="1341">
                  <c:v>2498</c:v>
                </c:pt>
                <c:pt idx="1342">
                  <c:v>2502</c:v>
                </c:pt>
                <c:pt idx="1343">
                  <c:v>149845</c:v>
                </c:pt>
                <c:pt idx="1344">
                  <c:v>4524</c:v>
                </c:pt>
                <c:pt idx="1345">
                  <c:v>4523</c:v>
                </c:pt>
                <c:pt idx="1346">
                  <c:v>0</c:v>
                </c:pt>
                <c:pt idx="1347">
                  <c:v>0</c:v>
                </c:pt>
                <c:pt idx="1348">
                  <c:v>2506</c:v>
                </c:pt>
                <c:pt idx="1349">
                  <c:v>2504</c:v>
                </c:pt>
                <c:pt idx="1350">
                  <c:v>2131584</c:v>
                </c:pt>
                <c:pt idx="1351">
                  <c:v>47249</c:v>
                </c:pt>
                <c:pt idx="1352">
                  <c:v>1853</c:v>
                </c:pt>
                <c:pt idx="1353">
                  <c:v>1853</c:v>
                </c:pt>
                <c:pt idx="1354">
                  <c:v>193087</c:v>
                </c:pt>
                <c:pt idx="1356">
                  <c:v>0</c:v>
                </c:pt>
                <c:pt idx="1357">
                  <c:v>220</c:v>
                </c:pt>
                <c:pt idx="1358">
                  <c:v>221</c:v>
                </c:pt>
                <c:pt idx="1359">
                  <c:v>0</c:v>
                </c:pt>
                <c:pt idx="1360">
                  <c:v>8386</c:v>
                </c:pt>
                <c:pt idx="1361">
                  <c:v>8392</c:v>
                </c:pt>
                <c:pt idx="1362">
                  <c:v>219</c:v>
                </c:pt>
                <c:pt idx="1363">
                  <c:v>0</c:v>
                </c:pt>
                <c:pt idx="1364">
                  <c:v>950</c:v>
                </c:pt>
                <c:pt idx="1365">
                  <c:v>0</c:v>
                </c:pt>
                <c:pt idx="1366">
                  <c:v>0</c:v>
                </c:pt>
                <c:pt idx="1367">
                  <c:v>4526</c:v>
                </c:pt>
                <c:pt idx="1368">
                  <c:v>0</c:v>
                </c:pt>
                <c:pt idx="1369">
                  <c:v>2523</c:v>
                </c:pt>
                <c:pt idx="1370">
                  <c:v>0</c:v>
                </c:pt>
                <c:pt idx="1371">
                  <c:v>0</c:v>
                </c:pt>
                <c:pt idx="1372">
                  <c:v>1996</c:v>
                </c:pt>
                <c:pt idx="1373">
                  <c:v>3818</c:v>
                </c:pt>
                <c:pt idx="1374">
                  <c:v>2526</c:v>
                </c:pt>
                <c:pt idx="1375">
                  <c:v>2527</c:v>
                </c:pt>
                <c:pt idx="1376">
                  <c:v>2524</c:v>
                </c:pt>
                <c:pt idx="1377">
                  <c:v>6626</c:v>
                </c:pt>
                <c:pt idx="1378">
                  <c:v>43021</c:v>
                </c:pt>
                <c:pt idx="1379">
                  <c:v>7018</c:v>
                </c:pt>
                <c:pt idx="1380">
                  <c:v>2994</c:v>
                </c:pt>
                <c:pt idx="1381">
                  <c:v>7020</c:v>
                </c:pt>
                <c:pt idx="1382">
                  <c:v>10722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2530</c:v>
                </c:pt>
                <c:pt idx="1389">
                  <c:v>2531</c:v>
                </c:pt>
                <c:pt idx="1390">
                  <c:v>2529</c:v>
                </c:pt>
                <c:pt idx="1391">
                  <c:v>2528</c:v>
                </c:pt>
                <c:pt idx="1392">
                  <c:v>943</c:v>
                </c:pt>
                <c:pt idx="1393">
                  <c:v>181850</c:v>
                </c:pt>
                <c:pt idx="1394">
                  <c:v>17320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7027</c:v>
                </c:pt>
                <c:pt idx="1399">
                  <c:v>4163</c:v>
                </c:pt>
                <c:pt idx="1400">
                  <c:v>0</c:v>
                </c:pt>
                <c:pt idx="1401">
                  <c:v>124</c:v>
                </c:pt>
                <c:pt idx="1402">
                  <c:v>1424</c:v>
                </c:pt>
                <c:pt idx="1403">
                  <c:v>0</c:v>
                </c:pt>
                <c:pt idx="1404">
                  <c:v>0</c:v>
                </c:pt>
                <c:pt idx="1405">
                  <c:v>3344</c:v>
                </c:pt>
                <c:pt idx="1406">
                  <c:v>0</c:v>
                </c:pt>
                <c:pt idx="1407">
                  <c:v>1648</c:v>
                </c:pt>
                <c:pt idx="1408">
                  <c:v>1649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81</c:v>
                </c:pt>
                <c:pt idx="1413">
                  <c:v>0</c:v>
                </c:pt>
                <c:pt idx="1414">
                  <c:v>0</c:v>
                </c:pt>
                <c:pt idx="1415">
                  <c:v>1974</c:v>
                </c:pt>
                <c:pt idx="1416">
                  <c:v>0</c:v>
                </c:pt>
                <c:pt idx="1417">
                  <c:v>0</c:v>
                </c:pt>
                <c:pt idx="1418">
                  <c:v>75</c:v>
                </c:pt>
                <c:pt idx="1419">
                  <c:v>104550</c:v>
                </c:pt>
                <c:pt idx="1420">
                  <c:v>1855</c:v>
                </c:pt>
                <c:pt idx="1421">
                  <c:v>1855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163</c:v>
                </c:pt>
                <c:pt idx="1429">
                  <c:v>637</c:v>
                </c:pt>
                <c:pt idx="1430">
                  <c:v>636</c:v>
                </c:pt>
                <c:pt idx="1431">
                  <c:v>167</c:v>
                </c:pt>
                <c:pt idx="1432">
                  <c:v>0</c:v>
                </c:pt>
                <c:pt idx="1433">
                  <c:v>2854367</c:v>
                </c:pt>
                <c:pt idx="1434">
                  <c:v>0</c:v>
                </c:pt>
                <c:pt idx="1435">
                  <c:v>2131624</c:v>
                </c:pt>
                <c:pt idx="1436">
                  <c:v>532366</c:v>
                </c:pt>
                <c:pt idx="1437">
                  <c:v>339292</c:v>
                </c:pt>
                <c:pt idx="1438">
                  <c:v>339285</c:v>
                </c:pt>
                <c:pt idx="1439">
                  <c:v>339326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1066656</c:v>
                </c:pt>
                <c:pt idx="1449">
                  <c:v>1919</c:v>
                </c:pt>
                <c:pt idx="1450">
                  <c:v>17238</c:v>
                </c:pt>
                <c:pt idx="1451">
                  <c:v>97</c:v>
                </c:pt>
                <c:pt idx="1452">
                  <c:v>0</c:v>
                </c:pt>
                <c:pt idx="1453">
                  <c:v>626</c:v>
                </c:pt>
                <c:pt idx="1454">
                  <c:v>0</c:v>
                </c:pt>
                <c:pt idx="1455">
                  <c:v>0</c:v>
                </c:pt>
                <c:pt idx="1456">
                  <c:v>184608767</c:v>
                </c:pt>
                <c:pt idx="1457">
                  <c:v>73502960</c:v>
                </c:pt>
                <c:pt idx="1458">
                  <c:v>73506982</c:v>
                </c:pt>
                <c:pt idx="1459">
                  <c:v>73506311</c:v>
                </c:pt>
                <c:pt idx="1460">
                  <c:v>73460460</c:v>
                </c:pt>
                <c:pt idx="1461">
                  <c:v>73604364</c:v>
                </c:pt>
                <c:pt idx="1462">
                  <c:v>0</c:v>
                </c:pt>
                <c:pt idx="1463">
                  <c:v>2854398</c:v>
                </c:pt>
                <c:pt idx="1464">
                  <c:v>2854401</c:v>
                </c:pt>
                <c:pt idx="1465">
                  <c:v>2854402</c:v>
                </c:pt>
                <c:pt idx="1466">
                  <c:v>2855094</c:v>
                </c:pt>
                <c:pt idx="1467">
                  <c:v>1431</c:v>
                </c:pt>
                <c:pt idx="1468">
                  <c:v>1910</c:v>
                </c:pt>
                <c:pt idx="1469">
                  <c:v>5631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281</c:v>
                </c:pt>
                <c:pt idx="1475">
                  <c:v>5484</c:v>
                </c:pt>
                <c:pt idx="1476">
                  <c:v>3275</c:v>
                </c:pt>
                <c:pt idx="1477">
                  <c:v>5984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181947</c:v>
                </c:pt>
                <c:pt idx="1492">
                  <c:v>18384</c:v>
                </c:pt>
                <c:pt idx="1493">
                  <c:v>182387</c:v>
                </c:pt>
                <c:pt idx="1494">
                  <c:v>3357</c:v>
                </c:pt>
                <c:pt idx="1495">
                  <c:v>182475</c:v>
                </c:pt>
                <c:pt idx="1496">
                  <c:v>155464</c:v>
                </c:pt>
                <c:pt idx="1497">
                  <c:v>182595</c:v>
                </c:pt>
                <c:pt idx="1498">
                  <c:v>73643521</c:v>
                </c:pt>
                <c:pt idx="1499">
                  <c:v>147941539</c:v>
                </c:pt>
                <c:pt idx="1500">
                  <c:v>6315</c:v>
                </c:pt>
                <c:pt idx="1501">
                  <c:v>6316</c:v>
                </c:pt>
                <c:pt idx="1502">
                  <c:v>707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7125</c:v>
                </c:pt>
                <c:pt idx="1510">
                  <c:v>7127</c:v>
                </c:pt>
                <c:pt idx="1511">
                  <c:v>0</c:v>
                </c:pt>
                <c:pt idx="1512">
                  <c:v>0</c:v>
                </c:pt>
                <c:pt idx="1513">
                  <c:v>1569</c:v>
                </c:pt>
                <c:pt idx="1514">
                  <c:v>0</c:v>
                </c:pt>
                <c:pt idx="1515">
                  <c:v>5</c:v>
                </c:pt>
                <c:pt idx="1516">
                  <c:v>5</c:v>
                </c:pt>
                <c:pt idx="1517">
                  <c:v>228</c:v>
                </c:pt>
                <c:pt idx="1518">
                  <c:v>69</c:v>
                </c:pt>
                <c:pt idx="1519">
                  <c:v>182476</c:v>
                </c:pt>
                <c:pt idx="1520">
                  <c:v>5</c:v>
                </c:pt>
                <c:pt idx="1521">
                  <c:v>181946</c:v>
                </c:pt>
                <c:pt idx="1522">
                  <c:v>181939</c:v>
                </c:pt>
                <c:pt idx="1523">
                  <c:v>17277</c:v>
                </c:pt>
                <c:pt idx="1525">
                  <c:v>0</c:v>
                </c:pt>
                <c:pt idx="1526">
                  <c:v>7025</c:v>
                </c:pt>
                <c:pt idx="1527">
                  <c:v>0</c:v>
                </c:pt>
                <c:pt idx="1528">
                  <c:v>0</c:v>
                </c:pt>
                <c:pt idx="1529">
                  <c:v>5343</c:v>
                </c:pt>
                <c:pt idx="1530">
                  <c:v>2502</c:v>
                </c:pt>
                <c:pt idx="1531">
                  <c:v>0</c:v>
                </c:pt>
                <c:pt idx="1532">
                  <c:v>0</c:v>
                </c:pt>
                <c:pt idx="1533">
                  <c:v>8434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2856079</c:v>
                </c:pt>
                <c:pt idx="1538">
                  <c:v>194410</c:v>
                </c:pt>
                <c:pt idx="1539">
                  <c:v>2854403</c:v>
                </c:pt>
                <c:pt idx="1540">
                  <c:v>2854408</c:v>
                </c:pt>
                <c:pt idx="1541">
                  <c:v>534772</c:v>
                </c:pt>
                <c:pt idx="1542">
                  <c:v>193343</c:v>
                </c:pt>
                <c:pt idx="1543">
                  <c:v>2854409</c:v>
                </c:pt>
                <c:pt idx="1544">
                  <c:v>17416</c:v>
                </c:pt>
                <c:pt idx="1545">
                  <c:v>1698</c:v>
                </c:pt>
                <c:pt idx="1546">
                  <c:v>533145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1268</c:v>
                </c:pt>
                <c:pt idx="1554">
                  <c:v>1263</c:v>
                </c:pt>
                <c:pt idx="1555">
                  <c:v>0</c:v>
                </c:pt>
                <c:pt idx="1556">
                  <c:v>1264</c:v>
                </c:pt>
                <c:pt idx="1557">
                  <c:v>1266</c:v>
                </c:pt>
                <c:pt idx="1558">
                  <c:v>1269</c:v>
                </c:pt>
                <c:pt idx="1559">
                  <c:v>7040</c:v>
                </c:pt>
                <c:pt idx="1560">
                  <c:v>0</c:v>
                </c:pt>
                <c:pt idx="1561">
                  <c:v>7023</c:v>
                </c:pt>
                <c:pt idx="1562">
                  <c:v>2854405</c:v>
                </c:pt>
                <c:pt idx="1563">
                  <c:v>2856078</c:v>
                </c:pt>
                <c:pt idx="1564">
                  <c:v>2856076</c:v>
                </c:pt>
                <c:pt idx="1565">
                  <c:v>2854404</c:v>
                </c:pt>
                <c:pt idx="1566">
                  <c:v>2855669</c:v>
                </c:pt>
                <c:pt idx="1567">
                  <c:v>2856077</c:v>
                </c:pt>
                <c:pt idx="1568">
                  <c:v>182534</c:v>
                </c:pt>
                <c:pt idx="1569">
                  <c:v>150375</c:v>
                </c:pt>
                <c:pt idx="1570">
                  <c:v>0</c:v>
                </c:pt>
                <c:pt idx="1571">
                  <c:v>1520349</c:v>
                </c:pt>
                <c:pt idx="1572">
                  <c:v>1520397</c:v>
                </c:pt>
                <c:pt idx="1573">
                  <c:v>1520376</c:v>
                </c:pt>
                <c:pt idx="1574">
                  <c:v>2854407</c:v>
                </c:pt>
                <c:pt idx="1575">
                  <c:v>4896</c:v>
                </c:pt>
                <c:pt idx="1576">
                  <c:v>1696</c:v>
                </c:pt>
                <c:pt idx="1577">
                  <c:v>269</c:v>
                </c:pt>
                <c:pt idx="1578">
                  <c:v>2854406</c:v>
                </c:pt>
                <c:pt idx="1579">
                  <c:v>0</c:v>
                </c:pt>
                <c:pt idx="1580">
                  <c:v>4831</c:v>
                </c:pt>
                <c:pt idx="1581">
                  <c:v>1989</c:v>
                </c:pt>
                <c:pt idx="1582">
                  <c:v>648</c:v>
                </c:pt>
                <c:pt idx="1583">
                  <c:v>53</c:v>
                </c:pt>
                <c:pt idx="1584">
                  <c:v>97</c:v>
                </c:pt>
                <c:pt idx="1585">
                  <c:v>84</c:v>
                </c:pt>
                <c:pt idx="1586">
                  <c:v>130</c:v>
                </c:pt>
                <c:pt idx="1587">
                  <c:v>150</c:v>
                </c:pt>
                <c:pt idx="1588">
                  <c:v>855</c:v>
                </c:pt>
                <c:pt idx="1589">
                  <c:v>3514</c:v>
                </c:pt>
                <c:pt idx="1590">
                  <c:v>232</c:v>
                </c:pt>
                <c:pt idx="1591">
                  <c:v>20</c:v>
                </c:pt>
                <c:pt idx="1592">
                  <c:v>1105</c:v>
                </c:pt>
                <c:pt idx="1593">
                  <c:v>648</c:v>
                </c:pt>
                <c:pt idx="1594">
                  <c:v>223</c:v>
                </c:pt>
                <c:pt idx="1595">
                  <c:v>298</c:v>
                </c:pt>
                <c:pt idx="1596">
                  <c:v>0</c:v>
                </c:pt>
                <c:pt idx="1597">
                  <c:v>963</c:v>
                </c:pt>
                <c:pt idx="1598">
                  <c:v>249</c:v>
                </c:pt>
                <c:pt idx="1599">
                  <c:v>1066</c:v>
                </c:pt>
                <c:pt idx="1600">
                  <c:v>92829</c:v>
                </c:pt>
                <c:pt idx="1601">
                  <c:v>0</c:v>
                </c:pt>
                <c:pt idx="1602">
                  <c:v>19</c:v>
                </c:pt>
                <c:pt idx="1603">
                  <c:v>1410</c:v>
                </c:pt>
                <c:pt idx="1604">
                  <c:v>299</c:v>
                </c:pt>
                <c:pt idx="1605">
                  <c:v>0</c:v>
                </c:pt>
                <c:pt idx="1606">
                  <c:v>17612</c:v>
                </c:pt>
                <c:pt idx="1607">
                  <c:v>2624</c:v>
                </c:pt>
                <c:pt idx="1608">
                  <c:v>2628</c:v>
                </c:pt>
                <c:pt idx="1609">
                  <c:v>1697</c:v>
                </c:pt>
                <c:pt idx="1610">
                  <c:v>0</c:v>
                </c:pt>
                <c:pt idx="1611">
                  <c:v>79</c:v>
                </c:pt>
                <c:pt idx="1612">
                  <c:v>0</c:v>
                </c:pt>
                <c:pt idx="1613">
                  <c:v>1654</c:v>
                </c:pt>
                <c:pt idx="1614">
                  <c:v>1650</c:v>
                </c:pt>
                <c:pt idx="1615">
                  <c:v>1700</c:v>
                </c:pt>
                <c:pt idx="1616">
                  <c:v>0</c:v>
                </c:pt>
                <c:pt idx="1617">
                  <c:v>491</c:v>
                </c:pt>
                <c:pt idx="1618">
                  <c:v>209</c:v>
                </c:pt>
                <c:pt idx="1619">
                  <c:v>210</c:v>
                </c:pt>
                <c:pt idx="1620">
                  <c:v>25</c:v>
                </c:pt>
                <c:pt idx="1621">
                  <c:v>28</c:v>
                </c:pt>
                <c:pt idx="1622">
                  <c:v>741</c:v>
                </c:pt>
                <c:pt idx="1623">
                  <c:v>2701</c:v>
                </c:pt>
                <c:pt idx="1624">
                  <c:v>1700</c:v>
                </c:pt>
                <c:pt idx="1625">
                  <c:v>15</c:v>
                </c:pt>
                <c:pt idx="1626">
                  <c:v>25007</c:v>
                </c:pt>
                <c:pt idx="1627">
                  <c:v>1711</c:v>
                </c:pt>
                <c:pt idx="1628">
                  <c:v>493</c:v>
                </c:pt>
                <c:pt idx="1629">
                  <c:v>46387</c:v>
                </c:pt>
                <c:pt idx="1630">
                  <c:v>0</c:v>
                </c:pt>
                <c:pt idx="1631">
                  <c:v>4570</c:v>
                </c:pt>
                <c:pt idx="1632">
                  <c:v>217</c:v>
                </c:pt>
                <c:pt idx="1633">
                  <c:v>211</c:v>
                </c:pt>
                <c:pt idx="1634">
                  <c:v>1700</c:v>
                </c:pt>
                <c:pt idx="1635">
                  <c:v>1700</c:v>
                </c:pt>
                <c:pt idx="1636">
                  <c:v>1700</c:v>
                </c:pt>
                <c:pt idx="1637">
                  <c:v>2700</c:v>
                </c:pt>
                <c:pt idx="1638">
                  <c:v>331</c:v>
                </c:pt>
                <c:pt idx="1639">
                  <c:v>211</c:v>
                </c:pt>
                <c:pt idx="1640">
                  <c:v>958088477</c:v>
                </c:pt>
                <c:pt idx="1641">
                  <c:v>958088460</c:v>
                </c:pt>
                <c:pt idx="1642">
                  <c:v>958088434</c:v>
                </c:pt>
                <c:pt idx="1643">
                  <c:v>231683</c:v>
                </c:pt>
                <c:pt idx="1644">
                  <c:v>0</c:v>
                </c:pt>
                <c:pt idx="1645">
                  <c:v>207</c:v>
                </c:pt>
                <c:pt idx="1646">
                  <c:v>2604</c:v>
                </c:pt>
                <c:pt idx="1647">
                  <c:v>2605</c:v>
                </c:pt>
                <c:pt idx="1648">
                  <c:v>2603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1876</c:v>
                </c:pt>
                <c:pt idx="1656">
                  <c:v>175</c:v>
                </c:pt>
                <c:pt idx="1657">
                  <c:v>356</c:v>
                </c:pt>
                <c:pt idx="1658">
                  <c:v>98</c:v>
                </c:pt>
                <c:pt idx="1659">
                  <c:v>0</c:v>
                </c:pt>
                <c:pt idx="1660">
                  <c:v>556</c:v>
                </c:pt>
                <c:pt idx="1661">
                  <c:v>205</c:v>
                </c:pt>
                <c:pt idx="1662">
                  <c:v>0</c:v>
                </c:pt>
                <c:pt idx="1663">
                  <c:v>0</c:v>
                </c:pt>
                <c:pt idx="1664">
                  <c:v>2622</c:v>
                </c:pt>
                <c:pt idx="1665">
                  <c:v>2623</c:v>
                </c:pt>
                <c:pt idx="1666">
                  <c:v>337255</c:v>
                </c:pt>
                <c:pt idx="1667">
                  <c:v>1334</c:v>
                </c:pt>
                <c:pt idx="1668">
                  <c:v>1699</c:v>
                </c:pt>
                <c:pt idx="1669">
                  <c:v>335651</c:v>
                </c:pt>
                <c:pt idx="1670">
                  <c:v>27</c:v>
                </c:pt>
                <c:pt idx="1671">
                  <c:v>46390</c:v>
                </c:pt>
                <c:pt idx="1672">
                  <c:v>17616</c:v>
                </c:pt>
                <c:pt idx="1673">
                  <c:v>338729</c:v>
                </c:pt>
                <c:pt idx="1674">
                  <c:v>490</c:v>
                </c:pt>
                <c:pt idx="1675">
                  <c:v>958093612</c:v>
                </c:pt>
                <c:pt idx="1676">
                  <c:v>8241</c:v>
                </c:pt>
                <c:pt idx="1677">
                  <c:v>77</c:v>
                </c:pt>
                <c:pt idx="1678">
                  <c:v>0</c:v>
                </c:pt>
                <c:pt idx="1679">
                  <c:v>1870</c:v>
                </c:pt>
                <c:pt idx="1680">
                  <c:v>3354</c:v>
                </c:pt>
                <c:pt idx="1681">
                  <c:v>1868</c:v>
                </c:pt>
                <c:pt idx="1682">
                  <c:v>1871</c:v>
                </c:pt>
                <c:pt idx="1683">
                  <c:v>17613</c:v>
                </c:pt>
                <c:pt idx="1684">
                  <c:v>349324</c:v>
                </c:pt>
                <c:pt idx="1685">
                  <c:v>0</c:v>
                </c:pt>
                <c:pt idx="1686">
                  <c:v>4554</c:v>
                </c:pt>
                <c:pt idx="1687">
                  <c:v>4555</c:v>
                </c:pt>
                <c:pt idx="1688">
                  <c:v>335298</c:v>
                </c:pt>
                <c:pt idx="1689">
                  <c:v>546191</c:v>
                </c:pt>
                <c:pt idx="1690">
                  <c:v>804</c:v>
                </c:pt>
                <c:pt idx="1691">
                  <c:v>12813</c:v>
                </c:pt>
                <c:pt idx="1692">
                  <c:v>940</c:v>
                </c:pt>
                <c:pt idx="1693">
                  <c:v>0</c:v>
                </c:pt>
                <c:pt idx="1694">
                  <c:v>9041</c:v>
                </c:pt>
                <c:pt idx="1697">
                  <c:v>0</c:v>
                </c:pt>
                <c:pt idx="1698">
                  <c:v>2610000000004</c:v>
                </c:pt>
                <c:pt idx="1699">
                  <c:v>12820</c:v>
                </c:pt>
                <c:pt idx="1700">
                  <c:v>13834</c:v>
                </c:pt>
                <c:pt idx="1701">
                  <c:v>276</c:v>
                </c:pt>
                <c:pt idx="1702">
                  <c:v>13835</c:v>
                </c:pt>
                <c:pt idx="1703">
                  <c:v>0</c:v>
                </c:pt>
                <c:pt idx="1704">
                  <c:v>939</c:v>
                </c:pt>
                <c:pt idx="1705">
                  <c:v>294</c:v>
                </c:pt>
                <c:pt idx="1706">
                  <c:v>1043</c:v>
                </c:pt>
                <c:pt idx="1707">
                  <c:v>2889988</c:v>
                </c:pt>
                <c:pt idx="1708">
                  <c:v>0</c:v>
                </c:pt>
                <c:pt idx="1709">
                  <c:v>0</c:v>
                </c:pt>
                <c:pt idx="1710">
                  <c:v>4551</c:v>
                </c:pt>
                <c:pt idx="1711">
                  <c:v>171</c:v>
                </c:pt>
                <c:pt idx="1712">
                  <c:v>13836</c:v>
                </c:pt>
                <c:pt idx="1713">
                  <c:v>347195</c:v>
                </c:pt>
                <c:pt idx="1714">
                  <c:v>0</c:v>
                </c:pt>
                <c:pt idx="1715">
                  <c:v>0</c:v>
                </c:pt>
                <c:pt idx="1716">
                  <c:v>5633</c:v>
                </c:pt>
                <c:pt idx="1717">
                  <c:v>2890020</c:v>
                </c:pt>
                <c:pt idx="1718">
                  <c:v>2890019</c:v>
                </c:pt>
                <c:pt idx="1719">
                  <c:v>2890681</c:v>
                </c:pt>
                <c:pt idx="1720">
                  <c:v>2890016</c:v>
                </c:pt>
                <c:pt idx="1721">
                  <c:v>2890017</c:v>
                </c:pt>
                <c:pt idx="1722">
                  <c:v>1869</c:v>
                </c:pt>
                <c:pt idx="1723">
                  <c:v>0</c:v>
                </c:pt>
                <c:pt idx="1724">
                  <c:v>3355</c:v>
                </c:pt>
                <c:pt idx="1725">
                  <c:v>3357</c:v>
                </c:pt>
                <c:pt idx="1726">
                  <c:v>227</c:v>
                </c:pt>
                <c:pt idx="1727">
                  <c:v>3356</c:v>
                </c:pt>
                <c:pt idx="1728">
                  <c:v>982</c:v>
                </c:pt>
                <c:pt idx="1729">
                  <c:v>75</c:v>
                </c:pt>
                <c:pt idx="1730">
                  <c:v>108</c:v>
                </c:pt>
                <c:pt idx="1731">
                  <c:v>0</c:v>
                </c:pt>
                <c:pt idx="1732">
                  <c:v>11602</c:v>
                </c:pt>
                <c:pt idx="1733">
                  <c:v>367616</c:v>
                </c:pt>
                <c:pt idx="1734">
                  <c:v>91</c:v>
                </c:pt>
                <c:pt idx="1735">
                  <c:v>50</c:v>
                </c:pt>
                <c:pt idx="1736">
                  <c:v>4558</c:v>
                </c:pt>
                <c:pt idx="1737">
                  <c:v>226</c:v>
                </c:pt>
                <c:pt idx="1738">
                  <c:v>0</c:v>
                </c:pt>
                <c:pt idx="1739">
                  <c:v>5011</c:v>
                </c:pt>
                <c:pt idx="1740">
                  <c:v>1097</c:v>
                </c:pt>
                <c:pt idx="1741">
                  <c:v>463</c:v>
                </c:pt>
                <c:pt idx="1742">
                  <c:v>10006</c:v>
                </c:pt>
                <c:pt idx="1743">
                  <c:v>18540</c:v>
                </c:pt>
                <c:pt idx="1744">
                  <c:v>183187</c:v>
                </c:pt>
                <c:pt idx="1745">
                  <c:v>181944</c:v>
                </c:pt>
                <c:pt idx="1746">
                  <c:v>464</c:v>
                </c:pt>
                <c:pt idx="1747">
                  <c:v>2889985</c:v>
                </c:pt>
                <c:pt idx="1748">
                  <c:v>206</c:v>
                </c:pt>
                <c:pt idx="1749">
                  <c:v>0</c:v>
                </c:pt>
                <c:pt idx="1750">
                  <c:v>4557</c:v>
                </c:pt>
                <c:pt idx="1751">
                  <c:v>182573</c:v>
                </c:pt>
                <c:pt idx="1752">
                  <c:v>0</c:v>
                </c:pt>
                <c:pt idx="1753">
                  <c:v>0</c:v>
                </c:pt>
                <c:pt idx="1754">
                  <c:v>12817</c:v>
                </c:pt>
                <c:pt idx="1755">
                  <c:v>12817</c:v>
                </c:pt>
                <c:pt idx="1756">
                  <c:v>12817</c:v>
                </c:pt>
                <c:pt idx="1757">
                  <c:v>12817</c:v>
                </c:pt>
                <c:pt idx="1758">
                  <c:v>2139656</c:v>
                </c:pt>
                <c:pt idx="1759">
                  <c:v>0</c:v>
                </c:pt>
                <c:pt idx="1760">
                  <c:v>477</c:v>
                </c:pt>
                <c:pt idx="1761">
                  <c:v>7900</c:v>
                </c:pt>
                <c:pt idx="1762">
                  <c:v>288880</c:v>
                </c:pt>
                <c:pt idx="1763">
                  <c:v>0</c:v>
                </c:pt>
                <c:pt idx="1764">
                  <c:v>68950</c:v>
                </c:pt>
                <c:pt idx="1765">
                  <c:v>229</c:v>
                </c:pt>
                <c:pt idx="1766">
                  <c:v>230</c:v>
                </c:pt>
                <c:pt idx="1767">
                  <c:v>194953</c:v>
                </c:pt>
                <c:pt idx="1768">
                  <c:v>2515</c:v>
                </c:pt>
                <c:pt idx="1769">
                  <c:v>2516</c:v>
                </c:pt>
                <c:pt idx="1770">
                  <c:v>958104383</c:v>
                </c:pt>
                <c:pt idx="1771">
                  <c:v>958104382</c:v>
                </c:pt>
                <c:pt idx="1772">
                  <c:v>958309213</c:v>
                </c:pt>
                <c:pt idx="1773">
                  <c:v>958309212</c:v>
                </c:pt>
                <c:pt idx="1774">
                  <c:v>194787</c:v>
                </c:pt>
                <c:pt idx="1775">
                  <c:v>1540</c:v>
                </c:pt>
                <c:pt idx="1776">
                  <c:v>0</c:v>
                </c:pt>
                <c:pt idx="1777">
                  <c:v>958104422</c:v>
                </c:pt>
                <c:pt idx="1778">
                  <c:v>194813</c:v>
                </c:pt>
                <c:pt idx="1779">
                  <c:v>194717</c:v>
                </c:pt>
                <c:pt idx="1780">
                  <c:v>194617</c:v>
                </c:pt>
                <c:pt idx="1781">
                  <c:v>194737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37043</c:v>
                </c:pt>
                <c:pt idx="1787">
                  <c:v>0</c:v>
                </c:pt>
                <c:pt idx="1788">
                  <c:v>374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2866</c:v>
                </c:pt>
                <c:pt idx="1793">
                  <c:v>80</c:v>
                </c:pt>
                <c:pt idx="1794">
                  <c:v>0</c:v>
                </c:pt>
                <c:pt idx="1795">
                  <c:v>426</c:v>
                </c:pt>
                <c:pt idx="1796">
                  <c:v>33261</c:v>
                </c:pt>
                <c:pt idx="1797">
                  <c:v>0</c:v>
                </c:pt>
                <c:pt idx="1798">
                  <c:v>333</c:v>
                </c:pt>
                <c:pt idx="1799">
                  <c:v>182082</c:v>
                </c:pt>
                <c:pt idx="1800">
                  <c:v>0</c:v>
                </c:pt>
                <c:pt idx="1801">
                  <c:v>1874626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43506</c:v>
                </c:pt>
                <c:pt idx="1806">
                  <c:v>0</c:v>
                </c:pt>
                <c:pt idx="1807">
                  <c:v>2661</c:v>
                </c:pt>
                <c:pt idx="1808">
                  <c:v>21216</c:v>
                </c:pt>
                <c:pt idx="1809">
                  <c:v>21207</c:v>
                </c:pt>
                <c:pt idx="1810">
                  <c:v>0</c:v>
                </c:pt>
                <c:pt idx="1811">
                  <c:v>1520613</c:v>
                </c:pt>
                <c:pt idx="1812">
                  <c:v>1520612</c:v>
                </c:pt>
                <c:pt idx="1813">
                  <c:v>0</c:v>
                </c:pt>
                <c:pt idx="1814">
                  <c:v>120</c:v>
                </c:pt>
                <c:pt idx="1815">
                  <c:v>600</c:v>
                </c:pt>
                <c:pt idx="1816">
                  <c:v>603</c:v>
                </c:pt>
                <c:pt idx="1817">
                  <c:v>597</c:v>
                </c:pt>
                <c:pt idx="1818">
                  <c:v>602</c:v>
                </c:pt>
                <c:pt idx="1819">
                  <c:v>43369</c:v>
                </c:pt>
                <c:pt idx="1820">
                  <c:v>601</c:v>
                </c:pt>
                <c:pt idx="1821">
                  <c:v>0</c:v>
                </c:pt>
                <c:pt idx="1822">
                  <c:v>1287</c:v>
                </c:pt>
                <c:pt idx="1823">
                  <c:v>5835</c:v>
                </c:pt>
                <c:pt idx="1824">
                  <c:v>604</c:v>
                </c:pt>
                <c:pt idx="1825">
                  <c:v>599</c:v>
                </c:pt>
                <c:pt idx="1826">
                  <c:v>2087</c:v>
                </c:pt>
                <c:pt idx="1827">
                  <c:v>199551</c:v>
                </c:pt>
                <c:pt idx="1828">
                  <c:v>0</c:v>
                </c:pt>
                <c:pt idx="1829">
                  <c:v>6118</c:v>
                </c:pt>
                <c:pt idx="1830">
                  <c:v>70</c:v>
                </c:pt>
                <c:pt idx="1831">
                  <c:v>71</c:v>
                </c:pt>
                <c:pt idx="1832">
                  <c:v>75</c:v>
                </c:pt>
                <c:pt idx="1833">
                  <c:v>74</c:v>
                </c:pt>
                <c:pt idx="1834">
                  <c:v>76</c:v>
                </c:pt>
                <c:pt idx="1835">
                  <c:v>73</c:v>
                </c:pt>
                <c:pt idx="1836">
                  <c:v>201944</c:v>
                </c:pt>
                <c:pt idx="1837">
                  <c:v>2086</c:v>
                </c:pt>
                <c:pt idx="1838">
                  <c:v>199553</c:v>
                </c:pt>
                <c:pt idx="1839">
                  <c:v>36777</c:v>
                </c:pt>
                <c:pt idx="1840">
                  <c:v>7946</c:v>
                </c:pt>
                <c:pt idx="1841">
                  <c:v>7954</c:v>
                </c:pt>
                <c:pt idx="1842">
                  <c:v>7955</c:v>
                </c:pt>
                <c:pt idx="1843">
                  <c:v>6119</c:v>
                </c:pt>
                <c:pt idx="1844">
                  <c:v>1520539</c:v>
                </c:pt>
                <c:pt idx="1845">
                  <c:v>1873</c:v>
                </c:pt>
                <c:pt idx="1846">
                  <c:v>3359</c:v>
                </c:pt>
                <c:pt idx="1847">
                  <c:v>4401</c:v>
                </c:pt>
                <c:pt idx="1848">
                  <c:v>9958</c:v>
                </c:pt>
                <c:pt idx="1849">
                  <c:v>2070</c:v>
                </c:pt>
                <c:pt idx="1850">
                  <c:v>1873</c:v>
                </c:pt>
                <c:pt idx="1851">
                  <c:v>0</c:v>
                </c:pt>
                <c:pt idx="1852">
                  <c:v>3359</c:v>
                </c:pt>
                <c:pt idx="1853">
                  <c:v>246199</c:v>
                </c:pt>
                <c:pt idx="1854">
                  <c:v>1923</c:v>
                </c:pt>
                <c:pt idx="1855">
                  <c:v>4438</c:v>
                </c:pt>
                <c:pt idx="1856">
                  <c:v>247178</c:v>
                </c:pt>
                <c:pt idx="1857">
                  <c:v>139</c:v>
                </c:pt>
                <c:pt idx="1858">
                  <c:v>2890023</c:v>
                </c:pt>
                <c:pt idx="1859">
                  <c:v>2890025</c:v>
                </c:pt>
                <c:pt idx="1860">
                  <c:v>2891639</c:v>
                </c:pt>
                <c:pt idx="1861">
                  <c:v>2890022</c:v>
                </c:pt>
                <c:pt idx="1862">
                  <c:v>2890021</c:v>
                </c:pt>
                <c:pt idx="1863">
                  <c:v>1929</c:v>
                </c:pt>
                <c:pt idx="1864">
                  <c:v>1875</c:v>
                </c:pt>
                <c:pt idx="1865">
                  <c:v>201945</c:v>
                </c:pt>
                <c:pt idx="1866">
                  <c:v>12</c:v>
                </c:pt>
                <c:pt idx="1867">
                  <c:v>1875</c:v>
                </c:pt>
                <c:pt idx="1868">
                  <c:v>2891637</c:v>
                </c:pt>
                <c:pt idx="1869">
                  <c:v>2890024</c:v>
                </c:pt>
                <c:pt idx="1870">
                  <c:v>2890027</c:v>
                </c:pt>
                <c:pt idx="1871">
                  <c:v>2891638</c:v>
                </c:pt>
                <c:pt idx="1872">
                  <c:v>2891636</c:v>
                </c:pt>
                <c:pt idx="1873">
                  <c:v>2891234</c:v>
                </c:pt>
                <c:pt idx="1874">
                  <c:v>2890026</c:v>
                </c:pt>
                <c:pt idx="1875">
                  <c:v>234503</c:v>
                </c:pt>
                <c:pt idx="1876">
                  <c:v>194762</c:v>
                </c:pt>
                <c:pt idx="1877">
                  <c:v>2669</c:v>
                </c:pt>
                <c:pt idx="1878">
                  <c:v>2559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140</c:v>
                </c:pt>
                <c:pt idx="1883">
                  <c:v>0</c:v>
                </c:pt>
                <c:pt idx="1884">
                  <c:v>16111109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19489</c:v>
                </c:pt>
                <c:pt idx="1889">
                  <c:v>0</c:v>
                </c:pt>
                <c:pt idx="1890">
                  <c:v>343919</c:v>
                </c:pt>
                <c:pt idx="1891">
                  <c:v>195565</c:v>
                </c:pt>
                <c:pt idx="1892">
                  <c:v>1520442</c:v>
                </c:pt>
                <c:pt idx="1893">
                  <c:v>195138</c:v>
                </c:pt>
                <c:pt idx="1894">
                  <c:v>194213</c:v>
                </c:pt>
                <c:pt idx="1895">
                  <c:v>194254</c:v>
                </c:pt>
                <c:pt idx="1896">
                  <c:v>289904</c:v>
                </c:pt>
                <c:pt idx="1897">
                  <c:v>2674</c:v>
                </c:pt>
                <c:pt idx="1898">
                  <c:v>194250</c:v>
                </c:pt>
                <c:pt idx="1899">
                  <c:v>195017</c:v>
                </c:pt>
                <c:pt idx="1900">
                  <c:v>2675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EA-4783-A855-9FF601EC7E11}"/>
            </c:ext>
          </c:extLst>
        </c:ser>
        <c:ser>
          <c:idx val="9"/>
          <c:order val="9"/>
          <c:tx>
            <c:strRef>
              <c:f>'INVENTÁRIO 2026'!$I$2</c:f>
              <c:strCache>
                <c:ptCount val="1"/>
                <c:pt idx="0">
                  <c:v>FONTE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2026'!$I$3:$I$11811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16000000</c:v>
                </c:pt>
                <c:pt idx="6">
                  <c:v>15010000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15000000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16000000</c:v>
                </c:pt>
                <c:pt idx="16">
                  <c:v>15001002</c:v>
                </c:pt>
                <c:pt idx="17">
                  <c:v>15001002</c:v>
                </c:pt>
                <c:pt idx="18">
                  <c:v>16000000</c:v>
                </c:pt>
                <c:pt idx="19">
                  <c:v>15001002</c:v>
                </c:pt>
                <c:pt idx="20">
                  <c:v>16000000</c:v>
                </c:pt>
                <c:pt idx="21">
                  <c:v>15001002</c:v>
                </c:pt>
                <c:pt idx="22">
                  <c:v>16000000</c:v>
                </c:pt>
                <c:pt idx="23">
                  <c:v>15001002</c:v>
                </c:pt>
                <c:pt idx="24">
                  <c:v>15001002</c:v>
                </c:pt>
                <c:pt idx="25">
                  <c:v>15001002</c:v>
                </c:pt>
                <c:pt idx="26">
                  <c:v>15001002</c:v>
                </c:pt>
                <c:pt idx="27">
                  <c:v>15001002</c:v>
                </c:pt>
                <c:pt idx="28">
                  <c:v>15001002</c:v>
                </c:pt>
                <c:pt idx="29">
                  <c:v>15001002</c:v>
                </c:pt>
                <c:pt idx="30">
                  <c:v>15001002</c:v>
                </c:pt>
                <c:pt idx="31">
                  <c:v>15001002</c:v>
                </c:pt>
                <c:pt idx="32">
                  <c:v>15001002</c:v>
                </c:pt>
                <c:pt idx="33">
                  <c:v>15001002</c:v>
                </c:pt>
                <c:pt idx="34">
                  <c:v>16000000</c:v>
                </c:pt>
                <c:pt idx="35">
                  <c:v>16000000</c:v>
                </c:pt>
                <c:pt idx="36">
                  <c:v>16000000</c:v>
                </c:pt>
                <c:pt idx="37">
                  <c:v>15001002</c:v>
                </c:pt>
                <c:pt idx="38">
                  <c:v>15001002</c:v>
                </c:pt>
                <c:pt idx="39">
                  <c:v>15001002</c:v>
                </c:pt>
                <c:pt idx="40">
                  <c:v>15001002</c:v>
                </c:pt>
                <c:pt idx="41">
                  <c:v>15001002</c:v>
                </c:pt>
                <c:pt idx="42">
                  <c:v>15001002</c:v>
                </c:pt>
                <c:pt idx="43">
                  <c:v>16000000</c:v>
                </c:pt>
                <c:pt idx="44">
                  <c:v>15001002</c:v>
                </c:pt>
                <c:pt idx="45">
                  <c:v>0</c:v>
                </c:pt>
                <c:pt idx="46">
                  <c:v>16000000</c:v>
                </c:pt>
                <c:pt idx="47">
                  <c:v>16000000</c:v>
                </c:pt>
                <c:pt idx="48">
                  <c:v>16000000</c:v>
                </c:pt>
                <c:pt idx="49">
                  <c:v>16000000</c:v>
                </c:pt>
                <c:pt idx="50">
                  <c:v>16000000</c:v>
                </c:pt>
                <c:pt idx="51">
                  <c:v>16000000</c:v>
                </c:pt>
                <c:pt idx="52">
                  <c:v>16000000</c:v>
                </c:pt>
                <c:pt idx="53">
                  <c:v>15001002</c:v>
                </c:pt>
                <c:pt idx="54">
                  <c:v>16000000</c:v>
                </c:pt>
                <c:pt idx="55">
                  <c:v>16000000</c:v>
                </c:pt>
                <c:pt idx="56">
                  <c:v>16000000</c:v>
                </c:pt>
                <c:pt idx="57">
                  <c:v>0</c:v>
                </c:pt>
                <c:pt idx="58">
                  <c:v>15001002</c:v>
                </c:pt>
                <c:pt idx="59">
                  <c:v>0</c:v>
                </c:pt>
                <c:pt idx="60">
                  <c:v>15000000</c:v>
                </c:pt>
                <c:pt idx="61">
                  <c:v>0</c:v>
                </c:pt>
                <c:pt idx="62">
                  <c:v>15001002</c:v>
                </c:pt>
                <c:pt idx="63">
                  <c:v>15001002</c:v>
                </c:pt>
                <c:pt idx="64">
                  <c:v>0</c:v>
                </c:pt>
                <c:pt idx="65">
                  <c:v>0</c:v>
                </c:pt>
                <c:pt idx="66">
                  <c:v>15001002</c:v>
                </c:pt>
                <c:pt idx="67">
                  <c:v>15001002</c:v>
                </c:pt>
                <c:pt idx="68">
                  <c:v>16000000</c:v>
                </c:pt>
                <c:pt idx="69">
                  <c:v>15010000</c:v>
                </c:pt>
                <c:pt idx="70">
                  <c:v>0</c:v>
                </c:pt>
                <c:pt idx="71">
                  <c:v>0</c:v>
                </c:pt>
                <c:pt idx="72">
                  <c:v>15001002</c:v>
                </c:pt>
                <c:pt idx="73">
                  <c:v>15001002</c:v>
                </c:pt>
                <c:pt idx="74">
                  <c:v>15001002</c:v>
                </c:pt>
                <c:pt idx="75">
                  <c:v>15001002</c:v>
                </c:pt>
                <c:pt idx="76">
                  <c:v>26010000</c:v>
                </c:pt>
                <c:pt idx="77">
                  <c:v>16000000</c:v>
                </c:pt>
                <c:pt idx="78">
                  <c:v>15001002</c:v>
                </c:pt>
                <c:pt idx="79">
                  <c:v>16003110</c:v>
                </c:pt>
                <c:pt idx="80">
                  <c:v>16000000</c:v>
                </c:pt>
                <c:pt idx="81">
                  <c:v>16000000</c:v>
                </c:pt>
                <c:pt idx="82">
                  <c:v>16210000</c:v>
                </c:pt>
                <c:pt idx="83">
                  <c:v>16000000</c:v>
                </c:pt>
                <c:pt idx="84">
                  <c:v>16003110</c:v>
                </c:pt>
                <c:pt idx="85">
                  <c:v>16000000</c:v>
                </c:pt>
                <c:pt idx="86">
                  <c:v>16000000</c:v>
                </c:pt>
                <c:pt idx="87">
                  <c:v>16210000</c:v>
                </c:pt>
                <c:pt idx="88">
                  <c:v>15001002</c:v>
                </c:pt>
                <c:pt idx="89">
                  <c:v>15001002</c:v>
                </c:pt>
                <c:pt idx="90">
                  <c:v>15001002</c:v>
                </c:pt>
                <c:pt idx="91">
                  <c:v>16210000</c:v>
                </c:pt>
                <c:pt idx="92">
                  <c:v>16000000</c:v>
                </c:pt>
                <c:pt idx="93">
                  <c:v>16210000</c:v>
                </c:pt>
                <c:pt idx="94">
                  <c:v>16210000</c:v>
                </c:pt>
                <c:pt idx="95">
                  <c:v>16000000</c:v>
                </c:pt>
                <c:pt idx="96">
                  <c:v>16000000</c:v>
                </c:pt>
                <c:pt idx="97">
                  <c:v>16000000</c:v>
                </c:pt>
                <c:pt idx="98">
                  <c:v>16000000</c:v>
                </c:pt>
                <c:pt idx="99">
                  <c:v>15001002</c:v>
                </c:pt>
                <c:pt idx="100">
                  <c:v>16000000</c:v>
                </c:pt>
                <c:pt idx="101">
                  <c:v>16210000</c:v>
                </c:pt>
                <c:pt idx="102">
                  <c:v>16000000</c:v>
                </c:pt>
                <c:pt idx="103">
                  <c:v>16210000</c:v>
                </c:pt>
                <c:pt idx="104">
                  <c:v>15001002</c:v>
                </c:pt>
                <c:pt idx="105">
                  <c:v>26010000</c:v>
                </c:pt>
                <c:pt idx="106">
                  <c:v>16000000</c:v>
                </c:pt>
                <c:pt idx="107">
                  <c:v>16000000</c:v>
                </c:pt>
                <c:pt idx="108">
                  <c:v>16000000</c:v>
                </c:pt>
                <c:pt idx="109">
                  <c:v>16210000</c:v>
                </c:pt>
                <c:pt idx="110">
                  <c:v>16000000</c:v>
                </c:pt>
                <c:pt idx="111">
                  <c:v>16210000</c:v>
                </c:pt>
                <c:pt idx="112">
                  <c:v>16210000</c:v>
                </c:pt>
                <c:pt idx="113">
                  <c:v>16000000</c:v>
                </c:pt>
                <c:pt idx="114">
                  <c:v>16000000</c:v>
                </c:pt>
                <c:pt idx="115">
                  <c:v>16000000</c:v>
                </c:pt>
                <c:pt idx="116">
                  <c:v>16210000</c:v>
                </c:pt>
                <c:pt idx="117">
                  <c:v>16210000</c:v>
                </c:pt>
                <c:pt idx="118">
                  <c:v>16210000</c:v>
                </c:pt>
                <c:pt idx="119">
                  <c:v>16210000</c:v>
                </c:pt>
                <c:pt idx="120">
                  <c:v>26010000</c:v>
                </c:pt>
                <c:pt idx="121">
                  <c:v>16000000</c:v>
                </c:pt>
                <c:pt idx="122">
                  <c:v>16000000</c:v>
                </c:pt>
                <c:pt idx="123">
                  <c:v>16590000</c:v>
                </c:pt>
                <c:pt idx="124">
                  <c:v>16000000</c:v>
                </c:pt>
                <c:pt idx="125">
                  <c:v>16000000</c:v>
                </c:pt>
                <c:pt idx="126">
                  <c:v>16000000</c:v>
                </c:pt>
                <c:pt idx="127">
                  <c:v>16000000</c:v>
                </c:pt>
                <c:pt idx="128">
                  <c:v>16210000</c:v>
                </c:pt>
                <c:pt idx="129">
                  <c:v>16210000</c:v>
                </c:pt>
                <c:pt idx="130">
                  <c:v>16210000</c:v>
                </c:pt>
                <c:pt idx="131">
                  <c:v>16210000</c:v>
                </c:pt>
                <c:pt idx="132">
                  <c:v>16000000</c:v>
                </c:pt>
                <c:pt idx="133">
                  <c:v>16210000</c:v>
                </c:pt>
                <c:pt idx="134">
                  <c:v>16000000</c:v>
                </c:pt>
                <c:pt idx="135">
                  <c:v>16590000</c:v>
                </c:pt>
                <c:pt idx="136">
                  <c:v>15001002</c:v>
                </c:pt>
                <c:pt idx="137">
                  <c:v>16000000</c:v>
                </c:pt>
                <c:pt idx="138">
                  <c:v>15001002</c:v>
                </c:pt>
                <c:pt idx="139">
                  <c:v>26010000</c:v>
                </c:pt>
                <c:pt idx="140">
                  <c:v>26010000</c:v>
                </c:pt>
                <c:pt idx="141">
                  <c:v>16000000</c:v>
                </c:pt>
                <c:pt idx="142">
                  <c:v>16000000</c:v>
                </c:pt>
                <c:pt idx="143">
                  <c:v>16210000</c:v>
                </c:pt>
                <c:pt idx="144">
                  <c:v>15001002</c:v>
                </c:pt>
                <c:pt idx="145">
                  <c:v>16000000</c:v>
                </c:pt>
                <c:pt idx="146">
                  <c:v>16000000</c:v>
                </c:pt>
                <c:pt idx="147">
                  <c:v>16000000</c:v>
                </c:pt>
                <c:pt idx="148">
                  <c:v>25010000</c:v>
                </c:pt>
                <c:pt idx="149">
                  <c:v>15001002</c:v>
                </c:pt>
                <c:pt idx="150">
                  <c:v>15001002</c:v>
                </c:pt>
                <c:pt idx="151">
                  <c:v>15001002</c:v>
                </c:pt>
                <c:pt idx="152">
                  <c:v>15001002</c:v>
                </c:pt>
                <c:pt idx="153">
                  <c:v>0</c:v>
                </c:pt>
                <c:pt idx="154">
                  <c:v>160000000</c:v>
                </c:pt>
                <c:pt idx="155">
                  <c:v>0</c:v>
                </c:pt>
                <c:pt idx="156">
                  <c:v>0</c:v>
                </c:pt>
                <c:pt idx="157">
                  <c:v>16000000</c:v>
                </c:pt>
                <c:pt idx="158">
                  <c:v>15010000</c:v>
                </c:pt>
                <c:pt idx="159">
                  <c:v>16000000</c:v>
                </c:pt>
                <c:pt idx="160">
                  <c:v>16000000</c:v>
                </c:pt>
                <c:pt idx="161">
                  <c:v>15001002</c:v>
                </c:pt>
                <c:pt idx="162">
                  <c:v>15001002</c:v>
                </c:pt>
                <c:pt idx="163">
                  <c:v>15001002</c:v>
                </c:pt>
                <c:pt idx="164">
                  <c:v>15001002</c:v>
                </c:pt>
                <c:pt idx="165">
                  <c:v>16000000</c:v>
                </c:pt>
                <c:pt idx="166">
                  <c:v>16000000</c:v>
                </c:pt>
                <c:pt idx="167">
                  <c:v>16000000</c:v>
                </c:pt>
                <c:pt idx="168">
                  <c:v>16000000</c:v>
                </c:pt>
                <c:pt idx="169">
                  <c:v>16000000</c:v>
                </c:pt>
                <c:pt idx="170">
                  <c:v>15000000</c:v>
                </c:pt>
                <c:pt idx="171">
                  <c:v>0</c:v>
                </c:pt>
                <c:pt idx="172">
                  <c:v>15001002</c:v>
                </c:pt>
                <c:pt idx="173">
                  <c:v>16000000</c:v>
                </c:pt>
                <c:pt idx="174">
                  <c:v>16000000</c:v>
                </c:pt>
                <c:pt idx="175">
                  <c:v>16003110</c:v>
                </c:pt>
                <c:pt idx="176">
                  <c:v>16000000</c:v>
                </c:pt>
                <c:pt idx="177">
                  <c:v>16210000</c:v>
                </c:pt>
                <c:pt idx="178">
                  <c:v>26010000</c:v>
                </c:pt>
                <c:pt idx="179">
                  <c:v>0</c:v>
                </c:pt>
                <c:pt idx="180">
                  <c:v>15000000</c:v>
                </c:pt>
                <c:pt idx="181">
                  <c:v>15000000</c:v>
                </c:pt>
                <c:pt idx="182">
                  <c:v>15000000</c:v>
                </c:pt>
                <c:pt idx="183">
                  <c:v>15000000</c:v>
                </c:pt>
                <c:pt idx="184">
                  <c:v>15000000</c:v>
                </c:pt>
                <c:pt idx="185">
                  <c:v>0</c:v>
                </c:pt>
                <c:pt idx="186">
                  <c:v>15001002</c:v>
                </c:pt>
                <c:pt idx="187">
                  <c:v>17510000</c:v>
                </c:pt>
                <c:pt idx="188">
                  <c:v>15000000</c:v>
                </c:pt>
                <c:pt idx="189">
                  <c:v>15000000</c:v>
                </c:pt>
                <c:pt idx="190">
                  <c:v>15000000</c:v>
                </c:pt>
                <c:pt idx="191">
                  <c:v>15000000</c:v>
                </c:pt>
                <c:pt idx="192">
                  <c:v>17080000</c:v>
                </c:pt>
                <c:pt idx="193">
                  <c:v>15000000</c:v>
                </c:pt>
                <c:pt idx="194">
                  <c:v>15010000</c:v>
                </c:pt>
                <c:pt idx="195">
                  <c:v>15000000</c:v>
                </c:pt>
                <c:pt idx="196">
                  <c:v>15000000</c:v>
                </c:pt>
                <c:pt idx="197">
                  <c:v>15000000</c:v>
                </c:pt>
                <c:pt idx="198">
                  <c:v>15000000</c:v>
                </c:pt>
                <c:pt idx="199">
                  <c:v>15000000</c:v>
                </c:pt>
                <c:pt idx="200">
                  <c:v>15000000</c:v>
                </c:pt>
                <c:pt idx="201">
                  <c:v>0</c:v>
                </c:pt>
                <c:pt idx="202">
                  <c:v>15000000</c:v>
                </c:pt>
                <c:pt idx="203">
                  <c:v>15000000</c:v>
                </c:pt>
                <c:pt idx="204">
                  <c:v>15000000</c:v>
                </c:pt>
                <c:pt idx="205">
                  <c:v>16600000</c:v>
                </c:pt>
                <c:pt idx="206">
                  <c:v>26610000</c:v>
                </c:pt>
                <c:pt idx="207">
                  <c:v>15000000</c:v>
                </c:pt>
                <c:pt idx="208">
                  <c:v>16600000</c:v>
                </c:pt>
                <c:pt idx="209">
                  <c:v>16590000</c:v>
                </c:pt>
                <c:pt idx="210">
                  <c:v>15000000</c:v>
                </c:pt>
                <c:pt idx="211">
                  <c:v>15000000</c:v>
                </c:pt>
                <c:pt idx="212">
                  <c:v>15000000</c:v>
                </c:pt>
                <c:pt idx="213">
                  <c:v>15001002</c:v>
                </c:pt>
                <c:pt idx="214">
                  <c:v>15001002</c:v>
                </c:pt>
                <c:pt idx="215">
                  <c:v>15001002</c:v>
                </c:pt>
                <c:pt idx="216">
                  <c:v>15001002</c:v>
                </c:pt>
                <c:pt idx="217">
                  <c:v>16000000</c:v>
                </c:pt>
                <c:pt idx="218">
                  <c:v>15000000</c:v>
                </c:pt>
                <c:pt idx="219">
                  <c:v>26610000</c:v>
                </c:pt>
                <c:pt idx="220">
                  <c:v>16000000</c:v>
                </c:pt>
                <c:pt idx="221">
                  <c:v>16000000</c:v>
                </c:pt>
                <c:pt idx="222">
                  <c:v>15001002</c:v>
                </c:pt>
                <c:pt idx="223">
                  <c:v>15000000</c:v>
                </c:pt>
                <c:pt idx="224">
                  <c:v>16610000</c:v>
                </c:pt>
                <c:pt idx="225">
                  <c:v>16600000</c:v>
                </c:pt>
                <c:pt idx="226">
                  <c:v>15000000</c:v>
                </c:pt>
                <c:pt idx="227">
                  <c:v>16610000</c:v>
                </c:pt>
                <c:pt idx="228">
                  <c:v>0</c:v>
                </c:pt>
                <c:pt idx="229">
                  <c:v>0</c:v>
                </c:pt>
                <c:pt idx="230">
                  <c:v>17080000</c:v>
                </c:pt>
                <c:pt idx="231">
                  <c:v>15000000</c:v>
                </c:pt>
                <c:pt idx="232">
                  <c:v>15000000</c:v>
                </c:pt>
                <c:pt idx="233">
                  <c:v>15000000</c:v>
                </c:pt>
                <c:pt idx="234">
                  <c:v>15000000</c:v>
                </c:pt>
                <c:pt idx="235">
                  <c:v>15000000</c:v>
                </c:pt>
                <c:pt idx="236">
                  <c:v>15000000</c:v>
                </c:pt>
                <c:pt idx="237">
                  <c:v>15000000</c:v>
                </c:pt>
                <c:pt idx="238">
                  <c:v>15000000</c:v>
                </c:pt>
                <c:pt idx="239">
                  <c:v>15000000</c:v>
                </c:pt>
                <c:pt idx="240">
                  <c:v>15000000</c:v>
                </c:pt>
                <c:pt idx="241">
                  <c:v>16000000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15000000</c:v>
                </c:pt>
                <c:pt idx="246">
                  <c:v>15000000</c:v>
                </c:pt>
                <c:pt idx="247">
                  <c:v>0</c:v>
                </c:pt>
                <c:pt idx="248">
                  <c:v>15000000</c:v>
                </c:pt>
                <c:pt idx="249">
                  <c:v>15000000</c:v>
                </c:pt>
                <c:pt idx="250">
                  <c:v>0</c:v>
                </c:pt>
                <c:pt idx="251">
                  <c:v>15000000</c:v>
                </c:pt>
                <c:pt idx="252">
                  <c:v>0</c:v>
                </c:pt>
                <c:pt idx="253">
                  <c:v>15000000</c:v>
                </c:pt>
                <c:pt idx="254">
                  <c:v>15000000</c:v>
                </c:pt>
                <c:pt idx="255">
                  <c:v>15000000</c:v>
                </c:pt>
                <c:pt idx="256">
                  <c:v>15001002</c:v>
                </c:pt>
                <c:pt idx="257">
                  <c:v>15001001</c:v>
                </c:pt>
                <c:pt idx="258">
                  <c:v>15000000</c:v>
                </c:pt>
                <c:pt idx="259">
                  <c:v>15000000</c:v>
                </c:pt>
                <c:pt idx="260">
                  <c:v>15000000</c:v>
                </c:pt>
                <c:pt idx="261">
                  <c:v>15000000</c:v>
                </c:pt>
                <c:pt idx="262">
                  <c:v>16000000</c:v>
                </c:pt>
                <c:pt idx="263">
                  <c:v>15001002</c:v>
                </c:pt>
                <c:pt idx="264">
                  <c:v>16000000</c:v>
                </c:pt>
                <c:pt idx="265">
                  <c:v>15001002</c:v>
                </c:pt>
                <c:pt idx="266">
                  <c:v>16000000</c:v>
                </c:pt>
                <c:pt idx="267">
                  <c:v>15001002</c:v>
                </c:pt>
                <c:pt idx="268">
                  <c:v>15000000</c:v>
                </c:pt>
                <c:pt idx="269">
                  <c:v>16610000</c:v>
                </c:pt>
                <c:pt idx="270">
                  <c:v>16610000</c:v>
                </c:pt>
                <c:pt idx="271">
                  <c:v>16610000</c:v>
                </c:pt>
                <c:pt idx="272">
                  <c:v>16610000</c:v>
                </c:pt>
                <c:pt idx="273">
                  <c:v>16600000</c:v>
                </c:pt>
                <c:pt idx="274">
                  <c:v>0</c:v>
                </c:pt>
                <c:pt idx="275">
                  <c:v>0</c:v>
                </c:pt>
                <c:pt idx="276">
                  <c:v>15001002</c:v>
                </c:pt>
                <c:pt idx="277">
                  <c:v>15001002</c:v>
                </c:pt>
                <c:pt idx="278">
                  <c:v>0</c:v>
                </c:pt>
                <c:pt idx="279">
                  <c:v>15001002</c:v>
                </c:pt>
                <c:pt idx="280">
                  <c:v>15001002</c:v>
                </c:pt>
                <c:pt idx="281">
                  <c:v>16000000</c:v>
                </c:pt>
                <c:pt idx="282">
                  <c:v>16000000</c:v>
                </c:pt>
                <c:pt idx="283">
                  <c:v>15000000</c:v>
                </c:pt>
                <c:pt idx="284">
                  <c:v>15010000</c:v>
                </c:pt>
                <c:pt idx="285">
                  <c:v>0</c:v>
                </c:pt>
                <c:pt idx="286">
                  <c:v>15000000</c:v>
                </c:pt>
                <c:pt idx="287">
                  <c:v>16600000</c:v>
                </c:pt>
                <c:pt idx="288">
                  <c:v>16600000</c:v>
                </c:pt>
                <c:pt idx="289">
                  <c:v>16600000</c:v>
                </c:pt>
                <c:pt idx="290">
                  <c:v>16600000</c:v>
                </c:pt>
                <c:pt idx="291">
                  <c:v>15010000</c:v>
                </c:pt>
                <c:pt idx="292">
                  <c:v>15000000</c:v>
                </c:pt>
                <c:pt idx="293">
                  <c:v>15010000</c:v>
                </c:pt>
                <c:pt idx="294">
                  <c:v>15000000</c:v>
                </c:pt>
                <c:pt idx="295">
                  <c:v>16600000</c:v>
                </c:pt>
                <c:pt idx="296">
                  <c:v>0</c:v>
                </c:pt>
                <c:pt idx="297">
                  <c:v>0</c:v>
                </c:pt>
                <c:pt idx="298">
                  <c:v>15001001</c:v>
                </c:pt>
                <c:pt idx="299">
                  <c:v>15001002</c:v>
                </c:pt>
                <c:pt idx="300">
                  <c:v>16000000</c:v>
                </c:pt>
                <c:pt idx="301">
                  <c:v>26010000</c:v>
                </c:pt>
                <c:pt idx="302">
                  <c:v>15001002</c:v>
                </c:pt>
                <c:pt idx="303">
                  <c:v>17080000</c:v>
                </c:pt>
                <c:pt idx="304">
                  <c:v>15000000</c:v>
                </c:pt>
                <c:pt idx="305">
                  <c:v>16000000</c:v>
                </c:pt>
                <c:pt idx="306">
                  <c:v>15000000</c:v>
                </c:pt>
                <c:pt idx="307">
                  <c:v>15000000</c:v>
                </c:pt>
                <c:pt idx="308">
                  <c:v>15000000</c:v>
                </c:pt>
                <c:pt idx="309">
                  <c:v>15000000</c:v>
                </c:pt>
                <c:pt idx="310">
                  <c:v>15001002</c:v>
                </c:pt>
                <c:pt idx="311">
                  <c:v>15000000</c:v>
                </c:pt>
                <c:pt idx="312">
                  <c:v>16210000</c:v>
                </c:pt>
                <c:pt idx="313">
                  <c:v>15000000</c:v>
                </c:pt>
                <c:pt idx="314">
                  <c:v>15000000</c:v>
                </c:pt>
                <c:pt idx="315">
                  <c:v>16000000</c:v>
                </c:pt>
                <c:pt idx="316">
                  <c:v>15000000</c:v>
                </c:pt>
                <c:pt idx="317">
                  <c:v>0</c:v>
                </c:pt>
                <c:pt idx="318">
                  <c:v>17040000</c:v>
                </c:pt>
                <c:pt idx="319">
                  <c:v>15001001</c:v>
                </c:pt>
                <c:pt idx="320">
                  <c:v>15000000</c:v>
                </c:pt>
                <c:pt idx="321">
                  <c:v>15000000</c:v>
                </c:pt>
                <c:pt idx="322">
                  <c:v>15000000</c:v>
                </c:pt>
                <c:pt idx="323">
                  <c:v>15001001</c:v>
                </c:pt>
                <c:pt idx="324">
                  <c:v>15001001</c:v>
                </c:pt>
                <c:pt idx="325">
                  <c:v>0</c:v>
                </c:pt>
                <c:pt idx="326">
                  <c:v>15001001</c:v>
                </c:pt>
                <c:pt idx="327">
                  <c:v>16210000</c:v>
                </c:pt>
                <c:pt idx="328">
                  <c:v>0</c:v>
                </c:pt>
                <c:pt idx="329">
                  <c:v>15000000</c:v>
                </c:pt>
                <c:pt idx="330">
                  <c:v>16000000</c:v>
                </c:pt>
                <c:pt idx="331">
                  <c:v>15000000</c:v>
                </c:pt>
                <c:pt idx="332">
                  <c:v>16000000</c:v>
                </c:pt>
                <c:pt idx="333">
                  <c:v>16000000</c:v>
                </c:pt>
                <c:pt idx="334">
                  <c:v>15000000</c:v>
                </c:pt>
                <c:pt idx="335">
                  <c:v>0</c:v>
                </c:pt>
                <c:pt idx="336">
                  <c:v>15001002</c:v>
                </c:pt>
                <c:pt idx="337">
                  <c:v>15001002</c:v>
                </c:pt>
                <c:pt idx="338">
                  <c:v>15000000</c:v>
                </c:pt>
                <c:pt idx="339">
                  <c:v>15500000</c:v>
                </c:pt>
                <c:pt idx="340">
                  <c:v>15500000</c:v>
                </c:pt>
                <c:pt idx="341">
                  <c:v>15500000</c:v>
                </c:pt>
                <c:pt idx="342">
                  <c:v>15000000</c:v>
                </c:pt>
                <c:pt idx="343">
                  <c:v>15000000</c:v>
                </c:pt>
                <c:pt idx="344">
                  <c:v>15000000</c:v>
                </c:pt>
                <c:pt idx="345">
                  <c:v>15000000</c:v>
                </c:pt>
                <c:pt idx="346">
                  <c:v>15000000</c:v>
                </c:pt>
                <c:pt idx="347">
                  <c:v>15000000</c:v>
                </c:pt>
                <c:pt idx="348">
                  <c:v>0</c:v>
                </c:pt>
                <c:pt idx="349">
                  <c:v>15000000</c:v>
                </c:pt>
                <c:pt idx="350">
                  <c:v>15000000</c:v>
                </c:pt>
                <c:pt idx="351">
                  <c:v>15000000</c:v>
                </c:pt>
                <c:pt idx="352">
                  <c:v>15010000</c:v>
                </c:pt>
                <c:pt idx="353">
                  <c:v>15000000</c:v>
                </c:pt>
                <c:pt idx="354">
                  <c:v>15000000</c:v>
                </c:pt>
                <c:pt idx="355">
                  <c:v>15001002</c:v>
                </c:pt>
                <c:pt idx="356">
                  <c:v>15001002</c:v>
                </c:pt>
                <c:pt idx="357">
                  <c:v>15001002</c:v>
                </c:pt>
                <c:pt idx="358">
                  <c:v>15001002</c:v>
                </c:pt>
                <c:pt idx="359">
                  <c:v>15001002</c:v>
                </c:pt>
                <c:pt idx="360">
                  <c:v>15001002</c:v>
                </c:pt>
                <c:pt idx="361">
                  <c:v>15000000</c:v>
                </c:pt>
                <c:pt idx="362">
                  <c:v>16610000</c:v>
                </c:pt>
                <c:pt idx="363">
                  <c:v>16600000</c:v>
                </c:pt>
                <c:pt idx="364">
                  <c:v>15000000</c:v>
                </c:pt>
                <c:pt idx="365">
                  <c:v>16000000</c:v>
                </c:pt>
                <c:pt idx="367">
                  <c:v>15010000</c:v>
                </c:pt>
                <c:pt idx="368">
                  <c:v>15000000</c:v>
                </c:pt>
                <c:pt idx="369">
                  <c:v>15000000</c:v>
                </c:pt>
                <c:pt idx="370">
                  <c:v>15001002</c:v>
                </c:pt>
                <c:pt idx="371">
                  <c:v>15000000</c:v>
                </c:pt>
                <c:pt idx="372">
                  <c:v>16000000</c:v>
                </c:pt>
                <c:pt idx="373">
                  <c:v>15001002</c:v>
                </c:pt>
                <c:pt idx="374">
                  <c:v>16000000</c:v>
                </c:pt>
                <c:pt idx="375">
                  <c:v>15001002</c:v>
                </c:pt>
                <c:pt idx="376">
                  <c:v>15001002</c:v>
                </c:pt>
                <c:pt idx="377">
                  <c:v>15001002</c:v>
                </c:pt>
                <c:pt idx="378">
                  <c:v>15001002</c:v>
                </c:pt>
                <c:pt idx="379">
                  <c:v>15001002</c:v>
                </c:pt>
                <c:pt idx="380">
                  <c:v>16000000</c:v>
                </c:pt>
                <c:pt idx="381">
                  <c:v>15001002</c:v>
                </c:pt>
                <c:pt idx="382">
                  <c:v>15001002</c:v>
                </c:pt>
                <c:pt idx="383">
                  <c:v>15001002</c:v>
                </c:pt>
                <c:pt idx="384">
                  <c:v>15001002</c:v>
                </c:pt>
                <c:pt idx="385">
                  <c:v>15001002</c:v>
                </c:pt>
                <c:pt idx="386">
                  <c:v>15001002</c:v>
                </c:pt>
                <c:pt idx="387">
                  <c:v>15001002</c:v>
                </c:pt>
                <c:pt idx="388">
                  <c:v>15001002</c:v>
                </c:pt>
                <c:pt idx="389">
                  <c:v>15001002</c:v>
                </c:pt>
                <c:pt idx="390">
                  <c:v>15001002</c:v>
                </c:pt>
                <c:pt idx="391">
                  <c:v>15001002</c:v>
                </c:pt>
                <c:pt idx="392">
                  <c:v>15001002</c:v>
                </c:pt>
                <c:pt idx="393">
                  <c:v>15001002</c:v>
                </c:pt>
                <c:pt idx="394">
                  <c:v>15001002</c:v>
                </c:pt>
                <c:pt idx="395">
                  <c:v>15001002</c:v>
                </c:pt>
                <c:pt idx="396">
                  <c:v>15001002</c:v>
                </c:pt>
                <c:pt idx="397">
                  <c:v>15001002</c:v>
                </c:pt>
                <c:pt idx="398">
                  <c:v>15001002</c:v>
                </c:pt>
                <c:pt idx="399">
                  <c:v>15000000</c:v>
                </c:pt>
                <c:pt idx="400">
                  <c:v>15000000</c:v>
                </c:pt>
                <c:pt idx="401">
                  <c:v>15000000</c:v>
                </c:pt>
                <c:pt idx="402">
                  <c:v>15001002</c:v>
                </c:pt>
                <c:pt idx="403">
                  <c:v>15000000</c:v>
                </c:pt>
                <c:pt idx="404">
                  <c:v>15001001</c:v>
                </c:pt>
                <c:pt idx="405">
                  <c:v>15400000</c:v>
                </c:pt>
                <c:pt idx="406">
                  <c:v>15000000</c:v>
                </c:pt>
                <c:pt idx="407">
                  <c:v>15001001</c:v>
                </c:pt>
                <c:pt idx="408">
                  <c:v>0</c:v>
                </c:pt>
                <c:pt idx="409">
                  <c:v>15000000</c:v>
                </c:pt>
                <c:pt idx="410">
                  <c:v>16000000</c:v>
                </c:pt>
                <c:pt idx="411">
                  <c:v>15000000</c:v>
                </c:pt>
                <c:pt idx="412">
                  <c:v>16000000</c:v>
                </c:pt>
                <c:pt idx="413">
                  <c:v>15001002</c:v>
                </c:pt>
                <c:pt idx="414">
                  <c:v>0</c:v>
                </c:pt>
                <c:pt idx="415">
                  <c:v>15000000</c:v>
                </c:pt>
                <c:pt idx="416">
                  <c:v>0</c:v>
                </c:pt>
                <c:pt idx="417">
                  <c:v>15000000</c:v>
                </c:pt>
                <c:pt idx="418">
                  <c:v>15001002</c:v>
                </c:pt>
                <c:pt idx="419">
                  <c:v>16000000</c:v>
                </c:pt>
                <c:pt idx="420">
                  <c:v>15001002</c:v>
                </c:pt>
                <c:pt idx="421">
                  <c:v>15000000</c:v>
                </c:pt>
                <c:pt idx="422">
                  <c:v>15000000</c:v>
                </c:pt>
                <c:pt idx="423">
                  <c:v>15001002</c:v>
                </c:pt>
                <c:pt idx="424">
                  <c:v>15001002</c:v>
                </c:pt>
                <c:pt idx="425">
                  <c:v>15001002</c:v>
                </c:pt>
                <c:pt idx="426">
                  <c:v>15001002</c:v>
                </c:pt>
                <c:pt idx="427">
                  <c:v>15001002</c:v>
                </c:pt>
                <c:pt idx="428">
                  <c:v>15001002</c:v>
                </c:pt>
                <c:pt idx="429">
                  <c:v>16000000</c:v>
                </c:pt>
                <c:pt idx="430">
                  <c:v>15001002</c:v>
                </c:pt>
                <c:pt idx="431">
                  <c:v>0</c:v>
                </c:pt>
                <c:pt idx="432">
                  <c:v>15001001</c:v>
                </c:pt>
                <c:pt idx="433">
                  <c:v>15000000</c:v>
                </c:pt>
                <c:pt idx="434">
                  <c:v>15001002</c:v>
                </c:pt>
                <c:pt idx="435">
                  <c:v>15001002</c:v>
                </c:pt>
                <c:pt idx="436">
                  <c:v>15500000</c:v>
                </c:pt>
                <c:pt idx="437">
                  <c:v>15001002</c:v>
                </c:pt>
                <c:pt idx="438">
                  <c:v>0</c:v>
                </c:pt>
                <c:pt idx="439">
                  <c:v>17510000</c:v>
                </c:pt>
                <c:pt idx="440">
                  <c:v>15001002</c:v>
                </c:pt>
                <c:pt idx="441">
                  <c:v>15000000</c:v>
                </c:pt>
                <c:pt idx="442">
                  <c:v>15000000</c:v>
                </c:pt>
                <c:pt idx="443">
                  <c:v>15000000</c:v>
                </c:pt>
                <c:pt idx="444">
                  <c:v>15000000</c:v>
                </c:pt>
                <c:pt idx="445">
                  <c:v>0</c:v>
                </c:pt>
                <c:pt idx="446">
                  <c:v>15001001</c:v>
                </c:pt>
                <c:pt idx="447">
                  <c:v>15000000</c:v>
                </c:pt>
                <c:pt idx="448">
                  <c:v>15000000</c:v>
                </c:pt>
                <c:pt idx="449">
                  <c:v>15000000</c:v>
                </c:pt>
                <c:pt idx="450">
                  <c:v>15000000</c:v>
                </c:pt>
                <c:pt idx="451">
                  <c:v>15000000</c:v>
                </c:pt>
                <c:pt idx="452">
                  <c:v>15000000</c:v>
                </c:pt>
                <c:pt idx="453">
                  <c:v>15000000</c:v>
                </c:pt>
                <c:pt idx="454">
                  <c:v>15000000</c:v>
                </c:pt>
                <c:pt idx="455">
                  <c:v>16000000</c:v>
                </c:pt>
                <c:pt idx="456">
                  <c:v>0</c:v>
                </c:pt>
                <c:pt idx="457">
                  <c:v>15000000</c:v>
                </c:pt>
                <c:pt idx="458">
                  <c:v>15000000</c:v>
                </c:pt>
                <c:pt idx="459">
                  <c:v>15000000</c:v>
                </c:pt>
                <c:pt idx="460">
                  <c:v>15000000</c:v>
                </c:pt>
                <c:pt idx="461">
                  <c:v>15001002</c:v>
                </c:pt>
                <c:pt idx="462">
                  <c:v>15000000</c:v>
                </c:pt>
                <c:pt idx="463">
                  <c:v>15001001</c:v>
                </c:pt>
                <c:pt idx="464">
                  <c:v>15000000</c:v>
                </c:pt>
                <c:pt idx="465">
                  <c:v>15001001</c:v>
                </c:pt>
                <c:pt idx="466">
                  <c:v>15001001</c:v>
                </c:pt>
                <c:pt idx="467">
                  <c:v>15000000</c:v>
                </c:pt>
                <c:pt idx="468">
                  <c:v>15000000</c:v>
                </c:pt>
                <c:pt idx="469">
                  <c:v>15000000</c:v>
                </c:pt>
                <c:pt idx="470">
                  <c:v>15000000</c:v>
                </c:pt>
                <c:pt idx="471">
                  <c:v>16600000</c:v>
                </c:pt>
                <c:pt idx="472">
                  <c:v>16600000</c:v>
                </c:pt>
                <c:pt idx="473">
                  <c:v>16610000</c:v>
                </c:pt>
                <c:pt idx="474">
                  <c:v>15000000</c:v>
                </c:pt>
                <c:pt idx="475">
                  <c:v>16600000</c:v>
                </c:pt>
                <c:pt idx="476">
                  <c:v>15000000</c:v>
                </c:pt>
                <c:pt idx="477">
                  <c:v>15000000</c:v>
                </c:pt>
                <c:pt idx="478">
                  <c:v>15000000</c:v>
                </c:pt>
                <c:pt idx="479">
                  <c:v>15000000</c:v>
                </c:pt>
                <c:pt idx="480">
                  <c:v>15000000</c:v>
                </c:pt>
                <c:pt idx="481">
                  <c:v>16000000</c:v>
                </c:pt>
                <c:pt idx="482">
                  <c:v>15001002</c:v>
                </c:pt>
                <c:pt idx="483">
                  <c:v>15001002</c:v>
                </c:pt>
                <c:pt idx="484">
                  <c:v>15001002</c:v>
                </c:pt>
                <c:pt idx="485">
                  <c:v>15000000</c:v>
                </c:pt>
                <c:pt idx="486">
                  <c:v>15000000</c:v>
                </c:pt>
                <c:pt idx="487">
                  <c:v>15000000</c:v>
                </c:pt>
                <c:pt idx="488">
                  <c:v>15500000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15001001</c:v>
                </c:pt>
                <c:pt idx="495">
                  <c:v>15000000</c:v>
                </c:pt>
                <c:pt idx="496">
                  <c:v>15000000</c:v>
                </c:pt>
                <c:pt idx="497">
                  <c:v>15000000</c:v>
                </c:pt>
                <c:pt idx="498">
                  <c:v>0</c:v>
                </c:pt>
                <c:pt idx="499">
                  <c:v>15000000</c:v>
                </c:pt>
                <c:pt idx="500">
                  <c:v>15001002</c:v>
                </c:pt>
                <c:pt idx="501">
                  <c:v>17080000</c:v>
                </c:pt>
                <c:pt idx="502">
                  <c:v>15000000</c:v>
                </c:pt>
                <c:pt idx="503">
                  <c:v>15500000</c:v>
                </c:pt>
                <c:pt idx="504">
                  <c:v>15000000</c:v>
                </c:pt>
                <c:pt idx="505">
                  <c:v>15000000</c:v>
                </c:pt>
                <c:pt idx="506">
                  <c:v>15001002</c:v>
                </c:pt>
                <c:pt idx="507">
                  <c:v>15001002</c:v>
                </c:pt>
                <c:pt idx="508">
                  <c:v>15001002</c:v>
                </c:pt>
                <c:pt idx="509">
                  <c:v>15000000</c:v>
                </c:pt>
                <c:pt idx="510">
                  <c:v>0</c:v>
                </c:pt>
                <c:pt idx="511">
                  <c:v>15000000</c:v>
                </c:pt>
                <c:pt idx="512">
                  <c:v>16000000</c:v>
                </c:pt>
                <c:pt idx="513">
                  <c:v>16000000</c:v>
                </c:pt>
                <c:pt idx="514">
                  <c:v>15000000</c:v>
                </c:pt>
                <c:pt idx="515">
                  <c:v>16600000</c:v>
                </c:pt>
                <c:pt idx="516">
                  <c:v>16610000</c:v>
                </c:pt>
                <c:pt idx="517">
                  <c:v>15010000</c:v>
                </c:pt>
                <c:pt idx="518">
                  <c:v>16600000</c:v>
                </c:pt>
                <c:pt idx="519">
                  <c:v>15000000</c:v>
                </c:pt>
                <c:pt idx="520">
                  <c:v>15500000</c:v>
                </c:pt>
                <c:pt idx="521">
                  <c:v>15001002</c:v>
                </c:pt>
                <c:pt idx="522">
                  <c:v>26010000</c:v>
                </c:pt>
                <c:pt idx="523">
                  <c:v>16000000</c:v>
                </c:pt>
                <c:pt idx="524">
                  <c:v>15001002</c:v>
                </c:pt>
                <c:pt idx="525">
                  <c:v>15000000</c:v>
                </c:pt>
                <c:pt idx="526">
                  <c:v>16000000</c:v>
                </c:pt>
                <c:pt idx="527">
                  <c:v>16000000</c:v>
                </c:pt>
                <c:pt idx="528">
                  <c:v>27000000</c:v>
                </c:pt>
                <c:pt idx="529">
                  <c:v>27000000</c:v>
                </c:pt>
                <c:pt idx="530">
                  <c:v>15000000</c:v>
                </c:pt>
                <c:pt idx="531">
                  <c:v>16600000</c:v>
                </c:pt>
                <c:pt idx="532">
                  <c:v>16600000</c:v>
                </c:pt>
                <c:pt idx="533">
                  <c:v>16610000</c:v>
                </c:pt>
                <c:pt idx="534">
                  <c:v>15001001</c:v>
                </c:pt>
                <c:pt idx="535">
                  <c:v>15001001</c:v>
                </c:pt>
                <c:pt idx="536">
                  <c:v>15001001</c:v>
                </c:pt>
                <c:pt idx="537">
                  <c:v>16600000</c:v>
                </c:pt>
                <c:pt idx="538">
                  <c:v>16600000</c:v>
                </c:pt>
                <c:pt idx="539">
                  <c:v>15000000</c:v>
                </c:pt>
                <c:pt idx="540">
                  <c:v>15000001</c:v>
                </c:pt>
                <c:pt idx="541">
                  <c:v>15000000</c:v>
                </c:pt>
                <c:pt idx="542">
                  <c:v>16000000</c:v>
                </c:pt>
                <c:pt idx="543">
                  <c:v>15001001</c:v>
                </c:pt>
                <c:pt idx="544">
                  <c:v>15001001</c:v>
                </c:pt>
                <c:pt idx="545">
                  <c:v>15001001</c:v>
                </c:pt>
                <c:pt idx="546">
                  <c:v>15001001</c:v>
                </c:pt>
                <c:pt idx="547">
                  <c:v>15001001</c:v>
                </c:pt>
                <c:pt idx="548">
                  <c:v>15000000</c:v>
                </c:pt>
                <c:pt idx="549">
                  <c:v>15001001</c:v>
                </c:pt>
                <c:pt idx="550">
                  <c:v>0</c:v>
                </c:pt>
                <c:pt idx="551">
                  <c:v>15000000</c:v>
                </c:pt>
                <c:pt idx="552">
                  <c:v>15000000</c:v>
                </c:pt>
                <c:pt idx="553">
                  <c:v>15000000</c:v>
                </c:pt>
                <c:pt idx="554">
                  <c:v>15500000</c:v>
                </c:pt>
                <c:pt idx="555">
                  <c:v>15500000</c:v>
                </c:pt>
                <c:pt idx="556">
                  <c:v>15001002</c:v>
                </c:pt>
                <c:pt idx="557">
                  <c:v>16000000</c:v>
                </c:pt>
                <c:pt idx="558">
                  <c:v>15001001</c:v>
                </c:pt>
                <c:pt idx="559">
                  <c:v>15001002</c:v>
                </c:pt>
                <c:pt idx="560">
                  <c:v>15001002</c:v>
                </c:pt>
                <c:pt idx="561">
                  <c:v>16590000</c:v>
                </c:pt>
                <c:pt idx="562">
                  <c:v>16000000</c:v>
                </c:pt>
                <c:pt idx="563">
                  <c:v>15001002</c:v>
                </c:pt>
                <c:pt idx="564">
                  <c:v>16000000</c:v>
                </c:pt>
                <c:pt idx="565">
                  <c:v>15001002</c:v>
                </c:pt>
                <c:pt idx="566">
                  <c:v>16000000</c:v>
                </c:pt>
                <c:pt idx="567">
                  <c:v>15001002</c:v>
                </c:pt>
                <c:pt idx="568">
                  <c:v>16000000</c:v>
                </c:pt>
                <c:pt idx="569">
                  <c:v>16000000</c:v>
                </c:pt>
                <c:pt idx="570">
                  <c:v>15000000</c:v>
                </c:pt>
                <c:pt idx="571">
                  <c:v>15000000</c:v>
                </c:pt>
                <c:pt idx="572">
                  <c:v>15000000</c:v>
                </c:pt>
                <c:pt idx="573">
                  <c:v>15000000</c:v>
                </c:pt>
                <c:pt idx="574">
                  <c:v>15000000</c:v>
                </c:pt>
                <c:pt idx="575">
                  <c:v>15000000</c:v>
                </c:pt>
                <c:pt idx="576">
                  <c:v>15000000</c:v>
                </c:pt>
                <c:pt idx="579">
                  <c:v>15000000</c:v>
                </c:pt>
                <c:pt idx="580">
                  <c:v>15001001</c:v>
                </c:pt>
                <c:pt idx="581">
                  <c:v>15000000</c:v>
                </c:pt>
                <c:pt idx="582">
                  <c:v>15000000</c:v>
                </c:pt>
                <c:pt idx="583">
                  <c:v>15000000</c:v>
                </c:pt>
                <c:pt idx="584">
                  <c:v>16000000</c:v>
                </c:pt>
                <c:pt idx="585">
                  <c:v>16210000</c:v>
                </c:pt>
                <c:pt idx="586">
                  <c:v>15000000</c:v>
                </c:pt>
                <c:pt idx="587">
                  <c:v>15001002</c:v>
                </c:pt>
                <c:pt idx="588">
                  <c:v>15001002</c:v>
                </c:pt>
                <c:pt idx="589">
                  <c:v>15001002</c:v>
                </c:pt>
                <c:pt idx="590">
                  <c:v>15001002</c:v>
                </c:pt>
                <c:pt idx="591">
                  <c:v>16600000</c:v>
                </c:pt>
                <c:pt idx="592">
                  <c:v>0</c:v>
                </c:pt>
                <c:pt idx="593">
                  <c:v>15000000</c:v>
                </c:pt>
                <c:pt idx="594">
                  <c:v>0</c:v>
                </c:pt>
                <c:pt idx="595">
                  <c:v>16210000</c:v>
                </c:pt>
                <c:pt idx="596">
                  <c:v>15001002</c:v>
                </c:pt>
                <c:pt idx="597">
                  <c:v>16000000</c:v>
                </c:pt>
                <c:pt idx="598">
                  <c:v>15000000</c:v>
                </c:pt>
                <c:pt idx="599">
                  <c:v>16000000</c:v>
                </c:pt>
                <c:pt idx="600">
                  <c:v>15000000</c:v>
                </c:pt>
                <c:pt idx="601">
                  <c:v>15000000</c:v>
                </c:pt>
                <c:pt idx="602">
                  <c:v>16000000</c:v>
                </c:pt>
                <c:pt idx="603">
                  <c:v>15001002</c:v>
                </c:pt>
                <c:pt idx="604">
                  <c:v>15001002</c:v>
                </c:pt>
                <c:pt idx="605">
                  <c:v>15000000</c:v>
                </c:pt>
                <c:pt idx="606">
                  <c:v>15000000</c:v>
                </c:pt>
                <c:pt idx="607">
                  <c:v>15000000</c:v>
                </c:pt>
                <c:pt idx="608">
                  <c:v>15000000</c:v>
                </c:pt>
                <c:pt idx="609">
                  <c:v>15000000</c:v>
                </c:pt>
                <c:pt idx="610">
                  <c:v>15001002</c:v>
                </c:pt>
                <c:pt idx="611">
                  <c:v>15001002</c:v>
                </c:pt>
                <c:pt idx="612">
                  <c:v>15001002</c:v>
                </c:pt>
                <c:pt idx="613">
                  <c:v>15001002</c:v>
                </c:pt>
                <c:pt idx="614">
                  <c:v>15000000</c:v>
                </c:pt>
                <c:pt idx="615">
                  <c:v>15000000</c:v>
                </c:pt>
                <c:pt idx="616">
                  <c:v>16000000</c:v>
                </c:pt>
                <c:pt idx="617">
                  <c:v>15000000</c:v>
                </c:pt>
                <c:pt idx="618">
                  <c:v>15000000</c:v>
                </c:pt>
                <c:pt idx="619">
                  <c:v>15000000</c:v>
                </c:pt>
                <c:pt idx="620">
                  <c:v>0</c:v>
                </c:pt>
                <c:pt idx="621">
                  <c:v>16210000</c:v>
                </c:pt>
                <c:pt idx="622">
                  <c:v>0</c:v>
                </c:pt>
                <c:pt idx="623">
                  <c:v>15000000</c:v>
                </c:pt>
                <c:pt idx="624">
                  <c:v>15001001</c:v>
                </c:pt>
                <c:pt idx="625">
                  <c:v>15000000</c:v>
                </c:pt>
                <c:pt idx="626">
                  <c:v>15400000</c:v>
                </c:pt>
                <c:pt idx="627">
                  <c:v>16600000</c:v>
                </c:pt>
                <c:pt idx="628">
                  <c:v>15400000</c:v>
                </c:pt>
                <c:pt idx="629">
                  <c:v>15001002</c:v>
                </c:pt>
                <c:pt idx="630">
                  <c:v>15001002</c:v>
                </c:pt>
                <c:pt idx="631">
                  <c:v>15001002</c:v>
                </c:pt>
                <c:pt idx="632">
                  <c:v>15001002</c:v>
                </c:pt>
                <c:pt idx="633">
                  <c:v>15001002</c:v>
                </c:pt>
                <c:pt idx="634">
                  <c:v>15500000</c:v>
                </c:pt>
                <c:pt idx="635">
                  <c:v>15001002</c:v>
                </c:pt>
                <c:pt idx="636">
                  <c:v>15001002</c:v>
                </c:pt>
                <c:pt idx="637">
                  <c:v>15001002</c:v>
                </c:pt>
                <c:pt idx="638">
                  <c:v>15001002</c:v>
                </c:pt>
                <c:pt idx="639">
                  <c:v>15001002</c:v>
                </c:pt>
                <c:pt idx="640">
                  <c:v>15001002</c:v>
                </c:pt>
                <c:pt idx="641">
                  <c:v>15001002</c:v>
                </c:pt>
                <c:pt idx="642">
                  <c:v>15001002</c:v>
                </c:pt>
                <c:pt idx="643">
                  <c:v>15001002</c:v>
                </c:pt>
                <c:pt idx="644">
                  <c:v>15500000</c:v>
                </c:pt>
                <c:pt idx="645">
                  <c:v>15001002</c:v>
                </c:pt>
                <c:pt idx="646">
                  <c:v>15001002</c:v>
                </c:pt>
                <c:pt idx="647">
                  <c:v>15001002</c:v>
                </c:pt>
                <c:pt idx="648">
                  <c:v>15000000</c:v>
                </c:pt>
                <c:pt idx="649">
                  <c:v>15001001</c:v>
                </c:pt>
                <c:pt idx="650">
                  <c:v>15000000</c:v>
                </c:pt>
                <c:pt idx="651">
                  <c:v>15400000</c:v>
                </c:pt>
                <c:pt idx="652">
                  <c:v>16000000</c:v>
                </c:pt>
                <c:pt idx="653">
                  <c:v>15001002</c:v>
                </c:pt>
                <c:pt idx="654">
                  <c:v>15001002</c:v>
                </c:pt>
                <c:pt idx="655">
                  <c:v>15001002</c:v>
                </c:pt>
                <c:pt idx="656">
                  <c:v>16590000</c:v>
                </c:pt>
                <c:pt idx="657">
                  <c:v>16000000</c:v>
                </c:pt>
                <c:pt idx="658">
                  <c:v>15000000</c:v>
                </c:pt>
                <c:pt idx="659">
                  <c:v>16000000</c:v>
                </c:pt>
                <c:pt idx="660">
                  <c:v>15001001</c:v>
                </c:pt>
                <c:pt idx="661">
                  <c:v>15001001</c:v>
                </c:pt>
                <c:pt idx="662">
                  <c:v>15001001</c:v>
                </c:pt>
                <c:pt idx="663">
                  <c:v>15001001</c:v>
                </c:pt>
                <c:pt idx="664">
                  <c:v>15001001</c:v>
                </c:pt>
                <c:pt idx="665">
                  <c:v>15000000</c:v>
                </c:pt>
                <c:pt idx="666">
                  <c:v>0</c:v>
                </c:pt>
                <c:pt idx="667">
                  <c:v>15000000</c:v>
                </c:pt>
                <c:pt idx="668">
                  <c:v>16610000</c:v>
                </c:pt>
                <c:pt idx="669">
                  <c:v>15000000</c:v>
                </c:pt>
                <c:pt idx="670">
                  <c:v>16600000</c:v>
                </c:pt>
                <c:pt idx="671">
                  <c:v>15000000</c:v>
                </c:pt>
                <c:pt idx="672">
                  <c:v>15001001</c:v>
                </c:pt>
                <c:pt idx="673">
                  <c:v>15001002</c:v>
                </c:pt>
                <c:pt idx="674">
                  <c:v>15001002</c:v>
                </c:pt>
                <c:pt idx="675">
                  <c:v>15001002</c:v>
                </c:pt>
                <c:pt idx="676">
                  <c:v>15001002</c:v>
                </c:pt>
                <c:pt idx="677">
                  <c:v>15000000</c:v>
                </c:pt>
                <c:pt idx="678">
                  <c:v>15000000</c:v>
                </c:pt>
                <c:pt idx="679">
                  <c:v>15000000</c:v>
                </c:pt>
                <c:pt idx="680">
                  <c:v>15001002</c:v>
                </c:pt>
                <c:pt idx="681">
                  <c:v>15001002</c:v>
                </c:pt>
                <c:pt idx="682">
                  <c:v>15000000</c:v>
                </c:pt>
                <c:pt idx="683">
                  <c:v>15001002</c:v>
                </c:pt>
                <c:pt idx="684">
                  <c:v>15010000</c:v>
                </c:pt>
                <c:pt idx="685">
                  <c:v>15000000</c:v>
                </c:pt>
                <c:pt idx="686">
                  <c:v>16600000</c:v>
                </c:pt>
                <c:pt idx="687">
                  <c:v>16600000</c:v>
                </c:pt>
                <c:pt idx="688">
                  <c:v>16600000</c:v>
                </c:pt>
                <c:pt idx="689">
                  <c:v>15000000</c:v>
                </c:pt>
                <c:pt idx="690">
                  <c:v>15001001</c:v>
                </c:pt>
                <c:pt idx="691">
                  <c:v>15400000</c:v>
                </c:pt>
                <c:pt idx="692">
                  <c:v>15000000</c:v>
                </c:pt>
                <c:pt idx="693">
                  <c:v>15000000</c:v>
                </c:pt>
                <c:pt idx="694">
                  <c:v>15000000</c:v>
                </c:pt>
                <c:pt idx="695">
                  <c:v>16600000</c:v>
                </c:pt>
                <c:pt idx="696">
                  <c:v>16600000</c:v>
                </c:pt>
                <c:pt idx="697">
                  <c:v>16600000</c:v>
                </c:pt>
                <c:pt idx="698">
                  <c:v>16610000</c:v>
                </c:pt>
                <c:pt idx="699">
                  <c:v>16600000</c:v>
                </c:pt>
                <c:pt idx="700">
                  <c:v>15000000</c:v>
                </c:pt>
                <c:pt idx="701">
                  <c:v>16600000</c:v>
                </c:pt>
                <c:pt idx="702">
                  <c:v>15001001</c:v>
                </c:pt>
                <c:pt idx="703">
                  <c:v>16600000</c:v>
                </c:pt>
                <c:pt idx="704">
                  <c:v>15001001</c:v>
                </c:pt>
                <c:pt idx="705">
                  <c:v>15001001</c:v>
                </c:pt>
                <c:pt idx="706">
                  <c:v>15001002</c:v>
                </c:pt>
                <c:pt idx="707">
                  <c:v>16600000</c:v>
                </c:pt>
                <c:pt idx="708">
                  <c:v>15000000</c:v>
                </c:pt>
                <c:pt idx="709">
                  <c:v>0</c:v>
                </c:pt>
                <c:pt idx="710">
                  <c:v>15001002</c:v>
                </c:pt>
                <c:pt idx="711">
                  <c:v>15001002</c:v>
                </c:pt>
                <c:pt idx="712">
                  <c:v>15001002</c:v>
                </c:pt>
                <c:pt idx="713">
                  <c:v>15001002</c:v>
                </c:pt>
                <c:pt idx="714">
                  <c:v>15000000</c:v>
                </c:pt>
                <c:pt idx="715">
                  <c:v>16600000</c:v>
                </c:pt>
                <c:pt idx="716">
                  <c:v>16600000</c:v>
                </c:pt>
                <c:pt idx="717">
                  <c:v>15000000</c:v>
                </c:pt>
                <c:pt idx="718">
                  <c:v>16610000</c:v>
                </c:pt>
                <c:pt idx="719">
                  <c:v>16610000</c:v>
                </c:pt>
                <c:pt idx="720">
                  <c:v>15000000</c:v>
                </c:pt>
                <c:pt idx="721">
                  <c:v>16600000</c:v>
                </c:pt>
                <c:pt idx="722">
                  <c:v>15000000</c:v>
                </c:pt>
                <c:pt idx="723">
                  <c:v>15000000</c:v>
                </c:pt>
                <c:pt idx="724">
                  <c:v>15000000</c:v>
                </c:pt>
                <c:pt idx="725">
                  <c:v>15000000</c:v>
                </c:pt>
                <c:pt idx="726">
                  <c:v>15001002</c:v>
                </c:pt>
                <c:pt idx="727">
                  <c:v>15000000</c:v>
                </c:pt>
                <c:pt idx="728">
                  <c:v>16000000</c:v>
                </c:pt>
                <c:pt idx="729">
                  <c:v>15001002</c:v>
                </c:pt>
                <c:pt idx="730">
                  <c:v>15001002</c:v>
                </c:pt>
                <c:pt idx="731">
                  <c:v>15001002</c:v>
                </c:pt>
                <c:pt idx="732">
                  <c:v>15001002</c:v>
                </c:pt>
                <c:pt idx="733">
                  <c:v>16000000</c:v>
                </c:pt>
                <c:pt idx="734">
                  <c:v>0</c:v>
                </c:pt>
                <c:pt idx="735">
                  <c:v>16000000</c:v>
                </c:pt>
                <c:pt idx="736">
                  <c:v>15001002</c:v>
                </c:pt>
                <c:pt idx="737">
                  <c:v>15000000</c:v>
                </c:pt>
                <c:pt idx="738">
                  <c:v>15000000</c:v>
                </c:pt>
                <c:pt idx="739">
                  <c:v>15000000</c:v>
                </c:pt>
                <c:pt idx="740">
                  <c:v>15000000</c:v>
                </c:pt>
                <c:pt idx="741">
                  <c:v>16000000</c:v>
                </c:pt>
                <c:pt idx="742">
                  <c:v>15000000</c:v>
                </c:pt>
                <c:pt idx="743">
                  <c:v>15000000</c:v>
                </c:pt>
                <c:pt idx="744">
                  <c:v>15001002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15000000</c:v>
                </c:pt>
                <c:pt idx="751">
                  <c:v>15000000</c:v>
                </c:pt>
                <c:pt idx="752">
                  <c:v>15001002</c:v>
                </c:pt>
                <c:pt idx="753">
                  <c:v>15001002</c:v>
                </c:pt>
                <c:pt idx="754">
                  <c:v>15001001</c:v>
                </c:pt>
                <c:pt idx="755">
                  <c:v>15000000</c:v>
                </c:pt>
                <c:pt idx="756">
                  <c:v>15000000</c:v>
                </c:pt>
                <c:pt idx="757">
                  <c:v>15000000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15000000</c:v>
                </c:pt>
                <c:pt idx="764">
                  <c:v>15001002</c:v>
                </c:pt>
                <c:pt idx="765">
                  <c:v>15001002</c:v>
                </c:pt>
                <c:pt idx="766">
                  <c:v>15000000</c:v>
                </c:pt>
                <c:pt idx="767">
                  <c:v>15001002</c:v>
                </c:pt>
                <c:pt idx="768">
                  <c:v>15001002</c:v>
                </c:pt>
                <c:pt idx="769">
                  <c:v>15001002</c:v>
                </c:pt>
                <c:pt idx="770">
                  <c:v>15001002</c:v>
                </c:pt>
                <c:pt idx="771">
                  <c:v>15001001</c:v>
                </c:pt>
                <c:pt idx="772">
                  <c:v>15001001</c:v>
                </c:pt>
                <c:pt idx="773">
                  <c:v>15001001</c:v>
                </c:pt>
                <c:pt idx="774">
                  <c:v>15001001</c:v>
                </c:pt>
                <c:pt idx="775">
                  <c:v>15001001</c:v>
                </c:pt>
                <c:pt idx="776">
                  <c:v>15000000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15001002</c:v>
                </c:pt>
                <c:pt idx="781">
                  <c:v>16000000</c:v>
                </c:pt>
                <c:pt idx="782">
                  <c:v>16000000</c:v>
                </c:pt>
                <c:pt idx="783">
                  <c:v>15001002</c:v>
                </c:pt>
                <c:pt idx="784">
                  <c:v>15001002</c:v>
                </c:pt>
                <c:pt idx="785">
                  <c:v>15001002</c:v>
                </c:pt>
                <c:pt idx="786">
                  <c:v>15001002</c:v>
                </c:pt>
                <c:pt idx="787">
                  <c:v>16003110</c:v>
                </c:pt>
                <c:pt idx="788">
                  <c:v>15000000</c:v>
                </c:pt>
                <c:pt idx="789">
                  <c:v>15000000</c:v>
                </c:pt>
                <c:pt idx="790">
                  <c:v>15000000</c:v>
                </c:pt>
                <c:pt idx="791">
                  <c:v>15000000</c:v>
                </c:pt>
                <c:pt idx="792">
                  <c:v>15000000</c:v>
                </c:pt>
                <c:pt idx="793">
                  <c:v>15000000</c:v>
                </c:pt>
                <c:pt idx="794">
                  <c:v>15001002</c:v>
                </c:pt>
                <c:pt idx="795">
                  <c:v>16000000</c:v>
                </c:pt>
                <c:pt idx="796">
                  <c:v>15001002</c:v>
                </c:pt>
                <c:pt idx="797">
                  <c:v>15500000</c:v>
                </c:pt>
                <c:pt idx="798">
                  <c:v>15000000</c:v>
                </c:pt>
                <c:pt idx="799">
                  <c:v>15000000</c:v>
                </c:pt>
                <c:pt idx="800">
                  <c:v>15001002</c:v>
                </c:pt>
                <c:pt idx="801">
                  <c:v>0</c:v>
                </c:pt>
                <c:pt idx="802">
                  <c:v>15001002</c:v>
                </c:pt>
                <c:pt idx="803">
                  <c:v>15000000</c:v>
                </c:pt>
                <c:pt idx="804">
                  <c:v>15000000</c:v>
                </c:pt>
                <c:pt idx="805">
                  <c:v>16000000</c:v>
                </c:pt>
                <c:pt idx="806">
                  <c:v>16000000</c:v>
                </c:pt>
                <c:pt idx="807">
                  <c:v>16000000</c:v>
                </c:pt>
                <c:pt idx="808">
                  <c:v>15000000</c:v>
                </c:pt>
                <c:pt idx="809">
                  <c:v>15000000</c:v>
                </c:pt>
                <c:pt idx="810">
                  <c:v>16000000</c:v>
                </c:pt>
                <c:pt idx="811">
                  <c:v>16600000</c:v>
                </c:pt>
                <c:pt idx="812">
                  <c:v>16600000</c:v>
                </c:pt>
                <c:pt idx="813">
                  <c:v>16600000</c:v>
                </c:pt>
                <c:pt idx="814">
                  <c:v>15000000</c:v>
                </c:pt>
                <c:pt idx="815">
                  <c:v>16600000</c:v>
                </c:pt>
                <c:pt idx="816">
                  <c:v>17510000</c:v>
                </c:pt>
                <c:pt idx="817">
                  <c:v>15000000</c:v>
                </c:pt>
                <c:pt idx="818">
                  <c:v>15000000</c:v>
                </c:pt>
                <c:pt idx="819">
                  <c:v>15000000</c:v>
                </c:pt>
                <c:pt idx="820">
                  <c:v>15000000</c:v>
                </c:pt>
                <c:pt idx="821">
                  <c:v>15000000</c:v>
                </c:pt>
                <c:pt idx="822">
                  <c:v>16600000</c:v>
                </c:pt>
                <c:pt idx="823">
                  <c:v>16610000</c:v>
                </c:pt>
                <c:pt idx="824">
                  <c:v>16600000</c:v>
                </c:pt>
                <c:pt idx="825">
                  <c:v>15000000</c:v>
                </c:pt>
                <c:pt idx="826">
                  <c:v>15010000</c:v>
                </c:pt>
                <c:pt idx="827">
                  <c:v>15000000</c:v>
                </c:pt>
                <c:pt idx="828">
                  <c:v>15500000</c:v>
                </c:pt>
                <c:pt idx="829">
                  <c:v>15001001</c:v>
                </c:pt>
                <c:pt idx="830">
                  <c:v>15000000</c:v>
                </c:pt>
                <c:pt idx="831">
                  <c:v>15000000</c:v>
                </c:pt>
                <c:pt idx="832">
                  <c:v>17510000</c:v>
                </c:pt>
                <c:pt idx="833">
                  <c:v>15001002</c:v>
                </c:pt>
                <c:pt idx="834">
                  <c:v>0</c:v>
                </c:pt>
                <c:pt idx="835">
                  <c:v>15400000</c:v>
                </c:pt>
                <c:pt idx="836">
                  <c:v>15001001</c:v>
                </c:pt>
                <c:pt idx="837">
                  <c:v>17400000</c:v>
                </c:pt>
                <c:pt idx="838">
                  <c:v>15000000</c:v>
                </c:pt>
                <c:pt idx="839">
                  <c:v>15001001</c:v>
                </c:pt>
                <c:pt idx="840">
                  <c:v>15001001</c:v>
                </c:pt>
                <c:pt idx="841">
                  <c:v>15001001</c:v>
                </c:pt>
                <c:pt idx="842">
                  <c:v>15001001</c:v>
                </c:pt>
                <c:pt idx="843">
                  <c:v>0</c:v>
                </c:pt>
                <c:pt idx="844">
                  <c:v>0</c:v>
                </c:pt>
                <c:pt idx="845">
                  <c:v>15001002</c:v>
                </c:pt>
                <c:pt idx="846">
                  <c:v>15001002</c:v>
                </c:pt>
                <c:pt idx="847">
                  <c:v>15000000</c:v>
                </c:pt>
                <c:pt idx="848">
                  <c:v>16000000</c:v>
                </c:pt>
                <c:pt idx="849">
                  <c:v>16000000</c:v>
                </c:pt>
                <c:pt idx="850">
                  <c:v>16000000</c:v>
                </c:pt>
                <c:pt idx="851">
                  <c:v>16000000</c:v>
                </c:pt>
                <c:pt idx="852">
                  <c:v>16000000</c:v>
                </c:pt>
                <c:pt idx="853">
                  <c:v>15000000</c:v>
                </c:pt>
                <c:pt idx="854">
                  <c:v>15001001</c:v>
                </c:pt>
                <c:pt idx="855">
                  <c:v>15001002</c:v>
                </c:pt>
                <c:pt idx="856">
                  <c:v>15000000</c:v>
                </c:pt>
                <c:pt idx="857">
                  <c:v>0</c:v>
                </c:pt>
                <c:pt idx="858">
                  <c:v>15000000</c:v>
                </c:pt>
                <c:pt idx="859">
                  <c:v>15000000</c:v>
                </c:pt>
                <c:pt idx="860">
                  <c:v>15000000</c:v>
                </c:pt>
                <c:pt idx="861">
                  <c:v>0</c:v>
                </c:pt>
                <c:pt idx="862">
                  <c:v>15000000</c:v>
                </c:pt>
                <c:pt idx="863">
                  <c:v>15000000</c:v>
                </c:pt>
                <c:pt idx="864">
                  <c:v>15000000</c:v>
                </c:pt>
                <c:pt idx="865">
                  <c:v>15000000</c:v>
                </c:pt>
                <c:pt idx="866">
                  <c:v>15000000</c:v>
                </c:pt>
                <c:pt idx="867">
                  <c:v>15000000</c:v>
                </c:pt>
                <c:pt idx="868">
                  <c:v>15000000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15001002</c:v>
                </c:pt>
                <c:pt idx="874">
                  <c:v>16000000</c:v>
                </c:pt>
                <c:pt idx="875">
                  <c:v>15400000</c:v>
                </c:pt>
                <c:pt idx="876">
                  <c:v>15000000</c:v>
                </c:pt>
                <c:pt idx="877">
                  <c:v>15000000</c:v>
                </c:pt>
                <c:pt idx="878">
                  <c:v>15000000</c:v>
                </c:pt>
                <c:pt idx="879">
                  <c:v>15000000</c:v>
                </c:pt>
                <c:pt idx="880">
                  <c:v>15000000</c:v>
                </c:pt>
                <c:pt idx="881">
                  <c:v>15000000</c:v>
                </c:pt>
                <c:pt idx="882">
                  <c:v>15000000</c:v>
                </c:pt>
                <c:pt idx="883">
                  <c:v>15001001</c:v>
                </c:pt>
                <c:pt idx="884">
                  <c:v>16590000</c:v>
                </c:pt>
                <c:pt idx="885">
                  <c:v>15001002</c:v>
                </c:pt>
                <c:pt idx="886">
                  <c:v>15000000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15000000</c:v>
                </c:pt>
                <c:pt idx="893">
                  <c:v>15500000</c:v>
                </c:pt>
                <c:pt idx="894">
                  <c:v>15000000</c:v>
                </c:pt>
                <c:pt idx="895">
                  <c:v>15000000</c:v>
                </c:pt>
                <c:pt idx="896">
                  <c:v>15001001</c:v>
                </c:pt>
                <c:pt idx="897">
                  <c:v>15000000</c:v>
                </c:pt>
                <c:pt idx="898">
                  <c:v>16600000</c:v>
                </c:pt>
                <c:pt idx="899">
                  <c:v>16600000</c:v>
                </c:pt>
                <c:pt idx="900">
                  <c:v>15000000</c:v>
                </c:pt>
                <c:pt idx="901">
                  <c:v>16600000</c:v>
                </c:pt>
                <c:pt idx="902">
                  <c:v>15000000</c:v>
                </c:pt>
                <c:pt idx="903">
                  <c:v>15000000</c:v>
                </c:pt>
                <c:pt idx="904">
                  <c:v>15000000</c:v>
                </c:pt>
                <c:pt idx="905">
                  <c:v>0</c:v>
                </c:pt>
                <c:pt idx="906">
                  <c:v>15000000</c:v>
                </c:pt>
                <c:pt idx="907">
                  <c:v>16600000</c:v>
                </c:pt>
                <c:pt idx="908">
                  <c:v>16600000</c:v>
                </c:pt>
                <c:pt idx="909">
                  <c:v>15000000</c:v>
                </c:pt>
                <c:pt idx="910">
                  <c:v>15000000</c:v>
                </c:pt>
                <c:pt idx="911">
                  <c:v>15001002</c:v>
                </c:pt>
                <c:pt idx="912">
                  <c:v>16000000</c:v>
                </c:pt>
                <c:pt idx="913">
                  <c:v>15001002</c:v>
                </c:pt>
                <c:pt idx="914">
                  <c:v>15001002</c:v>
                </c:pt>
                <c:pt idx="915">
                  <c:v>15001002</c:v>
                </c:pt>
                <c:pt idx="916">
                  <c:v>15000000</c:v>
                </c:pt>
                <c:pt idx="917">
                  <c:v>16210000</c:v>
                </c:pt>
                <c:pt idx="918">
                  <c:v>16210000</c:v>
                </c:pt>
                <c:pt idx="919">
                  <c:v>16000000</c:v>
                </c:pt>
                <c:pt idx="920">
                  <c:v>16003130</c:v>
                </c:pt>
                <c:pt idx="921">
                  <c:v>15001002</c:v>
                </c:pt>
                <c:pt idx="922">
                  <c:v>15001002</c:v>
                </c:pt>
                <c:pt idx="923">
                  <c:v>15000000</c:v>
                </c:pt>
                <c:pt idx="924">
                  <c:v>0</c:v>
                </c:pt>
                <c:pt idx="925">
                  <c:v>15000000</c:v>
                </c:pt>
                <c:pt idx="926">
                  <c:v>15000000</c:v>
                </c:pt>
                <c:pt idx="927">
                  <c:v>15000000</c:v>
                </c:pt>
                <c:pt idx="928">
                  <c:v>15000000</c:v>
                </c:pt>
                <c:pt idx="929">
                  <c:v>16000000</c:v>
                </c:pt>
                <c:pt idx="930">
                  <c:v>16210000</c:v>
                </c:pt>
                <c:pt idx="931">
                  <c:v>0</c:v>
                </c:pt>
                <c:pt idx="932">
                  <c:v>16000000</c:v>
                </c:pt>
                <c:pt idx="933">
                  <c:v>15001002</c:v>
                </c:pt>
                <c:pt idx="934">
                  <c:v>15001002</c:v>
                </c:pt>
                <c:pt idx="935">
                  <c:v>15001002</c:v>
                </c:pt>
                <c:pt idx="936">
                  <c:v>15001002</c:v>
                </c:pt>
                <c:pt idx="937">
                  <c:v>16210000</c:v>
                </c:pt>
                <c:pt idx="938">
                  <c:v>15000000</c:v>
                </c:pt>
                <c:pt idx="939">
                  <c:v>15000000</c:v>
                </c:pt>
                <c:pt idx="940">
                  <c:v>15000000</c:v>
                </c:pt>
                <c:pt idx="941">
                  <c:v>15000000</c:v>
                </c:pt>
                <c:pt idx="942">
                  <c:v>16000000</c:v>
                </c:pt>
                <c:pt idx="943">
                  <c:v>15000000</c:v>
                </c:pt>
                <c:pt idx="944">
                  <c:v>15000000</c:v>
                </c:pt>
                <c:pt idx="945">
                  <c:v>15000000</c:v>
                </c:pt>
                <c:pt idx="946">
                  <c:v>15001001</c:v>
                </c:pt>
                <c:pt idx="947">
                  <c:v>15000000</c:v>
                </c:pt>
                <c:pt idx="948">
                  <c:v>15000000</c:v>
                </c:pt>
                <c:pt idx="949">
                  <c:v>15000000</c:v>
                </c:pt>
                <c:pt idx="950">
                  <c:v>15001001</c:v>
                </c:pt>
                <c:pt idx="951">
                  <c:v>15001001</c:v>
                </c:pt>
                <c:pt idx="952">
                  <c:v>17040000</c:v>
                </c:pt>
                <c:pt idx="959">
                  <c:v>15000000</c:v>
                </c:pt>
                <c:pt idx="960">
                  <c:v>15000000</c:v>
                </c:pt>
                <c:pt idx="961">
                  <c:v>15000000</c:v>
                </c:pt>
                <c:pt idx="962">
                  <c:v>15000000</c:v>
                </c:pt>
                <c:pt idx="966">
                  <c:v>16000000</c:v>
                </c:pt>
                <c:pt idx="967">
                  <c:v>15001001</c:v>
                </c:pt>
                <c:pt idx="968">
                  <c:v>16000000</c:v>
                </c:pt>
                <c:pt idx="969">
                  <c:v>15001002</c:v>
                </c:pt>
                <c:pt idx="970">
                  <c:v>16000000</c:v>
                </c:pt>
                <c:pt idx="971">
                  <c:v>16210000</c:v>
                </c:pt>
                <c:pt idx="972">
                  <c:v>15001002</c:v>
                </c:pt>
                <c:pt idx="973">
                  <c:v>15001002</c:v>
                </c:pt>
                <c:pt idx="974">
                  <c:v>15400000</c:v>
                </c:pt>
                <c:pt idx="975">
                  <c:v>16000000</c:v>
                </c:pt>
                <c:pt idx="976">
                  <c:v>16000000</c:v>
                </c:pt>
                <c:pt idx="977">
                  <c:v>15000000</c:v>
                </c:pt>
                <c:pt idx="980">
                  <c:v>15001002</c:v>
                </c:pt>
                <c:pt idx="981">
                  <c:v>15000000</c:v>
                </c:pt>
                <c:pt idx="982">
                  <c:v>15000000</c:v>
                </c:pt>
                <c:pt idx="983">
                  <c:v>15000000</c:v>
                </c:pt>
                <c:pt idx="985">
                  <c:v>15000000</c:v>
                </c:pt>
                <c:pt idx="986">
                  <c:v>15010000</c:v>
                </c:pt>
                <c:pt idx="987">
                  <c:v>16003110</c:v>
                </c:pt>
                <c:pt idx="988">
                  <c:v>16210000</c:v>
                </c:pt>
                <c:pt idx="989">
                  <c:v>15500000</c:v>
                </c:pt>
                <c:pt idx="990">
                  <c:v>15000000</c:v>
                </c:pt>
                <c:pt idx="991">
                  <c:v>16000000</c:v>
                </c:pt>
                <c:pt idx="992">
                  <c:v>15000000</c:v>
                </c:pt>
                <c:pt idx="993">
                  <c:v>15000000</c:v>
                </c:pt>
                <c:pt idx="995">
                  <c:v>15000000</c:v>
                </c:pt>
                <c:pt idx="996">
                  <c:v>15000000</c:v>
                </c:pt>
                <c:pt idx="997">
                  <c:v>15000000</c:v>
                </c:pt>
                <c:pt idx="998">
                  <c:v>15420000</c:v>
                </c:pt>
                <c:pt idx="999">
                  <c:v>15000000</c:v>
                </c:pt>
                <c:pt idx="1000">
                  <c:v>15000000</c:v>
                </c:pt>
                <c:pt idx="1001">
                  <c:v>15000000</c:v>
                </c:pt>
                <c:pt idx="1002">
                  <c:v>15001002</c:v>
                </c:pt>
                <c:pt idx="1003">
                  <c:v>16000000</c:v>
                </c:pt>
                <c:pt idx="1004">
                  <c:v>15001002</c:v>
                </c:pt>
                <c:pt idx="1005">
                  <c:v>15001002</c:v>
                </c:pt>
                <c:pt idx="1006">
                  <c:v>16000000</c:v>
                </c:pt>
                <c:pt idx="1007">
                  <c:v>16000000</c:v>
                </c:pt>
                <c:pt idx="1008">
                  <c:v>15001002</c:v>
                </c:pt>
                <c:pt idx="1009">
                  <c:v>15001002</c:v>
                </c:pt>
                <c:pt idx="1010">
                  <c:v>15001002</c:v>
                </c:pt>
                <c:pt idx="1011">
                  <c:v>15001002</c:v>
                </c:pt>
                <c:pt idx="1012">
                  <c:v>16000000</c:v>
                </c:pt>
                <c:pt idx="1013">
                  <c:v>15001002</c:v>
                </c:pt>
                <c:pt idx="1014">
                  <c:v>16000000</c:v>
                </c:pt>
                <c:pt idx="1015">
                  <c:v>15000000</c:v>
                </c:pt>
                <c:pt idx="1016">
                  <c:v>16000000</c:v>
                </c:pt>
                <c:pt idx="1017">
                  <c:v>15001001</c:v>
                </c:pt>
                <c:pt idx="1018">
                  <c:v>15001001</c:v>
                </c:pt>
                <c:pt idx="1019">
                  <c:v>16210000</c:v>
                </c:pt>
                <c:pt idx="1020">
                  <c:v>16210000</c:v>
                </c:pt>
                <c:pt idx="1021">
                  <c:v>15000000</c:v>
                </c:pt>
                <c:pt idx="1022">
                  <c:v>15001002</c:v>
                </c:pt>
                <c:pt idx="1023">
                  <c:v>16610000</c:v>
                </c:pt>
                <c:pt idx="1024">
                  <c:v>15000000</c:v>
                </c:pt>
                <c:pt idx="1025">
                  <c:v>16000000</c:v>
                </c:pt>
                <c:pt idx="1026">
                  <c:v>15000000</c:v>
                </c:pt>
                <c:pt idx="1027">
                  <c:v>15000000</c:v>
                </c:pt>
                <c:pt idx="1028">
                  <c:v>16600000</c:v>
                </c:pt>
                <c:pt idx="1029">
                  <c:v>15500000</c:v>
                </c:pt>
                <c:pt idx="1030">
                  <c:v>15500000</c:v>
                </c:pt>
                <c:pt idx="1031">
                  <c:v>15000000</c:v>
                </c:pt>
                <c:pt idx="1032">
                  <c:v>16610000</c:v>
                </c:pt>
                <c:pt idx="1033">
                  <c:v>0</c:v>
                </c:pt>
                <c:pt idx="1034">
                  <c:v>15000000</c:v>
                </c:pt>
                <c:pt idx="1035">
                  <c:v>15000000</c:v>
                </c:pt>
                <c:pt idx="1036">
                  <c:v>15000000</c:v>
                </c:pt>
                <c:pt idx="1037">
                  <c:v>15000000</c:v>
                </c:pt>
                <c:pt idx="1038">
                  <c:v>0</c:v>
                </c:pt>
                <c:pt idx="1039">
                  <c:v>15000000</c:v>
                </c:pt>
                <c:pt idx="1040">
                  <c:v>15000000</c:v>
                </c:pt>
                <c:pt idx="1041">
                  <c:v>15000000</c:v>
                </c:pt>
                <c:pt idx="1042">
                  <c:v>0</c:v>
                </c:pt>
                <c:pt idx="1043">
                  <c:v>0</c:v>
                </c:pt>
                <c:pt idx="1045">
                  <c:v>15000000</c:v>
                </c:pt>
                <c:pt idx="1046">
                  <c:v>15000000</c:v>
                </c:pt>
                <c:pt idx="1047">
                  <c:v>0</c:v>
                </c:pt>
                <c:pt idx="1048">
                  <c:v>15400000</c:v>
                </c:pt>
                <c:pt idx="1049">
                  <c:v>15500000</c:v>
                </c:pt>
                <c:pt idx="1050">
                  <c:v>15500000</c:v>
                </c:pt>
                <c:pt idx="1051">
                  <c:v>15001002</c:v>
                </c:pt>
                <c:pt idx="1052">
                  <c:v>0</c:v>
                </c:pt>
                <c:pt idx="1053">
                  <c:v>15001002</c:v>
                </c:pt>
                <c:pt idx="1054">
                  <c:v>15000000</c:v>
                </c:pt>
                <c:pt idx="1055">
                  <c:v>15000000</c:v>
                </c:pt>
                <c:pt idx="1056">
                  <c:v>15001001</c:v>
                </c:pt>
                <c:pt idx="1057">
                  <c:v>0</c:v>
                </c:pt>
                <c:pt idx="1058">
                  <c:v>15000000</c:v>
                </c:pt>
                <c:pt idx="1059">
                  <c:v>15000000</c:v>
                </c:pt>
                <c:pt idx="1060">
                  <c:v>15010000</c:v>
                </c:pt>
                <c:pt idx="1061">
                  <c:v>15000000</c:v>
                </c:pt>
                <c:pt idx="1062">
                  <c:v>15420000</c:v>
                </c:pt>
                <c:pt idx="1063">
                  <c:v>15001001</c:v>
                </c:pt>
                <c:pt idx="1064">
                  <c:v>0</c:v>
                </c:pt>
                <c:pt idx="1065">
                  <c:v>15000000</c:v>
                </c:pt>
                <c:pt idx="1066">
                  <c:v>15000000</c:v>
                </c:pt>
                <c:pt idx="1067">
                  <c:v>15000000</c:v>
                </c:pt>
                <c:pt idx="1068">
                  <c:v>0</c:v>
                </c:pt>
                <c:pt idx="1069">
                  <c:v>15000000</c:v>
                </c:pt>
                <c:pt idx="1070">
                  <c:v>15000000</c:v>
                </c:pt>
                <c:pt idx="1071">
                  <c:v>15000000</c:v>
                </c:pt>
                <c:pt idx="1072">
                  <c:v>15001002</c:v>
                </c:pt>
                <c:pt idx="1073">
                  <c:v>17190000</c:v>
                </c:pt>
                <c:pt idx="1074">
                  <c:v>0</c:v>
                </c:pt>
                <c:pt idx="1075">
                  <c:v>26600000</c:v>
                </c:pt>
                <c:pt idx="1076">
                  <c:v>0</c:v>
                </c:pt>
                <c:pt idx="1077">
                  <c:v>15000000</c:v>
                </c:pt>
                <c:pt idx="1078">
                  <c:v>0</c:v>
                </c:pt>
                <c:pt idx="1079">
                  <c:v>15001001</c:v>
                </c:pt>
                <c:pt idx="1080">
                  <c:v>17190000</c:v>
                </c:pt>
                <c:pt idx="1081">
                  <c:v>17900000</c:v>
                </c:pt>
                <c:pt idx="1082">
                  <c:v>17190000</c:v>
                </c:pt>
                <c:pt idx="1083">
                  <c:v>15001001</c:v>
                </c:pt>
                <c:pt idx="1084">
                  <c:v>15001001</c:v>
                </c:pt>
                <c:pt idx="1085">
                  <c:v>15001001</c:v>
                </c:pt>
                <c:pt idx="1086">
                  <c:v>15001001</c:v>
                </c:pt>
                <c:pt idx="1087">
                  <c:v>0</c:v>
                </c:pt>
                <c:pt idx="1088">
                  <c:v>15520000</c:v>
                </c:pt>
                <c:pt idx="1089">
                  <c:v>15000000</c:v>
                </c:pt>
                <c:pt idx="1090">
                  <c:v>15000000</c:v>
                </c:pt>
                <c:pt idx="1091">
                  <c:v>0</c:v>
                </c:pt>
                <c:pt idx="1092">
                  <c:v>15001002</c:v>
                </c:pt>
                <c:pt idx="1093">
                  <c:v>15500000</c:v>
                </c:pt>
                <c:pt idx="1094">
                  <c:v>15000000</c:v>
                </c:pt>
                <c:pt idx="1095">
                  <c:v>15000000</c:v>
                </c:pt>
                <c:pt idx="1096">
                  <c:v>15000000</c:v>
                </c:pt>
                <c:pt idx="1097">
                  <c:v>15500000</c:v>
                </c:pt>
                <c:pt idx="1098">
                  <c:v>15000000</c:v>
                </c:pt>
                <c:pt idx="1099">
                  <c:v>15000000</c:v>
                </c:pt>
                <c:pt idx="1100">
                  <c:v>15000000</c:v>
                </c:pt>
                <c:pt idx="1101">
                  <c:v>15001001</c:v>
                </c:pt>
                <c:pt idx="1103">
                  <c:v>15001001</c:v>
                </c:pt>
                <c:pt idx="1104">
                  <c:v>0</c:v>
                </c:pt>
                <c:pt idx="1105">
                  <c:v>15000000</c:v>
                </c:pt>
                <c:pt idx="1106">
                  <c:v>15000000</c:v>
                </c:pt>
                <c:pt idx="1107">
                  <c:v>15000000</c:v>
                </c:pt>
                <c:pt idx="1108">
                  <c:v>15000000</c:v>
                </c:pt>
                <c:pt idx="1109">
                  <c:v>15000000</c:v>
                </c:pt>
                <c:pt idx="1110">
                  <c:v>15001002</c:v>
                </c:pt>
                <c:pt idx="1111">
                  <c:v>15000000</c:v>
                </c:pt>
                <c:pt idx="1112">
                  <c:v>15000000</c:v>
                </c:pt>
                <c:pt idx="1113">
                  <c:v>17040000</c:v>
                </c:pt>
                <c:pt idx="1114">
                  <c:v>15001002</c:v>
                </c:pt>
                <c:pt idx="1115">
                  <c:v>15001002</c:v>
                </c:pt>
                <c:pt idx="1116">
                  <c:v>15001002</c:v>
                </c:pt>
                <c:pt idx="1117">
                  <c:v>15001002</c:v>
                </c:pt>
                <c:pt idx="1118">
                  <c:v>15001002</c:v>
                </c:pt>
                <c:pt idx="1119">
                  <c:v>15001002</c:v>
                </c:pt>
                <c:pt idx="1120">
                  <c:v>15001001</c:v>
                </c:pt>
                <c:pt idx="1121">
                  <c:v>15001002</c:v>
                </c:pt>
                <c:pt idx="1122">
                  <c:v>15001002</c:v>
                </c:pt>
                <c:pt idx="1123">
                  <c:v>15520000</c:v>
                </c:pt>
                <c:pt idx="1124">
                  <c:v>15000000</c:v>
                </c:pt>
                <c:pt idx="1125">
                  <c:v>15001002</c:v>
                </c:pt>
                <c:pt idx="1126">
                  <c:v>15001002</c:v>
                </c:pt>
                <c:pt idx="1127">
                  <c:v>15001002</c:v>
                </c:pt>
                <c:pt idx="1128">
                  <c:v>15001002</c:v>
                </c:pt>
                <c:pt idx="1129">
                  <c:v>15001002</c:v>
                </c:pt>
                <c:pt idx="1130">
                  <c:v>15001002</c:v>
                </c:pt>
                <c:pt idx="1131">
                  <c:v>15000000</c:v>
                </c:pt>
                <c:pt idx="1132">
                  <c:v>15000000</c:v>
                </c:pt>
                <c:pt idx="1133">
                  <c:v>15000000</c:v>
                </c:pt>
                <c:pt idx="1134">
                  <c:v>15001002</c:v>
                </c:pt>
                <c:pt idx="1135">
                  <c:v>15000000</c:v>
                </c:pt>
                <c:pt idx="1136">
                  <c:v>15001002</c:v>
                </c:pt>
                <c:pt idx="1137">
                  <c:v>15001002</c:v>
                </c:pt>
                <c:pt idx="1138">
                  <c:v>15400000</c:v>
                </c:pt>
                <c:pt idx="1139">
                  <c:v>15001002</c:v>
                </c:pt>
                <c:pt idx="1140">
                  <c:v>16210000</c:v>
                </c:pt>
                <c:pt idx="1141">
                  <c:v>15001002</c:v>
                </c:pt>
                <c:pt idx="1142">
                  <c:v>15000000</c:v>
                </c:pt>
                <c:pt idx="1143">
                  <c:v>15001002</c:v>
                </c:pt>
                <c:pt idx="1144">
                  <c:v>16000000</c:v>
                </c:pt>
                <c:pt idx="1145">
                  <c:v>15001002</c:v>
                </c:pt>
                <c:pt idx="1146">
                  <c:v>15001002</c:v>
                </c:pt>
                <c:pt idx="1147">
                  <c:v>15001002</c:v>
                </c:pt>
                <c:pt idx="1148">
                  <c:v>0</c:v>
                </c:pt>
                <c:pt idx="1149">
                  <c:v>15001002</c:v>
                </c:pt>
                <c:pt idx="1150">
                  <c:v>15001002</c:v>
                </c:pt>
                <c:pt idx="1151">
                  <c:v>15001002</c:v>
                </c:pt>
                <c:pt idx="1152">
                  <c:v>15000000</c:v>
                </c:pt>
                <c:pt idx="1153">
                  <c:v>15001002</c:v>
                </c:pt>
                <c:pt idx="1154">
                  <c:v>16600000</c:v>
                </c:pt>
                <c:pt idx="1155">
                  <c:v>15000000</c:v>
                </c:pt>
                <c:pt idx="1156">
                  <c:v>16600000</c:v>
                </c:pt>
                <c:pt idx="1157">
                  <c:v>16600000</c:v>
                </c:pt>
                <c:pt idx="1158">
                  <c:v>16600000</c:v>
                </c:pt>
                <c:pt idx="1159">
                  <c:v>15001002</c:v>
                </c:pt>
                <c:pt idx="1160">
                  <c:v>15000000</c:v>
                </c:pt>
                <c:pt idx="1161">
                  <c:v>15001002</c:v>
                </c:pt>
                <c:pt idx="1162">
                  <c:v>15001002</c:v>
                </c:pt>
                <c:pt idx="1163">
                  <c:v>15001002</c:v>
                </c:pt>
                <c:pt idx="1164">
                  <c:v>15001002</c:v>
                </c:pt>
                <c:pt idx="1165">
                  <c:v>15001002</c:v>
                </c:pt>
                <c:pt idx="1166">
                  <c:v>15000000</c:v>
                </c:pt>
                <c:pt idx="1167">
                  <c:v>0</c:v>
                </c:pt>
                <c:pt idx="1168">
                  <c:v>16000000</c:v>
                </c:pt>
                <c:pt idx="1169">
                  <c:v>16000000</c:v>
                </c:pt>
                <c:pt idx="1170">
                  <c:v>15001002</c:v>
                </c:pt>
                <c:pt idx="1171">
                  <c:v>15001002</c:v>
                </c:pt>
                <c:pt idx="1172">
                  <c:v>15001002</c:v>
                </c:pt>
                <c:pt idx="1173">
                  <c:v>15001002</c:v>
                </c:pt>
                <c:pt idx="1174">
                  <c:v>15000000</c:v>
                </c:pt>
                <c:pt idx="1175">
                  <c:v>15000000</c:v>
                </c:pt>
                <c:pt idx="1176">
                  <c:v>15001001</c:v>
                </c:pt>
                <c:pt idx="1177">
                  <c:v>15000000</c:v>
                </c:pt>
                <c:pt idx="1178">
                  <c:v>15000000</c:v>
                </c:pt>
                <c:pt idx="1179">
                  <c:v>15001001</c:v>
                </c:pt>
                <c:pt idx="1180">
                  <c:v>0</c:v>
                </c:pt>
                <c:pt idx="1181">
                  <c:v>0</c:v>
                </c:pt>
                <c:pt idx="1182">
                  <c:v>16000000</c:v>
                </c:pt>
                <c:pt idx="1183">
                  <c:v>15001002</c:v>
                </c:pt>
                <c:pt idx="1184">
                  <c:v>15001001</c:v>
                </c:pt>
                <c:pt idx="1185">
                  <c:v>15000000</c:v>
                </c:pt>
                <c:pt idx="1186">
                  <c:v>15001002</c:v>
                </c:pt>
                <c:pt idx="1187">
                  <c:v>15000000</c:v>
                </c:pt>
                <c:pt idx="1188">
                  <c:v>16610000</c:v>
                </c:pt>
                <c:pt idx="1189">
                  <c:v>15000000</c:v>
                </c:pt>
                <c:pt idx="1190">
                  <c:v>15000000</c:v>
                </c:pt>
                <c:pt idx="1191">
                  <c:v>16000000</c:v>
                </c:pt>
                <c:pt idx="1192">
                  <c:v>15001002</c:v>
                </c:pt>
                <c:pt idx="1193">
                  <c:v>15001001</c:v>
                </c:pt>
                <c:pt idx="1194">
                  <c:v>15001001</c:v>
                </c:pt>
                <c:pt idx="1195">
                  <c:v>15001001</c:v>
                </c:pt>
                <c:pt idx="1196">
                  <c:v>15001002</c:v>
                </c:pt>
                <c:pt idx="1197">
                  <c:v>16600000</c:v>
                </c:pt>
                <c:pt idx="1198">
                  <c:v>16600000</c:v>
                </c:pt>
                <c:pt idx="1199">
                  <c:v>15000000</c:v>
                </c:pt>
                <c:pt idx="1200">
                  <c:v>15000000</c:v>
                </c:pt>
                <c:pt idx="1201">
                  <c:v>15010000</c:v>
                </c:pt>
                <c:pt idx="1202">
                  <c:v>15000000</c:v>
                </c:pt>
                <c:pt idx="1203">
                  <c:v>15000000</c:v>
                </c:pt>
                <c:pt idx="1204">
                  <c:v>0</c:v>
                </c:pt>
                <c:pt idx="1205">
                  <c:v>15000000</c:v>
                </c:pt>
                <c:pt idx="1206">
                  <c:v>15001001</c:v>
                </c:pt>
                <c:pt idx="1207">
                  <c:v>15001002</c:v>
                </c:pt>
                <c:pt idx="1208">
                  <c:v>16000000</c:v>
                </c:pt>
                <c:pt idx="1209">
                  <c:v>15000000</c:v>
                </c:pt>
                <c:pt idx="1210">
                  <c:v>17040000</c:v>
                </c:pt>
                <c:pt idx="1211">
                  <c:v>16000000</c:v>
                </c:pt>
                <c:pt idx="1212">
                  <c:v>16000000</c:v>
                </c:pt>
                <c:pt idx="1213">
                  <c:v>0</c:v>
                </c:pt>
                <c:pt idx="1214">
                  <c:v>16000000</c:v>
                </c:pt>
                <c:pt idx="1215">
                  <c:v>15001001</c:v>
                </c:pt>
                <c:pt idx="1216">
                  <c:v>15001002</c:v>
                </c:pt>
                <c:pt idx="1217">
                  <c:v>15000000</c:v>
                </c:pt>
                <c:pt idx="1218">
                  <c:v>15001001</c:v>
                </c:pt>
                <c:pt idx="1219">
                  <c:v>15001001</c:v>
                </c:pt>
                <c:pt idx="1220">
                  <c:v>15001002</c:v>
                </c:pt>
                <c:pt idx="1221">
                  <c:v>15500000</c:v>
                </c:pt>
                <c:pt idx="1222">
                  <c:v>15001001</c:v>
                </c:pt>
                <c:pt idx="1223">
                  <c:v>15000000</c:v>
                </c:pt>
                <c:pt idx="1224">
                  <c:v>15000000</c:v>
                </c:pt>
                <c:pt idx="1225">
                  <c:v>15000000</c:v>
                </c:pt>
                <c:pt idx="1226">
                  <c:v>15000000</c:v>
                </c:pt>
                <c:pt idx="1227">
                  <c:v>15000000</c:v>
                </c:pt>
                <c:pt idx="1228">
                  <c:v>0</c:v>
                </c:pt>
                <c:pt idx="1229">
                  <c:v>15000000</c:v>
                </c:pt>
                <c:pt idx="1230">
                  <c:v>15001002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15500000</c:v>
                </c:pt>
                <c:pt idx="1236">
                  <c:v>15001002</c:v>
                </c:pt>
                <c:pt idx="1237">
                  <c:v>15001002</c:v>
                </c:pt>
                <c:pt idx="1238">
                  <c:v>16000000</c:v>
                </c:pt>
                <c:pt idx="1239">
                  <c:v>16000000</c:v>
                </c:pt>
                <c:pt idx="1240">
                  <c:v>16000000</c:v>
                </c:pt>
                <c:pt idx="1241">
                  <c:v>15001002</c:v>
                </c:pt>
                <c:pt idx="1242">
                  <c:v>17190000</c:v>
                </c:pt>
                <c:pt idx="1243">
                  <c:v>15000000</c:v>
                </c:pt>
                <c:pt idx="1244">
                  <c:v>15001002</c:v>
                </c:pt>
                <c:pt idx="1245">
                  <c:v>15000000</c:v>
                </c:pt>
                <c:pt idx="1246">
                  <c:v>15000000</c:v>
                </c:pt>
                <c:pt idx="1247">
                  <c:v>16600000</c:v>
                </c:pt>
                <c:pt idx="1248">
                  <c:v>16610000</c:v>
                </c:pt>
                <c:pt idx="1249">
                  <c:v>16610000</c:v>
                </c:pt>
                <c:pt idx="1250">
                  <c:v>15001001</c:v>
                </c:pt>
                <c:pt idx="1251">
                  <c:v>15001001</c:v>
                </c:pt>
                <c:pt idx="1252">
                  <c:v>15000000</c:v>
                </c:pt>
                <c:pt idx="1253">
                  <c:v>15000000</c:v>
                </c:pt>
                <c:pt idx="1254">
                  <c:v>0</c:v>
                </c:pt>
                <c:pt idx="1255">
                  <c:v>15000000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16000000</c:v>
                </c:pt>
                <c:pt idx="1262">
                  <c:v>15001002</c:v>
                </c:pt>
                <c:pt idx="1263">
                  <c:v>15001002</c:v>
                </c:pt>
                <c:pt idx="1264">
                  <c:v>15000000</c:v>
                </c:pt>
                <c:pt idx="1265">
                  <c:v>15000000</c:v>
                </c:pt>
                <c:pt idx="1266">
                  <c:v>15500000</c:v>
                </c:pt>
                <c:pt idx="1267">
                  <c:v>15001002</c:v>
                </c:pt>
                <c:pt idx="1268">
                  <c:v>15001002</c:v>
                </c:pt>
                <c:pt idx="1269">
                  <c:v>15001002</c:v>
                </c:pt>
                <c:pt idx="1270">
                  <c:v>15001002</c:v>
                </c:pt>
                <c:pt idx="1271">
                  <c:v>150010</c:v>
                </c:pt>
                <c:pt idx="1272">
                  <c:v>15001002</c:v>
                </c:pt>
                <c:pt idx="1273">
                  <c:v>15001001</c:v>
                </c:pt>
                <c:pt idx="1274">
                  <c:v>15000000</c:v>
                </c:pt>
                <c:pt idx="1275">
                  <c:v>15000000</c:v>
                </c:pt>
                <c:pt idx="1276">
                  <c:v>15000000</c:v>
                </c:pt>
                <c:pt idx="1277">
                  <c:v>15000000</c:v>
                </c:pt>
                <c:pt idx="1278">
                  <c:v>15400000</c:v>
                </c:pt>
                <c:pt idx="1279">
                  <c:v>16610000</c:v>
                </c:pt>
                <c:pt idx="1280">
                  <c:v>16660000</c:v>
                </c:pt>
                <c:pt idx="1281">
                  <c:v>15000000</c:v>
                </c:pt>
                <c:pt idx="1282">
                  <c:v>16600000</c:v>
                </c:pt>
                <c:pt idx="1283">
                  <c:v>16000000</c:v>
                </c:pt>
                <c:pt idx="1284">
                  <c:v>16000000</c:v>
                </c:pt>
                <c:pt idx="1285">
                  <c:v>16000000</c:v>
                </c:pt>
                <c:pt idx="1286">
                  <c:v>16600000</c:v>
                </c:pt>
                <c:pt idx="1287">
                  <c:v>15000000</c:v>
                </c:pt>
                <c:pt idx="1288">
                  <c:v>16600000</c:v>
                </c:pt>
                <c:pt idx="1289">
                  <c:v>16000000</c:v>
                </c:pt>
                <c:pt idx="1290">
                  <c:v>16000000</c:v>
                </c:pt>
                <c:pt idx="1291">
                  <c:v>16000000</c:v>
                </c:pt>
                <c:pt idx="1292">
                  <c:v>0</c:v>
                </c:pt>
                <c:pt idx="1293">
                  <c:v>16000000</c:v>
                </c:pt>
                <c:pt idx="1294">
                  <c:v>16600000</c:v>
                </c:pt>
                <c:pt idx="1295">
                  <c:v>15000000</c:v>
                </c:pt>
                <c:pt idx="1296">
                  <c:v>15400000</c:v>
                </c:pt>
                <c:pt idx="1297">
                  <c:v>15000000</c:v>
                </c:pt>
                <c:pt idx="1298">
                  <c:v>16600000</c:v>
                </c:pt>
                <c:pt idx="1299">
                  <c:v>16600000</c:v>
                </c:pt>
                <c:pt idx="1300">
                  <c:v>16600000</c:v>
                </c:pt>
                <c:pt idx="1301">
                  <c:v>16210000</c:v>
                </c:pt>
                <c:pt idx="1302">
                  <c:v>15001002</c:v>
                </c:pt>
                <c:pt idx="1303">
                  <c:v>15001002</c:v>
                </c:pt>
                <c:pt idx="1304">
                  <c:v>15001001</c:v>
                </c:pt>
                <c:pt idx="1305">
                  <c:v>15420000</c:v>
                </c:pt>
                <c:pt idx="1306">
                  <c:v>15001001</c:v>
                </c:pt>
                <c:pt idx="1307">
                  <c:v>15000000</c:v>
                </c:pt>
                <c:pt idx="1308">
                  <c:v>15000000</c:v>
                </c:pt>
                <c:pt idx="1309">
                  <c:v>15000000</c:v>
                </c:pt>
                <c:pt idx="1310">
                  <c:v>15000000</c:v>
                </c:pt>
                <c:pt idx="1311">
                  <c:v>15001002</c:v>
                </c:pt>
                <c:pt idx="1312">
                  <c:v>15000000</c:v>
                </c:pt>
                <c:pt idx="1313">
                  <c:v>15000000</c:v>
                </c:pt>
                <c:pt idx="1314">
                  <c:v>15000000</c:v>
                </c:pt>
                <c:pt idx="1315">
                  <c:v>15000000</c:v>
                </c:pt>
                <c:pt idx="1316">
                  <c:v>15400000</c:v>
                </c:pt>
                <c:pt idx="1318">
                  <c:v>15001001</c:v>
                </c:pt>
                <c:pt idx="1319">
                  <c:v>15000000</c:v>
                </c:pt>
                <c:pt idx="1320">
                  <c:v>15000000</c:v>
                </c:pt>
                <c:pt idx="1321">
                  <c:v>15000000</c:v>
                </c:pt>
                <c:pt idx="1322">
                  <c:v>16590000</c:v>
                </c:pt>
                <c:pt idx="1323">
                  <c:v>16600000</c:v>
                </c:pt>
                <c:pt idx="1324">
                  <c:v>16600000</c:v>
                </c:pt>
                <c:pt idx="1325">
                  <c:v>16600000</c:v>
                </c:pt>
                <c:pt idx="1326">
                  <c:v>15000000</c:v>
                </c:pt>
                <c:pt idx="1327">
                  <c:v>0</c:v>
                </c:pt>
                <c:pt idx="1328">
                  <c:v>0</c:v>
                </c:pt>
                <c:pt idx="1329">
                  <c:v>15000000</c:v>
                </c:pt>
                <c:pt idx="1330">
                  <c:v>15001001</c:v>
                </c:pt>
                <c:pt idx="1331">
                  <c:v>17510000</c:v>
                </c:pt>
                <c:pt idx="1332">
                  <c:v>16000000</c:v>
                </c:pt>
                <c:pt idx="1333">
                  <c:v>0</c:v>
                </c:pt>
                <c:pt idx="1334">
                  <c:v>15000000</c:v>
                </c:pt>
                <c:pt idx="1335">
                  <c:v>15001001</c:v>
                </c:pt>
                <c:pt idx="1336">
                  <c:v>15001002</c:v>
                </c:pt>
                <c:pt idx="1337">
                  <c:v>15001002</c:v>
                </c:pt>
                <c:pt idx="1338">
                  <c:v>15001002</c:v>
                </c:pt>
                <c:pt idx="1339">
                  <c:v>15000000</c:v>
                </c:pt>
                <c:pt idx="1340">
                  <c:v>15000000</c:v>
                </c:pt>
                <c:pt idx="1341">
                  <c:v>15000000</c:v>
                </c:pt>
                <c:pt idx="1342">
                  <c:v>15000000</c:v>
                </c:pt>
                <c:pt idx="1343">
                  <c:v>15001002</c:v>
                </c:pt>
                <c:pt idx="1344">
                  <c:v>15001001</c:v>
                </c:pt>
                <c:pt idx="1345">
                  <c:v>15001001</c:v>
                </c:pt>
                <c:pt idx="1346">
                  <c:v>15000000</c:v>
                </c:pt>
                <c:pt idx="1347">
                  <c:v>25440000</c:v>
                </c:pt>
                <c:pt idx="1348">
                  <c:v>15000000</c:v>
                </c:pt>
                <c:pt idx="1349">
                  <c:v>15000000</c:v>
                </c:pt>
                <c:pt idx="1350">
                  <c:v>16210000</c:v>
                </c:pt>
                <c:pt idx="1351">
                  <c:v>15001002</c:v>
                </c:pt>
                <c:pt idx="1352">
                  <c:v>15001002</c:v>
                </c:pt>
                <c:pt idx="1353">
                  <c:v>16000000</c:v>
                </c:pt>
                <c:pt idx="1354">
                  <c:v>15001002</c:v>
                </c:pt>
                <c:pt idx="1356">
                  <c:v>0</c:v>
                </c:pt>
                <c:pt idx="1357">
                  <c:v>15500000</c:v>
                </c:pt>
                <c:pt idx="1358">
                  <c:v>15520000</c:v>
                </c:pt>
                <c:pt idx="1359">
                  <c:v>0</c:v>
                </c:pt>
                <c:pt idx="1360">
                  <c:v>15000000</c:v>
                </c:pt>
                <c:pt idx="1361">
                  <c:v>15000000</c:v>
                </c:pt>
                <c:pt idx="1362">
                  <c:v>15520000</c:v>
                </c:pt>
                <c:pt idx="1363">
                  <c:v>15001002</c:v>
                </c:pt>
                <c:pt idx="1364">
                  <c:v>15500000</c:v>
                </c:pt>
                <c:pt idx="1365">
                  <c:v>15001001</c:v>
                </c:pt>
                <c:pt idx="1366">
                  <c:v>15520000</c:v>
                </c:pt>
                <c:pt idx="1367">
                  <c:v>15010000</c:v>
                </c:pt>
                <c:pt idx="1368">
                  <c:v>15000000</c:v>
                </c:pt>
                <c:pt idx="1369">
                  <c:v>15000000</c:v>
                </c:pt>
                <c:pt idx="1370">
                  <c:v>0</c:v>
                </c:pt>
                <c:pt idx="1371">
                  <c:v>0</c:v>
                </c:pt>
                <c:pt idx="1372">
                  <c:v>16000000</c:v>
                </c:pt>
                <c:pt idx="1373">
                  <c:v>16210000</c:v>
                </c:pt>
                <c:pt idx="1374">
                  <c:v>15000000</c:v>
                </c:pt>
                <c:pt idx="1375">
                  <c:v>15000000</c:v>
                </c:pt>
                <c:pt idx="1376">
                  <c:v>15000000</c:v>
                </c:pt>
                <c:pt idx="1377">
                  <c:v>16210000</c:v>
                </c:pt>
                <c:pt idx="1378">
                  <c:v>15000000</c:v>
                </c:pt>
                <c:pt idx="1379">
                  <c:v>16000000</c:v>
                </c:pt>
                <c:pt idx="1380">
                  <c:v>15001002</c:v>
                </c:pt>
                <c:pt idx="1381">
                  <c:v>15001002</c:v>
                </c:pt>
                <c:pt idx="1382">
                  <c:v>16003130</c:v>
                </c:pt>
                <c:pt idx="1383">
                  <c:v>0</c:v>
                </c:pt>
                <c:pt idx="1384">
                  <c:v>15000000</c:v>
                </c:pt>
                <c:pt idx="1385">
                  <c:v>15520000</c:v>
                </c:pt>
                <c:pt idx="1386">
                  <c:v>15000000</c:v>
                </c:pt>
                <c:pt idx="1387">
                  <c:v>0</c:v>
                </c:pt>
                <c:pt idx="1388">
                  <c:v>15000000</c:v>
                </c:pt>
                <c:pt idx="1389">
                  <c:v>15000000</c:v>
                </c:pt>
                <c:pt idx="1390">
                  <c:v>15000000</c:v>
                </c:pt>
                <c:pt idx="1391">
                  <c:v>15000000</c:v>
                </c:pt>
                <c:pt idx="1392">
                  <c:v>15001002</c:v>
                </c:pt>
                <c:pt idx="1393">
                  <c:v>16000000</c:v>
                </c:pt>
                <c:pt idx="1394">
                  <c:v>15001001</c:v>
                </c:pt>
                <c:pt idx="1395">
                  <c:v>0</c:v>
                </c:pt>
                <c:pt idx="1396">
                  <c:v>15001002</c:v>
                </c:pt>
                <c:pt idx="1397">
                  <c:v>15001002</c:v>
                </c:pt>
                <c:pt idx="1398">
                  <c:v>16000000</c:v>
                </c:pt>
                <c:pt idx="1399">
                  <c:v>15400000</c:v>
                </c:pt>
                <c:pt idx="1400">
                  <c:v>0</c:v>
                </c:pt>
                <c:pt idx="1401">
                  <c:v>15000000</c:v>
                </c:pt>
                <c:pt idx="1402">
                  <c:v>15000000</c:v>
                </c:pt>
                <c:pt idx="1403">
                  <c:v>0</c:v>
                </c:pt>
                <c:pt idx="1404">
                  <c:v>15001002</c:v>
                </c:pt>
                <c:pt idx="1405">
                  <c:v>16000000</c:v>
                </c:pt>
                <c:pt idx="1406">
                  <c:v>15001002</c:v>
                </c:pt>
                <c:pt idx="1407">
                  <c:v>15400000</c:v>
                </c:pt>
                <c:pt idx="1408">
                  <c:v>15000000</c:v>
                </c:pt>
                <c:pt idx="1409">
                  <c:v>15001001</c:v>
                </c:pt>
                <c:pt idx="1410">
                  <c:v>15000000</c:v>
                </c:pt>
                <c:pt idx="1411">
                  <c:v>15400000</c:v>
                </c:pt>
                <c:pt idx="1412">
                  <c:v>15500000</c:v>
                </c:pt>
                <c:pt idx="1413">
                  <c:v>15000000</c:v>
                </c:pt>
                <c:pt idx="1414">
                  <c:v>15000000</c:v>
                </c:pt>
                <c:pt idx="1415">
                  <c:v>15000000</c:v>
                </c:pt>
                <c:pt idx="1416">
                  <c:v>15000000</c:v>
                </c:pt>
                <c:pt idx="1417">
                  <c:v>15000000</c:v>
                </c:pt>
                <c:pt idx="1418">
                  <c:v>16000000</c:v>
                </c:pt>
                <c:pt idx="1419">
                  <c:v>15001002</c:v>
                </c:pt>
                <c:pt idx="1420">
                  <c:v>16000000</c:v>
                </c:pt>
                <c:pt idx="1421">
                  <c:v>15001002</c:v>
                </c:pt>
                <c:pt idx="1422">
                  <c:v>16600000</c:v>
                </c:pt>
                <c:pt idx="1423">
                  <c:v>0</c:v>
                </c:pt>
                <c:pt idx="1424">
                  <c:v>0</c:v>
                </c:pt>
                <c:pt idx="1425">
                  <c:v>15001001</c:v>
                </c:pt>
                <c:pt idx="1426">
                  <c:v>15001001</c:v>
                </c:pt>
                <c:pt idx="1427">
                  <c:v>0</c:v>
                </c:pt>
                <c:pt idx="1428">
                  <c:v>15000000</c:v>
                </c:pt>
                <c:pt idx="1429">
                  <c:v>15001001</c:v>
                </c:pt>
                <c:pt idx="1430">
                  <c:v>15420000</c:v>
                </c:pt>
                <c:pt idx="1431">
                  <c:v>15000000</c:v>
                </c:pt>
                <c:pt idx="1432">
                  <c:v>0</c:v>
                </c:pt>
                <c:pt idx="1433">
                  <c:v>15000000</c:v>
                </c:pt>
                <c:pt idx="1434">
                  <c:v>15001002</c:v>
                </c:pt>
                <c:pt idx="1435">
                  <c:v>16000000</c:v>
                </c:pt>
                <c:pt idx="1436">
                  <c:v>15001002</c:v>
                </c:pt>
                <c:pt idx="1437">
                  <c:v>16000000</c:v>
                </c:pt>
                <c:pt idx="1438">
                  <c:v>16210000</c:v>
                </c:pt>
                <c:pt idx="1439">
                  <c:v>16000000</c:v>
                </c:pt>
                <c:pt idx="1440">
                  <c:v>15000000</c:v>
                </c:pt>
                <c:pt idx="1441">
                  <c:v>15000000</c:v>
                </c:pt>
                <c:pt idx="1442">
                  <c:v>15000000</c:v>
                </c:pt>
                <c:pt idx="1443">
                  <c:v>15000000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16210000</c:v>
                </c:pt>
                <c:pt idx="1449">
                  <c:v>15000000</c:v>
                </c:pt>
                <c:pt idx="1450">
                  <c:v>15001002</c:v>
                </c:pt>
                <c:pt idx="1451">
                  <c:v>15001002</c:v>
                </c:pt>
                <c:pt idx="1452">
                  <c:v>15000000</c:v>
                </c:pt>
                <c:pt idx="1453">
                  <c:v>15000000</c:v>
                </c:pt>
                <c:pt idx="1454">
                  <c:v>15000000</c:v>
                </c:pt>
                <c:pt idx="1455">
                  <c:v>15000000</c:v>
                </c:pt>
                <c:pt idx="1456">
                  <c:v>15010000</c:v>
                </c:pt>
                <c:pt idx="1457">
                  <c:v>15000000</c:v>
                </c:pt>
                <c:pt idx="1458">
                  <c:v>16610000</c:v>
                </c:pt>
                <c:pt idx="1459">
                  <c:v>16600000</c:v>
                </c:pt>
                <c:pt idx="1460">
                  <c:v>15000000</c:v>
                </c:pt>
                <c:pt idx="1461">
                  <c:v>15000000</c:v>
                </c:pt>
                <c:pt idx="1462">
                  <c:v>16600000</c:v>
                </c:pt>
                <c:pt idx="1463">
                  <c:v>15000000</c:v>
                </c:pt>
                <c:pt idx="1464">
                  <c:v>15000000</c:v>
                </c:pt>
                <c:pt idx="1465">
                  <c:v>16610000</c:v>
                </c:pt>
                <c:pt idx="1466">
                  <c:v>16600000</c:v>
                </c:pt>
                <c:pt idx="1467">
                  <c:v>15001001</c:v>
                </c:pt>
                <c:pt idx="1468">
                  <c:v>26010000</c:v>
                </c:pt>
                <c:pt idx="1469">
                  <c:v>15500000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15000000</c:v>
                </c:pt>
                <c:pt idx="1474">
                  <c:v>15000000</c:v>
                </c:pt>
                <c:pt idx="1475">
                  <c:v>15001001</c:v>
                </c:pt>
                <c:pt idx="1476">
                  <c:v>15001001</c:v>
                </c:pt>
                <c:pt idx="1477">
                  <c:v>15001001</c:v>
                </c:pt>
                <c:pt idx="1478">
                  <c:v>17040000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15001001</c:v>
                </c:pt>
                <c:pt idx="1483">
                  <c:v>0</c:v>
                </c:pt>
                <c:pt idx="1484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15000000</c:v>
                </c:pt>
                <c:pt idx="1491">
                  <c:v>15001002</c:v>
                </c:pt>
                <c:pt idx="1492">
                  <c:v>16000000</c:v>
                </c:pt>
                <c:pt idx="1493">
                  <c:v>15001002</c:v>
                </c:pt>
                <c:pt idx="1494">
                  <c:v>15000000</c:v>
                </c:pt>
                <c:pt idx="1495">
                  <c:v>16210000</c:v>
                </c:pt>
                <c:pt idx="1496">
                  <c:v>15001002</c:v>
                </c:pt>
                <c:pt idx="1497">
                  <c:v>15001002</c:v>
                </c:pt>
                <c:pt idx="1498">
                  <c:v>16000000</c:v>
                </c:pt>
                <c:pt idx="1499">
                  <c:v>15001002</c:v>
                </c:pt>
                <c:pt idx="1500">
                  <c:v>15001001</c:v>
                </c:pt>
                <c:pt idx="1501">
                  <c:v>25460000</c:v>
                </c:pt>
                <c:pt idx="1502">
                  <c:v>25460000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15000000</c:v>
                </c:pt>
                <c:pt idx="1509">
                  <c:v>15420000</c:v>
                </c:pt>
                <c:pt idx="1510">
                  <c:v>15001001</c:v>
                </c:pt>
                <c:pt idx="1511">
                  <c:v>15400000</c:v>
                </c:pt>
                <c:pt idx="1512">
                  <c:v>15001001</c:v>
                </c:pt>
                <c:pt idx="1513">
                  <c:v>15000000</c:v>
                </c:pt>
                <c:pt idx="1514">
                  <c:v>15000000</c:v>
                </c:pt>
                <c:pt idx="1515">
                  <c:v>15000000</c:v>
                </c:pt>
                <c:pt idx="1516">
                  <c:v>15520000</c:v>
                </c:pt>
                <c:pt idx="1517">
                  <c:v>15520000</c:v>
                </c:pt>
                <c:pt idx="1518">
                  <c:v>15000000</c:v>
                </c:pt>
                <c:pt idx="1519">
                  <c:v>11621000</c:v>
                </c:pt>
                <c:pt idx="1520">
                  <c:v>16590000</c:v>
                </c:pt>
                <c:pt idx="1521">
                  <c:v>15001002</c:v>
                </c:pt>
                <c:pt idx="1522">
                  <c:v>15001002</c:v>
                </c:pt>
                <c:pt idx="1523">
                  <c:v>16000000</c:v>
                </c:pt>
                <c:pt idx="1524">
                  <c:v>150000000</c:v>
                </c:pt>
                <c:pt idx="1525">
                  <c:v>0</c:v>
                </c:pt>
                <c:pt idx="1526">
                  <c:v>15001002</c:v>
                </c:pt>
                <c:pt idx="1527">
                  <c:v>15001002</c:v>
                </c:pt>
                <c:pt idx="1528">
                  <c:v>15001001</c:v>
                </c:pt>
                <c:pt idx="1529">
                  <c:v>15000000</c:v>
                </c:pt>
                <c:pt idx="1530">
                  <c:v>15000000</c:v>
                </c:pt>
                <c:pt idx="1531">
                  <c:v>15500000</c:v>
                </c:pt>
                <c:pt idx="1532">
                  <c:v>16600000</c:v>
                </c:pt>
                <c:pt idx="1533">
                  <c:v>15000000</c:v>
                </c:pt>
                <c:pt idx="1534">
                  <c:v>15000000</c:v>
                </c:pt>
                <c:pt idx="1535">
                  <c:v>15001001</c:v>
                </c:pt>
                <c:pt idx="1536">
                  <c:v>15001001</c:v>
                </c:pt>
                <c:pt idx="1537">
                  <c:v>16000000</c:v>
                </c:pt>
                <c:pt idx="1538">
                  <c:v>15001002</c:v>
                </c:pt>
                <c:pt idx="1539">
                  <c:v>15001002</c:v>
                </c:pt>
                <c:pt idx="1540">
                  <c:v>16000000</c:v>
                </c:pt>
                <c:pt idx="1541">
                  <c:v>16210000</c:v>
                </c:pt>
                <c:pt idx="1542">
                  <c:v>16000000</c:v>
                </c:pt>
                <c:pt idx="1543">
                  <c:v>16000000</c:v>
                </c:pt>
                <c:pt idx="1544">
                  <c:v>15001002</c:v>
                </c:pt>
                <c:pt idx="1545">
                  <c:v>15000000</c:v>
                </c:pt>
                <c:pt idx="1546">
                  <c:v>15001002</c:v>
                </c:pt>
                <c:pt idx="1547">
                  <c:v>16600000</c:v>
                </c:pt>
                <c:pt idx="1548">
                  <c:v>16000000</c:v>
                </c:pt>
                <c:pt idx="1549">
                  <c:v>16000000</c:v>
                </c:pt>
                <c:pt idx="1550">
                  <c:v>16000000</c:v>
                </c:pt>
                <c:pt idx="1551">
                  <c:v>0</c:v>
                </c:pt>
                <c:pt idx="1552">
                  <c:v>16610000</c:v>
                </c:pt>
                <c:pt idx="1553">
                  <c:v>15000000</c:v>
                </c:pt>
                <c:pt idx="1554">
                  <c:v>15000000</c:v>
                </c:pt>
                <c:pt idx="1555">
                  <c:v>15001001</c:v>
                </c:pt>
                <c:pt idx="1556">
                  <c:v>16600000</c:v>
                </c:pt>
                <c:pt idx="1557">
                  <c:v>16610000</c:v>
                </c:pt>
                <c:pt idx="1558">
                  <c:v>15000000</c:v>
                </c:pt>
                <c:pt idx="1559">
                  <c:v>15000000</c:v>
                </c:pt>
                <c:pt idx="1560">
                  <c:v>15000000</c:v>
                </c:pt>
                <c:pt idx="1561">
                  <c:v>15001001</c:v>
                </c:pt>
                <c:pt idx="1562">
                  <c:v>15001002</c:v>
                </c:pt>
                <c:pt idx="1563">
                  <c:v>15001002</c:v>
                </c:pt>
                <c:pt idx="1564">
                  <c:v>16000000</c:v>
                </c:pt>
                <c:pt idx="1565">
                  <c:v>15001002</c:v>
                </c:pt>
                <c:pt idx="1566">
                  <c:v>15001002</c:v>
                </c:pt>
                <c:pt idx="1567">
                  <c:v>15001002</c:v>
                </c:pt>
                <c:pt idx="1568">
                  <c:v>15001002</c:v>
                </c:pt>
                <c:pt idx="1569">
                  <c:v>15001002</c:v>
                </c:pt>
                <c:pt idx="1570">
                  <c:v>15001001</c:v>
                </c:pt>
                <c:pt idx="1571">
                  <c:v>15001002</c:v>
                </c:pt>
                <c:pt idx="1572">
                  <c:v>15001002</c:v>
                </c:pt>
                <c:pt idx="1573">
                  <c:v>16000000</c:v>
                </c:pt>
                <c:pt idx="1574">
                  <c:v>16000000</c:v>
                </c:pt>
                <c:pt idx="1575">
                  <c:v>16000000</c:v>
                </c:pt>
                <c:pt idx="1576">
                  <c:v>15001001</c:v>
                </c:pt>
                <c:pt idx="1577">
                  <c:v>15000000</c:v>
                </c:pt>
                <c:pt idx="1578">
                  <c:v>15001002</c:v>
                </c:pt>
                <c:pt idx="1579">
                  <c:v>0</c:v>
                </c:pt>
                <c:pt idx="1580">
                  <c:v>15001002</c:v>
                </c:pt>
                <c:pt idx="1581">
                  <c:v>15000000</c:v>
                </c:pt>
                <c:pt idx="1582">
                  <c:v>15001002</c:v>
                </c:pt>
                <c:pt idx="1583">
                  <c:v>15001002</c:v>
                </c:pt>
                <c:pt idx="1584">
                  <c:v>15001002</c:v>
                </c:pt>
                <c:pt idx="1585">
                  <c:v>15001002</c:v>
                </c:pt>
                <c:pt idx="1586">
                  <c:v>15001002</c:v>
                </c:pt>
                <c:pt idx="1587">
                  <c:v>15001002</c:v>
                </c:pt>
                <c:pt idx="1588">
                  <c:v>15001002</c:v>
                </c:pt>
                <c:pt idx="1589">
                  <c:v>15001002</c:v>
                </c:pt>
                <c:pt idx="1590">
                  <c:v>15001002</c:v>
                </c:pt>
                <c:pt idx="1591">
                  <c:v>15001002</c:v>
                </c:pt>
                <c:pt idx="1592">
                  <c:v>15001002</c:v>
                </c:pt>
                <c:pt idx="1593">
                  <c:v>15001002</c:v>
                </c:pt>
                <c:pt idx="1594">
                  <c:v>15001002</c:v>
                </c:pt>
                <c:pt idx="1595">
                  <c:v>15001002</c:v>
                </c:pt>
                <c:pt idx="1596">
                  <c:v>15001002</c:v>
                </c:pt>
                <c:pt idx="1597">
                  <c:v>15001002</c:v>
                </c:pt>
                <c:pt idx="1598">
                  <c:v>15001002</c:v>
                </c:pt>
                <c:pt idx="1599">
                  <c:v>15001002</c:v>
                </c:pt>
                <c:pt idx="1600">
                  <c:v>15001002</c:v>
                </c:pt>
                <c:pt idx="1601">
                  <c:v>15000000</c:v>
                </c:pt>
                <c:pt idx="1602">
                  <c:v>15001002</c:v>
                </c:pt>
                <c:pt idx="1603">
                  <c:v>15001002</c:v>
                </c:pt>
                <c:pt idx="1604">
                  <c:v>15001002</c:v>
                </c:pt>
                <c:pt idx="1605">
                  <c:v>15000000</c:v>
                </c:pt>
                <c:pt idx="1606">
                  <c:v>15000000</c:v>
                </c:pt>
                <c:pt idx="1607">
                  <c:v>16000000</c:v>
                </c:pt>
                <c:pt idx="1608">
                  <c:v>15001002</c:v>
                </c:pt>
                <c:pt idx="1609">
                  <c:v>15001002</c:v>
                </c:pt>
                <c:pt idx="1610">
                  <c:v>15001001</c:v>
                </c:pt>
                <c:pt idx="1611">
                  <c:v>15001001</c:v>
                </c:pt>
                <c:pt idx="1612">
                  <c:v>15000000</c:v>
                </c:pt>
                <c:pt idx="1613">
                  <c:v>15400000</c:v>
                </c:pt>
                <c:pt idx="1614">
                  <c:v>15400000</c:v>
                </c:pt>
                <c:pt idx="1615">
                  <c:v>16600000</c:v>
                </c:pt>
                <c:pt idx="1616">
                  <c:v>15001001</c:v>
                </c:pt>
                <c:pt idx="1617">
                  <c:v>15000000</c:v>
                </c:pt>
                <c:pt idx="1618">
                  <c:v>15000000</c:v>
                </c:pt>
                <c:pt idx="1619">
                  <c:v>15000000</c:v>
                </c:pt>
                <c:pt idx="1620">
                  <c:v>15001002</c:v>
                </c:pt>
                <c:pt idx="1621">
                  <c:v>15001002</c:v>
                </c:pt>
                <c:pt idx="1622">
                  <c:v>15001002</c:v>
                </c:pt>
                <c:pt idx="1623">
                  <c:v>15001002</c:v>
                </c:pt>
                <c:pt idx="1624">
                  <c:v>15000000</c:v>
                </c:pt>
                <c:pt idx="1625">
                  <c:v>15000000</c:v>
                </c:pt>
                <c:pt idx="1626">
                  <c:v>15000000</c:v>
                </c:pt>
                <c:pt idx="1627">
                  <c:v>15001002</c:v>
                </c:pt>
                <c:pt idx="1628">
                  <c:v>15001002</c:v>
                </c:pt>
                <c:pt idx="1629">
                  <c:v>15000000</c:v>
                </c:pt>
                <c:pt idx="1630">
                  <c:v>15001002</c:v>
                </c:pt>
                <c:pt idx="1631">
                  <c:v>15001001</c:v>
                </c:pt>
                <c:pt idx="1632">
                  <c:v>15001002</c:v>
                </c:pt>
                <c:pt idx="1633">
                  <c:v>15000000</c:v>
                </c:pt>
                <c:pt idx="1634">
                  <c:v>16600000</c:v>
                </c:pt>
                <c:pt idx="1635">
                  <c:v>16600000</c:v>
                </c:pt>
                <c:pt idx="1636">
                  <c:v>16600000</c:v>
                </c:pt>
                <c:pt idx="1637">
                  <c:v>15001002</c:v>
                </c:pt>
                <c:pt idx="1638">
                  <c:v>15000000</c:v>
                </c:pt>
                <c:pt idx="1639">
                  <c:v>15000000</c:v>
                </c:pt>
                <c:pt idx="1640">
                  <c:v>15000000</c:v>
                </c:pt>
                <c:pt idx="1641">
                  <c:v>15000000</c:v>
                </c:pt>
                <c:pt idx="1642">
                  <c:v>15000000</c:v>
                </c:pt>
                <c:pt idx="1643">
                  <c:v>15000000</c:v>
                </c:pt>
                <c:pt idx="1644">
                  <c:v>15000000</c:v>
                </c:pt>
                <c:pt idx="1646">
                  <c:v>15000000</c:v>
                </c:pt>
                <c:pt idx="1647">
                  <c:v>15000000</c:v>
                </c:pt>
                <c:pt idx="1648">
                  <c:v>15000000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15001001</c:v>
                </c:pt>
                <c:pt idx="1656">
                  <c:v>15001002</c:v>
                </c:pt>
                <c:pt idx="1657">
                  <c:v>15001002</c:v>
                </c:pt>
                <c:pt idx="1658">
                  <c:v>15001002</c:v>
                </c:pt>
                <c:pt idx="1659">
                  <c:v>15001002</c:v>
                </c:pt>
                <c:pt idx="1660">
                  <c:v>15001002</c:v>
                </c:pt>
                <c:pt idx="1661">
                  <c:v>15001002</c:v>
                </c:pt>
                <c:pt idx="1662">
                  <c:v>0</c:v>
                </c:pt>
                <c:pt idx="1663">
                  <c:v>0</c:v>
                </c:pt>
                <c:pt idx="1664">
                  <c:v>15001001</c:v>
                </c:pt>
                <c:pt idx="1665">
                  <c:v>15000000</c:v>
                </c:pt>
                <c:pt idx="1666">
                  <c:v>15001001</c:v>
                </c:pt>
                <c:pt idx="1667">
                  <c:v>15000000</c:v>
                </c:pt>
                <c:pt idx="1668">
                  <c:v>15000000</c:v>
                </c:pt>
                <c:pt idx="1669">
                  <c:v>15000000</c:v>
                </c:pt>
                <c:pt idx="1670">
                  <c:v>15001001</c:v>
                </c:pt>
                <c:pt idx="1671">
                  <c:v>15001002</c:v>
                </c:pt>
                <c:pt idx="1672">
                  <c:v>15001002</c:v>
                </c:pt>
                <c:pt idx="1673">
                  <c:v>15001002</c:v>
                </c:pt>
                <c:pt idx="1674">
                  <c:v>15001002</c:v>
                </c:pt>
                <c:pt idx="1675">
                  <c:v>16000000</c:v>
                </c:pt>
                <c:pt idx="1676">
                  <c:v>15001001</c:v>
                </c:pt>
                <c:pt idx="1677">
                  <c:v>15001001</c:v>
                </c:pt>
                <c:pt idx="1678">
                  <c:v>15001002</c:v>
                </c:pt>
                <c:pt idx="1679">
                  <c:v>16610000</c:v>
                </c:pt>
                <c:pt idx="1680">
                  <c:v>16600000</c:v>
                </c:pt>
                <c:pt idx="1681">
                  <c:v>16600000</c:v>
                </c:pt>
                <c:pt idx="1682">
                  <c:v>16600000</c:v>
                </c:pt>
                <c:pt idx="1683">
                  <c:v>15000000</c:v>
                </c:pt>
                <c:pt idx="1684">
                  <c:v>15000000</c:v>
                </c:pt>
                <c:pt idx="1685">
                  <c:v>0</c:v>
                </c:pt>
                <c:pt idx="1686">
                  <c:v>15000000</c:v>
                </c:pt>
                <c:pt idx="1687">
                  <c:v>15000000</c:v>
                </c:pt>
                <c:pt idx="1688">
                  <c:v>15000000</c:v>
                </c:pt>
                <c:pt idx="1689">
                  <c:v>15000000</c:v>
                </c:pt>
                <c:pt idx="1690">
                  <c:v>15000000</c:v>
                </c:pt>
                <c:pt idx="1691">
                  <c:v>15000000</c:v>
                </c:pt>
                <c:pt idx="1692">
                  <c:v>15001002</c:v>
                </c:pt>
                <c:pt idx="1693">
                  <c:v>15001002</c:v>
                </c:pt>
                <c:pt idx="1694">
                  <c:v>25500000</c:v>
                </c:pt>
                <c:pt idx="1697">
                  <c:v>16590000</c:v>
                </c:pt>
                <c:pt idx="1698">
                  <c:v>15001002</c:v>
                </c:pt>
                <c:pt idx="1699">
                  <c:v>15001001</c:v>
                </c:pt>
                <c:pt idx="1700">
                  <c:v>15000000</c:v>
                </c:pt>
                <c:pt idx="1701">
                  <c:v>15000000</c:v>
                </c:pt>
                <c:pt idx="1702">
                  <c:v>15001001</c:v>
                </c:pt>
                <c:pt idx="1703">
                  <c:v>0</c:v>
                </c:pt>
                <c:pt idx="1704">
                  <c:v>15001001</c:v>
                </c:pt>
                <c:pt idx="1705">
                  <c:v>15001002</c:v>
                </c:pt>
                <c:pt idx="1706">
                  <c:v>15000000</c:v>
                </c:pt>
                <c:pt idx="1707">
                  <c:v>15000000</c:v>
                </c:pt>
                <c:pt idx="1708">
                  <c:v>15000000</c:v>
                </c:pt>
                <c:pt idx="1709">
                  <c:v>15000000</c:v>
                </c:pt>
                <c:pt idx="1710">
                  <c:v>15010000</c:v>
                </c:pt>
                <c:pt idx="1711">
                  <c:v>15000000</c:v>
                </c:pt>
                <c:pt idx="1712">
                  <c:v>15001002</c:v>
                </c:pt>
                <c:pt idx="1713">
                  <c:v>15000000</c:v>
                </c:pt>
                <c:pt idx="1714">
                  <c:v>0</c:v>
                </c:pt>
                <c:pt idx="1715">
                  <c:v>0</c:v>
                </c:pt>
                <c:pt idx="1716">
                  <c:v>15500000</c:v>
                </c:pt>
                <c:pt idx="1717">
                  <c:v>16610000</c:v>
                </c:pt>
                <c:pt idx="1718">
                  <c:v>15000000</c:v>
                </c:pt>
                <c:pt idx="1719">
                  <c:v>16600000</c:v>
                </c:pt>
                <c:pt idx="1720">
                  <c:v>15000000</c:v>
                </c:pt>
                <c:pt idx="1721">
                  <c:v>16600000</c:v>
                </c:pt>
                <c:pt idx="1722">
                  <c:v>15000000</c:v>
                </c:pt>
                <c:pt idx="1723">
                  <c:v>0</c:v>
                </c:pt>
                <c:pt idx="1724">
                  <c:v>15000000</c:v>
                </c:pt>
                <c:pt idx="1725">
                  <c:v>16600000</c:v>
                </c:pt>
                <c:pt idx="1726">
                  <c:v>15520000</c:v>
                </c:pt>
                <c:pt idx="1727">
                  <c:v>16610000</c:v>
                </c:pt>
                <c:pt idx="1728">
                  <c:v>16000000</c:v>
                </c:pt>
                <c:pt idx="1729">
                  <c:v>15001002</c:v>
                </c:pt>
                <c:pt idx="1730">
                  <c:v>15001002</c:v>
                </c:pt>
                <c:pt idx="1731">
                  <c:v>25440000</c:v>
                </c:pt>
                <c:pt idx="1732">
                  <c:v>15001002</c:v>
                </c:pt>
                <c:pt idx="1733">
                  <c:v>16000000</c:v>
                </c:pt>
                <c:pt idx="1734">
                  <c:v>16000000</c:v>
                </c:pt>
                <c:pt idx="1735">
                  <c:v>16000000</c:v>
                </c:pt>
                <c:pt idx="1736">
                  <c:v>15001001</c:v>
                </c:pt>
                <c:pt idx="1737">
                  <c:v>15500000</c:v>
                </c:pt>
                <c:pt idx="1738">
                  <c:v>0</c:v>
                </c:pt>
                <c:pt idx="1739">
                  <c:v>15001002</c:v>
                </c:pt>
                <c:pt idx="1740">
                  <c:v>17510000</c:v>
                </c:pt>
                <c:pt idx="1741">
                  <c:v>15001002</c:v>
                </c:pt>
                <c:pt idx="1742">
                  <c:v>15001002</c:v>
                </c:pt>
                <c:pt idx="1743">
                  <c:v>15000000</c:v>
                </c:pt>
                <c:pt idx="1744">
                  <c:v>16000000</c:v>
                </c:pt>
                <c:pt idx="1745">
                  <c:v>15001002</c:v>
                </c:pt>
                <c:pt idx="1746">
                  <c:v>15001002</c:v>
                </c:pt>
                <c:pt idx="1747">
                  <c:v>15001001</c:v>
                </c:pt>
                <c:pt idx="1748">
                  <c:v>16000000</c:v>
                </c:pt>
                <c:pt idx="1749">
                  <c:v>15000000</c:v>
                </c:pt>
                <c:pt idx="1750">
                  <c:v>15001001</c:v>
                </c:pt>
                <c:pt idx="1751">
                  <c:v>15001002</c:v>
                </c:pt>
                <c:pt idx="1752">
                  <c:v>0</c:v>
                </c:pt>
                <c:pt idx="1753">
                  <c:v>0</c:v>
                </c:pt>
                <c:pt idx="1754">
                  <c:v>15000000</c:v>
                </c:pt>
                <c:pt idx="1755">
                  <c:v>16600000</c:v>
                </c:pt>
                <c:pt idx="1756">
                  <c:v>16600000</c:v>
                </c:pt>
                <c:pt idx="1757">
                  <c:v>16600000</c:v>
                </c:pt>
                <c:pt idx="1758">
                  <c:v>15001002</c:v>
                </c:pt>
                <c:pt idx="1759">
                  <c:v>15001001</c:v>
                </c:pt>
                <c:pt idx="1760">
                  <c:v>16210000</c:v>
                </c:pt>
                <c:pt idx="1761">
                  <c:v>25500000</c:v>
                </c:pt>
                <c:pt idx="1762">
                  <c:v>16210000</c:v>
                </c:pt>
                <c:pt idx="1763">
                  <c:v>16210000</c:v>
                </c:pt>
                <c:pt idx="1764">
                  <c:v>15001002</c:v>
                </c:pt>
                <c:pt idx="1765">
                  <c:v>15520000</c:v>
                </c:pt>
                <c:pt idx="1766">
                  <c:v>15500000</c:v>
                </c:pt>
                <c:pt idx="1767">
                  <c:v>16000000</c:v>
                </c:pt>
                <c:pt idx="1768">
                  <c:v>15001002</c:v>
                </c:pt>
                <c:pt idx="1769">
                  <c:v>16000000</c:v>
                </c:pt>
                <c:pt idx="1770">
                  <c:v>16600000</c:v>
                </c:pt>
                <c:pt idx="1771">
                  <c:v>15000000</c:v>
                </c:pt>
                <c:pt idx="1772">
                  <c:v>16610000</c:v>
                </c:pt>
                <c:pt idx="1773">
                  <c:v>16610000</c:v>
                </c:pt>
                <c:pt idx="1774">
                  <c:v>16000000</c:v>
                </c:pt>
                <c:pt idx="1775">
                  <c:v>16000000</c:v>
                </c:pt>
                <c:pt idx="1776">
                  <c:v>15001002</c:v>
                </c:pt>
                <c:pt idx="1777">
                  <c:v>15010000</c:v>
                </c:pt>
                <c:pt idx="1778">
                  <c:v>16000000</c:v>
                </c:pt>
                <c:pt idx="1779">
                  <c:v>15001002</c:v>
                </c:pt>
                <c:pt idx="1780">
                  <c:v>16000000</c:v>
                </c:pt>
                <c:pt idx="1781">
                  <c:v>16210000</c:v>
                </c:pt>
                <c:pt idx="1782">
                  <c:v>0</c:v>
                </c:pt>
                <c:pt idx="1783">
                  <c:v>0</c:v>
                </c:pt>
                <c:pt idx="1784">
                  <c:v>16600000</c:v>
                </c:pt>
                <c:pt idx="1785">
                  <c:v>15000000</c:v>
                </c:pt>
                <c:pt idx="1786">
                  <c:v>15001002</c:v>
                </c:pt>
                <c:pt idx="1787">
                  <c:v>15000000</c:v>
                </c:pt>
                <c:pt idx="1788">
                  <c:v>25520000</c:v>
                </c:pt>
                <c:pt idx="1789">
                  <c:v>15000000</c:v>
                </c:pt>
                <c:pt idx="1790">
                  <c:v>15001002</c:v>
                </c:pt>
                <c:pt idx="1791">
                  <c:v>15001002</c:v>
                </c:pt>
                <c:pt idx="1792">
                  <c:v>16210000</c:v>
                </c:pt>
                <c:pt idx="1793">
                  <c:v>15001001</c:v>
                </c:pt>
                <c:pt idx="1794">
                  <c:v>0</c:v>
                </c:pt>
                <c:pt idx="1795">
                  <c:v>15001002</c:v>
                </c:pt>
                <c:pt idx="1796">
                  <c:v>15001002</c:v>
                </c:pt>
                <c:pt idx="1797">
                  <c:v>15001002</c:v>
                </c:pt>
                <c:pt idx="1798">
                  <c:v>16000000</c:v>
                </c:pt>
                <c:pt idx="1799">
                  <c:v>16000000</c:v>
                </c:pt>
                <c:pt idx="1800">
                  <c:v>15001002</c:v>
                </c:pt>
                <c:pt idx="1801">
                  <c:v>16210000</c:v>
                </c:pt>
                <c:pt idx="1802">
                  <c:v>16000000</c:v>
                </c:pt>
                <c:pt idx="1803">
                  <c:v>15000000</c:v>
                </c:pt>
                <c:pt idx="1804">
                  <c:v>0</c:v>
                </c:pt>
                <c:pt idx="1805">
                  <c:v>15000000</c:v>
                </c:pt>
                <c:pt idx="1806">
                  <c:v>15000000</c:v>
                </c:pt>
                <c:pt idx="1807">
                  <c:v>15000000</c:v>
                </c:pt>
                <c:pt idx="1808">
                  <c:v>25500000</c:v>
                </c:pt>
                <c:pt idx="1809">
                  <c:v>15500000</c:v>
                </c:pt>
                <c:pt idx="1810">
                  <c:v>15001002</c:v>
                </c:pt>
                <c:pt idx="1811">
                  <c:v>15001002</c:v>
                </c:pt>
                <c:pt idx="1812">
                  <c:v>15001002</c:v>
                </c:pt>
                <c:pt idx="1813">
                  <c:v>16000000</c:v>
                </c:pt>
                <c:pt idx="1814">
                  <c:v>15001002</c:v>
                </c:pt>
                <c:pt idx="1815">
                  <c:v>15001002</c:v>
                </c:pt>
                <c:pt idx="1816">
                  <c:v>26003130</c:v>
                </c:pt>
                <c:pt idx="1817">
                  <c:v>16000000</c:v>
                </c:pt>
                <c:pt idx="1818">
                  <c:v>26000000</c:v>
                </c:pt>
                <c:pt idx="1819">
                  <c:v>16210000</c:v>
                </c:pt>
                <c:pt idx="1820">
                  <c:v>15001002</c:v>
                </c:pt>
                <c:pt idx="1821">
                  <c:v>16000000</c:v>
                </c:pt>
                <c:pt idx="1822">
                  <c:v>15001002</c:v>
                </c:pt>
                <c:pt idx="1823">
                  <c:v>15000000</c:v>
                </c:pt>
                <c:pt idx="1824">
                  <c:v>16000000</c:v>
                </c:pt>
                <c:pt idx="1825">
                  <c:v>16000000</c:v>
                </c:pt>
                <c:pt idx="1826">
                  <c:v>26003130</c:v>
                </c:pt>
                <c:pt idx="1827">
                  <c:v>26010000</c:v>
                </c:pt>
                <c:pt idx="1828">
                  <c:v>15001002</c:v>
                </c:pt>
                <c:pt idx="1829">
                  <c:v>26003110</c:v>
                </c:pt>
                <c:pt idx="1830">
                  <c:v>26003130</c:v>
                </c:pt>
                <c:pt idx="1831">
                  <c:v>16000000</c:v>
                </c:pt>
                <c:pt idx="1832">
                  <c:v>26010000</c:v>
                </c:pt>
                <c:pt idx="1833">
                  <c:v>16590000</c:v>
                </c:pt>
                <c:pt idx="1834">
                  <c:v>16590000</c:v>
                </c:pt>
                <c:pt idx="1835">
                  <c:v>15001002</c:v>
                </c:pt>
                <c:pt idx="1836">
                  <c:v>26010000</c:v>
                </c:pt>
                <c:pt idx="1837">
                  <c:v>16000000</c:v>
                </c:pt>
                <c:pt idx="1838">
                  <c:v>16590000</c:v>
                </c:pt>
                <c:pt idx="1839">
                  <c:v>15000000</c:v>
                </c:pt>
                <c:pt idx="1840">
                  <c:v>26003130</c:v>
                </c:pt>
                <c:pt idx="1841">
                  <c:v>16000000</c:v>
                </c:pt>
                <c:pt idx="1842">
                  <c:v>26003130</c:v>
                </c:pt>
                <c:pt idx="1843">
                  <c:v>26003130</c:v>
                </c:pt>
                <c:pt idx="1844">
                  <c:v>16000000</c:v>
                </c:pt>
                <c:pt idx="1845">
                  <c:v>15001002</c:v>
                </c:pt>
                <c:pt idx="1846">
                  <c:v>16000000</c:v>
                </c:pt>
                <c:pt idx="1847">
                  <c:v>15001002</c:v>
                </c:pt>
                <c:pt idx="1848">
                  <c:v>15001002</c:v>
                </c:pt>
                <c:pt idx="1849">
                  <c:v>26003130</c:v>
                </c:pt>
                <c:pt idx="1850">
                  <c:v>16000000</c:v>
                </c:pt>
                <c:pt idx="1851">
                  <c:v>15001002</c:v>
                </c:pt>
                <c:pt idx="1852">
                  <c:v>15001002</c:v>
                </c:pt>
                <c:pt idx="1853">
                  <c:v>16210000</c:v>
                </c:pt>
                <c:pt idx="1854">
                  <c:v>15001002</c:v>
                </c:pt>
                <c:pt idx="1855">
                  <c:v>26003130</c:v>
                </c:pt>
                <c:pt idx="1856">
                  <c:v>15000000</c:v>
                </c:pt>
                <c:pt idx="1857">
                  <c:v>15000000</c:v>
                </c:pt>
                <c:pt idx="1858">
                  <c:v>15001002</c:v>
                </c:pt>
                <c:pt idx="1859">
                  <c:v>16000000</c:v>
                </c:pt>
                <c:pt idx="1860">
                  <c:v>16000000</c:v>
                </c:pt>
                <c:pt idx="1861">
                  <c:v>15001002</c:v>
                </c:pt>
                <c:pt idx="1862">
                  <c:v>15001002</c:v>
                </c:pt>
                <c:pt idx="1863">
                  <c:v>15000000</c:v>
                </c:pt>
                <c:pt idx="1864">
                  <c:v>15001002</c:v>
                </c:pt>
                <c:pt idx="1865">
                  <c:v>16590000</c:v>
                </c:pt>
                <c:pt idx="1866">
                  <c:v>15001002</c:v>
                </c:pt>
                <c:pt idx="1867">
                  <c:v>16000000</c:v>
                </c:pt>
                <c:pt idx="1868">
                  <c:v>15001002</c:v>
                </c:pt>
                <c:pt idx="1869">
                  <c:v>15001002</c:v>
                </c:pt>
                <c:pt idx="1870">
                  <c:v>16000000</c:v>
                </c:pt>
                <c:pt idx="1871">
                  <c:v>15001002</c:v>
                </c:pt>
                <c:pt idx="1872">
                  <c:v>16000000</c:v>
                </c:pt>
                <c:pt idx="1873">
                  <c:v>15001002</c:v>
                </c:pt>
                <c:pt idx="1874">
                  <c:v>16000000</c:v>
                </c:pt>
                <c:pt idx="1875">
                  <c:v>15500000</c:v>
                </c:pt>
                <c:pt idx="1876">
                  <c:v>16000000</c:v>
                </c:pt>
                <c:pt idx="1877">
                  <c:v>15000000</c:v>
                </c:pt>
                <c:pt idx="1878">
                  <c:v>15000000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16610000</c:v>
                </c:pt>
                <c:pt idx="1883">
                  <c:v>15000000</c:v>
                </c:pt>
                <c:pt idx="1884">
                  <c:v>15000000</c:v>
                </c:pt>
                <c:pt idx="1885">
                  <c:v>15000000</c:v>
                </c:pt>
                <c:pt idx="1886">
                  <c:v>0</c:v>
                </c:pt>
                <c:pt idx="1887">
                  <c:v>0</c:v>
                </c:pt>
                <c:pt idx="1888">
                  <c:v>16000000</c:v>
                </c:pt>
                <c:pt idx="1889">
                  <c:v>15000000</c:v>
                </c:pt>
                <c:pt idx="1890">
                  <c:v>16000000</c:v>
                </c:pt>
                <c:pt idx="1891">
                  <c:v>15001002</c:v>
                </c:pt>
                <c:pt idx="1892">
                  <c:v>16000000</c:v>
                </c:pt>
                <c:pt idx="1893">
                  <c:v>16000000</c:v>
                </c:pt>
                <c:pt idx="1894">
                  <c:v>16000000</c:v>
                </c:pt>
                <c:pt idx="1895">
                  <c:v>16000000</c:v>
                </c:pt>
                <c:pt idx="1896">
                  <c:v>16000000</c:v>
                </c:pt>
                <c:pt idx="1897">
                  <c:v>15000000</c:v>
                </c:pt>
                <c:pt idx="1898">
                  <c:v>16000000</c:v>
                </c:pt>
                <c:pt idx="1899">
                  <c:v>15001002</c:v>
                </c:pt>
                <c:pt idx="1900">
                  <c:v>15000000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EA-4783-A855-9FF601EC7E11}"/>
            </c:ext>
          </c:extLst>
        </c:ser>
        <c:ser>
          <c:idx val="10"/>
          <c:order val="10"/>
          <c:tx>
            <c:strRef>
              <c:f>'INVENTÁRIO 2026'!$J$2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2026'!$J$3:$J$11811</c:f>
              <c:numCache>
                <c:formatCode>"R$"\ #,##0.00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9168</c:v>
                </c:pt>
                <c:pt idx="5">
                  <c:v>235000</c:v>
                </c:pt>
                <c:pt idx="6">
                  <c:v>1190062.3799999999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16520</c:v>
                </c:pt>
                <c:pt idx="16">
                  <c:v>10360</c:v>
                </c:pt>
                <c:pt idx="17">
                  <c:v>7080</c:v>
                </c:pt>
                <c:pt idx="18">
                  <c:v>18850</c:v>
                </c:pt>
                <c:pt idx="19">
                  <c:v>1220</c:v>
                </c:pt>
                <c:pt idx="20">
                  <c:v>26200</c:v>
                </c:pt>
                <c:pt idx="21">
                  <c:v>11800</c:v>
                </c:pt>
                <c:pt idx="22">
                  <c:v>5800</c:v>
                </c:pt>
                <c:pt idx="23">
                  <c:v>14500</c:v>
                </c:pt>
                <c:pt idx="24">
                  <c:v>18850</c:v>
                </c:pt>
                <c:pt idx="25">
                  <c:v>10620</c:v>
                </c:pt>
                <c:pt idx="26">
                  <c:v>2900</c:v>
                </c:pt>
                <c:pt idx="27">
                  <c:v>7080</c:v>
                </c:pt>
                <c:pt idx="28">
                  <c:v>14500</c:v>
                </c:pt>
                <c:pt idx="29">
                  <c:v>5800</c:v>
                </c:pt>
                <c:pt idx="30">
                  <c:v>35525</c:v>
                </c:pt>
                <c:pt idx="31">
                  <c:v>8260</c:v>
                </c:pt>
                <c:pt idx="32">
                  <c:v>16460</c:v>
                </c:pt>
                <c:pt idx="33">
                  <c:v>16520</c:v>
                </c:pt>
                <c:pt idx="34">
                  <c:v>29280</c:v>
                </c:pt>
                <c:pt idx="35">
                  <c:v>14500</c:v>
                </c:pt>
                <c:pt idx="36">
                  <c:v>14500</c:v>
                </c:pt>
                <c:pt idx="37">
                  <c:v>14640</c:v>
                </c:pt>
                <c:pt idx="38">
                  <c:v>26520</c:v>
                </c:pt>
                <c:pt idx="39">
                  <c:v>11800</c:v>
                </c:pt>
                <c:pt idx="40">
                  <c:v>13050</c:v>
                </c:pt>
                <c:pt idx="41">
                  <c:v>9440</c:v>
                </c:pt>
                <c:pt idx="42">
                  <c:v>30387.55</c:v>
                </c:pt>
                <c:pt idx="43">
                  <c:v>78905.399999999994</c:v>
                </c:pt>
                <c:pt idx="44">
                  <c:v>8797.83</c:v>
                </c:pt>
                <c:pt idx="45">
                  <c:v>0</c:v>
                </c:pt>
                <c:pt idx="46">
                  <c:v>1480</c:v>
                </c:pt>
                <c:pt idx="47">
                  <c:v>380</c:v>
                </c:pt>
                <c:pt idx="48">
                  <c:v>1100</c:v>
                </c:pt>
                <c:pt idx="49">
                  <c:v>1100</c:v>
                </c:pt>
                <c:pt idx="50">
                  <c:v>1500</c:v>
                </c:pt>
                <c:pt idx="51">
                  <c:v>1100</c:v>
                </c:pt>
                <c:pt idx="52">
                  <c:v>1100</c:v>
                </c:pt>
                <c:pt idx="53">
                  <c:v>4000</c:v>
                </c:pt>
                <c:pt idx="54">
                  <c:v>1978.19</c:v>
                </c:pt>
                <c:pt idx="55">
                  <c:v>3683.64</c:v>
                </c:pt>
                <c:pt idx="56">
                  <c:v>4274.3599999999997</c:v>
                </c:pt>
                <c:pt idx="57">
                  <c:v>0</c:v>
                </c:pt>
                <c:pt idx="58">
                  <c:v>3570.8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9760</c:v>
                </c:pt>
                <c:pt idx="63">
                  <c:v>9440</c:v>
                </c:pt>
                <c:pt idx="64">
                  <c:v>9813548.4000000004</c:v>
                </c:pt>
                <c:pt idx="65">
                  <c:v>0</c:v>
                </c:pt>
                <c:pt idx="66">
                  <c:v>34740</c:v>
                </c:pt>
                <c:pt idx="67">
                  <c:v>7080</c:v>
                </c:pt>
                <c:pt idx="68">
                  <c:v>189950.09</c:v>
                </c:pt>
                <c:pt idx="69">
                  <c:v>360957.41</c:v>
                </c:pt>
                <c:pt idx="70">
                  <c:v>0</c:v>
                </c:pt>
                <c:pt idx="71">
                  <c:v>0</c:v>
                </c:pt>
                <c:pt idx="72">
                  <c:v>8814</c:v>
                </c:pt>
                <c:pt idx="73">
                  <c:v>86748.95</c:v>
                </c:pt>
                <c:pt idx="74">
                  <c:v>74.459999999999994</c:v>
                </c:pt>
                <c:pt idx="75">
                  <c:v>6241.41</c:v>
                </c:pt>
                <c:pt idx="76">
                  <c:v>490</c:v>
                </c:pt>
                <c:pt idx="77">
                  <c:v>13916.66</c:v>
                </c:pt>
                <c:pt idx="78">
                  <c:v>8893.2000000000007</c:v>
                </c:pt>
                <c:pt idx="79">
                  <c:v>300</c:v>
                </c:pt>
                <c:pt idx="80">
                  <c:v>2448</c:v>
                </c:pt>
                <c:pt idx="81">
                  <c:v>529.20000000000005</c:v>
                </c:pt>
                <c:pt idx="82">
                  <c:v>2160</c:v>
                </c:pt>
                <c:pt idx="83">
                  <c:v>150</c:v>
                </c:pt>
                <c:pt idx="84">
                  <c:v>9101.4</c:v>
                </c:pt>
                <c:pt idx="85">
                  <c:v>732</c:v>
                </c:pt>
                <c:pt idx="86">
                  <c:v>1560.24</c:v>
                </c:pt>
                <c:pt idx="87">
                  <c:v>11780</c:v>
                </c:pt>
                <c:pt idx="88">
                  <c:v>161</c:v>
                </c:pt>
                <c:pt idx="89">
                  <c:v>1615.4</c:v>
                </c:pt>
                <c:pt idx="90">
                  <c:v>2500</c:v>
                </c:pt>
                <c:pt idx="91">
                  <c:v>3720</c:v>
                </c:pt>
                <c:pt idx="92">
                  <c:v>798</c:v>
                </c:pt>
                <c:pt idx="93">
                  <c:v>662.5</c:v>
                </c:pt>
                <c:pt idx="94">
                  <c:v>8396.64</c:v>
                </c:pt>
                <c:pt idx="95">
                  <c:v>1518</c:v>
                </c:pt>
                <c:pt idx="96">
                  <c:v>4890</c:v>
                </c:pt>
                <c:pt idx="97">
                  <c:v>78.599999999999994</c:v>
                </c:pt>
                <c:pt idx="98">
                  <c:v>2000</c:v>
                </c:pt>
                <c:pt idx="99">
                  <c:v>13226.4</c:v>
                </c:pt>
                <c:pt idx="100">
                  <c:v>7350</c:v>
                </c:pt>
                <c:pt idx="101">
                  <c:v>3030</c:v>
                </c:pt>
                <c:pt idx="102">
                  <c:v>10000</c:v>
                </c:pt>
                <c:pt idx="103">
                  <c:v>3400</c:v>
                </c:pt>
                <c:pt idx="104">
                  <c:v>8250</c:v>
                </c:pt>
                <c:pt idx="105">
                  <c:v>8256</c:v>
                </c:pt>
                <c:pt idx="106">
                  <c:v>2700</c:v>
                </c:pt>
                <c:pt idx="107">
                  <c:v>2184</c:v>
                </c:pt>
                <c:pt idx="108">
                  <c:v>1164</c:v>
                </c:pt>
                <c:pt idx="109">
                  <c:v>28000</c:v>
                </c:pt>
                <c:pt idx="110">
                  <c:v>816</c:v>
                </c:pt>
                <c:pt idx="111">
                  <c:v>660</c:v>
                </c:pt>
                <c:pt idx="112">
                  <c:v>686</c:v>
                </c:pt>
                <c:pt idx="113">
                  <c:v>2721.6</c:v>
                </c:pt>
                <c:pt idx="114">
                  <c:v>648</c:v>
                </c:pt>
                <c:pt idx="115">
                  <c:v>750</c:v>
                </c:pt>
                <c:pt idx="116">
                  <c:v>1600</c:v>
                </c:pt>
                <c:pt idx="117">
                  <c:v>1512</c:v>
                </c:pt>
                <c:pt idx="118">
                  <c:v>739.2</c:v>
                </c:pt>
                <c:pt idx="119">
                  <c:v>0</c:v>
                </c:pt>
                <c:pt idx="120">
                  <c:v>171</c:v>
                </c:pt>
                <c:pt idx="121">
                  <c:v>376</c:v>
                </c:pt>
                <c:pt idx="122">
                  <c:v>2500</c:v>
                </c:pt>
                <c:pt idx="123">
                  <c:v>2200</c:v>
                </c:pt>
                <c:pt idx="124">
                  <c:v>727.5</c:v>
                </c:pt>
                <c:pt idx="125">
                  <c:v>165</c:v>
                </c:pt>
                <c:pt idx="126">
                  <c:v>862</c:v>
                </c:pt>
                <c:pt idx="127">
                  <c:v>2112</c:v>
                </c:pt>
                <c:pt idx="128">
                  <c:v>1455</c:v>
                </c:pt>
                <c:pt idx="129">
                  <c:v>2200</c:v>
                </c:pt>
                <c:pt idx="130">
                  <c:v>285</c:v>
                </c:pt>
                <c:pt idx="131">
                  <c:v>4050</c:v>
                </c:pt>
                <c:pt idx="132">
                  <c:v>2505</c:v>
                </c:pt>
                <c:pt idx="133">
                  <c:v>89</c:v>
                </c:pt>
                <c:pt idx="134">
                  <c:v>4514.2700000000004</c:v>
                </c:pt>
                <c:pt idx="135">
                  <c:v>5962.9</c:v>
                </c:pt>
                <c:pt idx="136">
                  <c:v>3395</c:v>
                </c:pt>
                <c:pt idx="137">
                  <c:v>3469.65</c:v>
                </c:pt>
                <c:pt idx="138">
                  <c:v>149.30000000000001</c:v>
                </c:pt>
                <c:pt idx="139">
                  <c:v>950</c:v>
                </c:pt>
                <c:pt idx="140">
                  <c:v>1320</c:v>
                </c:pt>
                <c:pt idx="141">
                  <c:v>300</c:v>
                </c:pt>
                <c:pt idx="142">
                  <c:v>286</c:v>
                </c:pt>
                <c:pt idx="143">
                  <c:v>16219.2</c:v>
                </c:pt>
                <c:pt idx="144">
                  <c:v>42250.79</c:v>
                </c:pt>
                <c:pt idx="145">
                  <c:v>2160</c:v>
                </c:pt>
                <c:pt idx="146">
                  <c:v>8958</c:v>
                </c:pt>
                <c:pt idx="147">
                  <c:v>5504.4</c:v>
                </c:pt>
                <c:pt idx="148">
                  <c:v>4300</c:v>
                </c:pt>
                <c:pt idx="149">
                  <c:v>370</c:v>
                </c:pt>
                <c:pt idx="150">
                  <c:v>18000</c:v>
                </c:pt>
                <c:pt idx="151">
                  <c:v>11580</c:v>
                </c:pt>
                <c:pt idx="152">
                  <c:v>27550</c:v>
                </c:pt>
                <c:pt idx="153">
                  <c:v>0</c:v>
                </c:pt>
                <c:pt idx="154">
                  <c:v>1368.43</c:v>
                </c:pt>
                <c:pt idx="155">
                  <c:v>0</c:v>
                </c:pt>
                <c:pt idx="156">
                  <c:v>0</c:v>
                </c:pt>
                <c:pt idx="157">
                  <c:v>235000</c:v>
                </c:pt>
                <c:pt idx="158">
                  <c:v>1251859.45</c:v>
                </c:pt>
                <c:pt idx="159">
                  <c:v>20120</c:v>
                </c:pt>
                <c:pt idx="160">
                  <c:v>2111.58</c:v>
                </c:pt>
                <c:pt idx="161">
                  <c:v>28838.94</c:v>
                </c:pt>
                <c:pt idx="162">
                  <c:v>1917.39</c:v>
                </c:pt>
                <c:pt idx="163">
                  <c:v>2889</c:v>
                </c:pt>
                <c:pt idx="164">
                  <c:v>24414.43</c:v>
                </c:pt>
                <c:pt idx="165">
                  <c:v>10770</c:v>
                </c:pt>
                <c:pt idx="166">
                  <c:v>10500</c:v>
                </c:pt>
                <c:pt idx="167">
                  <c:v>2240</c:v>
                </c:pt>
                <c:pt idx="168">
                  <c:v>740</c:v>
                </c:pt>
                <c:pt idx="169">
                  <c:v>13728</c:v>
                </c:pt>
                <c:pt idx="170">
                  <c:v>0</c:v>
                </c:pt>
                <c:pt idx="171">
                  <c:v>0</c:v>
                </c:pt>
                <c:pt idx="172">
                  <c:v>24802.3</c:v>
                </c:pt>
                <c:pt idx="173">
                  <c:v>20976.35</c:v>
                </c:pt>
                <c:pt idx="174">
                  <c:v>281.39999999999998</c:v>
                </c:pt>
                <c:pt idx="175">
                  <c:v>149.9</c:v>
                </c:pt>
                <c:pt idx="176">
                  <c:v>80.400000000000006</c:v>
                </c:pt>
                <c:pt idx="177">
                  <c:v>173</c:v>
                </c:pt>
                <c:pt idx="178">
                  <c:v>1584</c:v>
                </c:pt>
                <c:pt idx="179">
                  <c:v>0</c:v>
                </c:pt>
                <c:pt idx="180">
                  <c:v>190000</c:v>
                </c:pt>
                <c:pt idx="181">
                  <c:v>220000</c:v>
                </c:pt>
                <c:pt idx="182">
                  <c:v>210000</c:v>
                </c:pt>
                <c:pt idx="183">
                  <c:v>100000</c:v>
                </c:pt>
                <c:pt idx="184">
                  <c:v>230000</c:v>
                </c:pt>
                <c:pt idx="185">
                  <c:v>0</c:v>
                </c:pt>
                <c:pt idx="186">
                  <c:v>71125.67</c:v>
                </c:pt>
                <c:pt idx="187">
                  <c:v>587819.18000000005</c:v>
                </c:pt>
                <c:pt idx="188">
                  <c:v>220</c:v>
                </c:pt>
                <c:pt idx="189">
                  <c:v>3000</c:v>
                </c:pt>
                <c:pt idx="190">
                  <c:v>950</c:v>
                </c:pt>
                <c:pt idx="191">
                  <c:v>3500</c:v>
                </c:pt>
                <c:pt idx="192">
                  <c:v>103482</c:v>
                </c:pt>
                <c:pt idx="193">
                  <c:v>62089.2</c:v>
                </c:pt>
                <c:pt idx="194">
                  <c:v>82785.600000000006</c:v>
                </c:pt>
                <c:pt idx="195">
                  <c:v>40407.9</c:v>
                </c:pt>
                <c:pt idx="196">
                  <c:v>37503</c:v>
                </c:pt>
                <c:pt idx="197">
                  <c:v>12221.88</c:v>
                </c:pt>
                <c:pt idx="198">
                  <c:v>12221.88</c:v>
                </c:pt>
                <c:pt idx="199">
                  <c:v>19010.32</c:v>
                </c:pt>
                <c:pt idx="200">
                  <c:v>9474.61</c:v>
                </c:pt>
                <c:pt idx="201">
                  <c:v>0</c:v>
                </c:pt>
                <c:pt idx="202">
                  <c:v>1800</c:v>
                </c:pt>
                <c:pt idx="203">
                  <c:v>2000.05</c:v>
                </c:pt>
                <c:pt idx="204">
                  <c:v>3000</c:v>
                </c:pt>
                <c:pt idx="205">
                  <c:v>94.31</c:v>
                </c:pt>
                <c:pt idx="206">
                  <c:v>502.69</c:v>
                </c:pt>
                <c:pt idx="207">
                  <c:v>112336.04</c:v>
                </c:pt>
                <c:pt idx="208">
                  <c:v>357.72</c:v>
                </c:pt>
                <c:pt idx="209">
                  <c:v>4603.6899999999996</c:v>
                </c:pt>
                <c:pt idx="210">
                  <c:v>2327.6799999999998</c:v>
                </c:pt>
                <c:pt idx="211">
                  <c:v>2569.94</c:v>
                </c:pt>
                <c:pt idx="212">
                  <c:v>2926.13</c:v>
                </c:pt>
                <c:pt idx="213">
                  <c:v>5546.23</c:v>
                </c:pt>
                <c:pt idx="214">
                  <c:v>916</c:v>
                </c:pt>
                <c:pt idx="215">
                  <c:v>5811.06</c:v>
                </c:pt>
                <c:pt idx="216">
                  <c:v>3423.6</c:v>
                </c:pt>
                <c:pt idx="217">
                  <c:v>2330.94</c:v>
                </c:pt>
                <c:pt idx="218">
                  <c:v>1336</c:v>
                </c:pt>
                <c:pt idx="219">
                  <c:v>150.65</c:v>
                </c:pt>
                <c:pt idx="220">
                  <c:v>650.71</c:v>
                </c:pt>
                <c:pt idx="221">
                  <c:v>1675.39</c:v>
                </c:pt>
                <c:pt idx="222">
                  <c:v>1668.41</c:v>
                </c:pt>
                <c:pt idx="223">
                  <c:v>23699.42</c:v>
                </c:pt>
                <c:pt idx="224">
                  <c:v>5565.55</c:v>
                </c:pt>
                <c:pt idx="225">
                  <c:v>11403.42</c:v>
                </c:pt>
                <c:pt idx="226">
                  <c:v>8203.58</c:v>
                </c:pt>
                <c:pt idx="227">
                  <c:v>4025.36</c:v>
                </c:pt>
                <c:pt idx="228">
                  <c:v>0</c:v>
                </c:pt>
                <c:pt idx="229">
                  <c:v>0</c:v>
                </c:pt>
                <c:pt idx="230">
                  <c:v>159370.20000000001</c:v>
                </c:pt>
                <c:pt idx="231">
                  <c:v>14330</c:v>
                </c:pt>
                <c:pt idx="232">
                  <c:v>20045</c:v>
                </c:pt>
                <c:pt idx="233">
                  <c:v>16972.5</c:v>
                </c:pt>
                <c:pt idx="234">
                  <c:v>14924</c:v>
                </c:pt>
                <c:pt idx="235">
                  <c:v>87348.08</c:v>
                </c:pt>
                <c:pt idx="236">
                  <c:v>91830</c:v>
                </c:pt>
                <c:pt idx="237">
                  <c:v>34620</c:v>
                </c:pt>
                <c:pt idx="238">
                  <c:v>87384.7</c:v>
                </c:pt>
                <c:pt idx="239">
                  <c:v>3219.25</c:v>
                </c:pt>
                <c:pt idx="240">
                  <c:v>1284.97</c:v>
                </c:pt>
                <c:pt idx="241">
                  <c:v>35050.660000000003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1299.82</c:v>
                </c:pt>
                <c:pt idx="246">
                  <c:v>350</c:v>
                </c:pt>
                <c:pt idx="247">
                  <c:v>0</c:v>
                </c:pt>
                <c:pt idx="248">
                  <c:v>104895</c:v>
                </c:pt>
                <c:pt idx="249">
                  <c:v>192124.91</c:v>
                </c:pt>
                <c:pt idx="250">
                  <c:v>0</c:v>
                </c:pt>
                <c:pt idx="251">
                  <c:v>100000</c:v>
                </c:pt>
                <c:pt idx="252">
                  <c:v>190000</c:v>
                </c:pt>
                <c:pt idx="253">
                  <c:v>220000</c:v>
                </c:pt>
                <c:pt idx="254">
                  <c:v>230000</c:v>
                </c:pt>
                <c:pt idx="255">
                  <c:v>190000</c:v>
                </c:pt>
                <c:pt idx="256">
                  <c:v>43019</c:v>
                </c:pt>
                <c:pt idx="257">
                  <c:v>60272.27</c:v>
                </c:pt>
                <c:pt idx="258">
                  <c:v>7800</c:v>
                </c:pt>
                <c:pt idx="259">
                  <c:v>7800</c:v>
                </c:pt>
                <c:pt idx="260">
                  <c:v>4229.7</c:v>
                </c:pt>
                <c:pt idx="261">
                  <c:v>13645.5</c:v>
                </c:pt>
                <c:pt idx="262">
                  <c:v>309</c:v>
                </c:pt>
                <c:pt idx="263">
                  <c:v>6490</c:v>
                </c:pt>
                <c:pt idx="264">
                  <c:v>200</c:v>
                </c:pt>
                <c:pt idx="265">
                  <c:v>55962.99</c:v>
                </c:pt>
                <c:pt idx="266">
                  <c:v>2251.87</c:v>
                </c:pt>
                <c:pt idx="267">
                  <c:v>5020</c:v>
                </c:pt>
                <c:pt idx="268">
                  <c:v>500</c:v>
                </c:pt>
                <c:pt idx="269">
                  <c:v>480</c:v>
                </c:pt>
                <c:pt idx="270">
                  <c:v>480</c:v>
                </c:pt>
                <c:pt idx="271">
                  <c:v>4500</c:v>
                </c:pt>
                <c:pt idx="272">
                  <c:v>3070</c:v>
                </c:pt>
                <c:pt idx="273">
                  <c:v>1860</c:v>
                </c:pt>
                <c:pt idx="274">
                  <c:v>0</c:v>
                </c:pt>
                <c:pt idx="275">
                  <c:v>0</c:v>
                </c:pt>
                <c:pt idx="276">
                  <c:v>15340</c:v>
                </c:pt>
                <c:pt idx="277">
                  <c:v>8708</c:v>
                </c:pt>
                <c:pt idx="278">
                  <c:v>0</c:v>
                </c:pt>
                <c:pt idx="279">
                  <c:v>8708</c:v>
                </c:pt>
                <c:pt idx="280">
                  <c:v>15340</c:v>
                </c:pt>
                <c:pt idx="281">
                  <c:v>1200</c:v>
                </c:pt>
                <c:pt idx="282">
                  <c:v>4950</c:v>
                </c:pt>
                <c:pt idx="283">
                  <c:v>9952.26</c:v>
                </c:pt>
                <c:pt idx="284">
                  <c:v>769370.16</c:v>
                </c:pt>
                <c:pt idx="285">
                  <c:v>0</c:v>
                </c:pt>
                <c:pt idx="286">
                  <c:v>482.4</c:v>
                </c:pt>
                <c:pt idx="287">
                  <c:v>189.07</c:v>
                </c:pt>
                <c:pt idx="288">
                  <c:v>35.14</c:v>
                </c:pt>
                <c:pt idx="289">
                  <c:v>591.71</c:v>
                </c:pt>
                <c:pt idx="290">
                  <c:v>229.6</c:v>
                </c:pt>
                <c:pt idx="291">
                  <c:v>14560</c:v>
                </c:pt>
                <c:pt idx="292">
                  <c:v>6240</c:v>
                </c:pt>
                <c:pt idx="293">
                  <c:v>6240</c:v>
                </c:pt>
                <c:pt idx="294">
                  <c:v>7553</c:v>
                </c:pt>
                <c:pt idx="295">
                  <c:v>9833</c:v>
                </c:pt>
                <c:pt idx="296">
                  <c:v>0</c:v>
                </c:pt>
                <c:pt idx="298">
                  <c:v>1249895.56</c:v>
                </c:pt>
                <c:pt idx="299">
                  <c:v>82613.679999999993</c:v>
                </c:pt>
                <c:pt idx="300">
                  <c:v>507.99</c:v>
                </c:pt>
                <c:pt idx="301">
                  <c:v>14734</c:v>
                </c:pt>
                <c:pt idx="302">
                  <c:v>1805.5</c:v>
                </c:pt>
                <c:pt idx="303">
                  <c:v>143198</c:v>
                </c:pt>
                <c:pt idx="304">
                  <c:v>42</c:v>
                </c:pt>
                <c:pt idx="305">
                  <c:v>4596</c:v>
                </c:pt>
                <c:pt idx="306">
                  <c:v>1535.18</c:v>
                </c:pt>
                <c:pt idx="307">
                  <c:v>23810.27</c:v>
                </c:pt>
                <c:pt idx="308">
                  <c:v>62.58</c:v>
                </c:pt>
                <c:pt idx="309">
                  <c:v>4460.6499999999996</c:v>
                </c:pt>
                <c:pt idx="310">
                  <c:v>4232</c:v>
                </c:pt>
                <c:pt idx="311">
                  <c:v>341.36</c:v>
                </c:pt>
                <c:pt idx="312">
                  <c:v>1100</c:v>
                </c:pt>
                <c:pt idx="313">
                  <c:v>1653</c:v>
                </c:pt>
                <c:pt idx="314">
                  <c:v>108704.96000000001</c:v>
                </c:pt>
                <c:pt idx="315">
                  <c:v>1500</c:v>
                </c:pt>
                <c:pt idx="316">
                  <c:v>3340</c:v>
                </c:pt>
                <c:pt idx="317">
                  <c:v>0</c:v>
                </c:pt>
                <c:pt idx="318">
                  <c:v>49284.49</c:v>
                </c:pt>
                <c:pt idx="319">
                  <c:v>6000</c:v>
                </c:pt>
                <c:pt idx="320">
                  <c:v>12399.43</c:v>
                </c:pt>
                <c:pt idx="321">
                  <c:v>1288.72</c:v>
                </c:pt>
                <c:pt idx="322">
                  <c:v>1869</c:v>
                </c:pt>
                <c:pt idx="323">
                  <c:v>9168</c:v>
                </c:pt>
                <c:pt idx="324">
                  <c:v>4927.1000000000004</c:v>
                </c:pt>
                <c:pt idx="325">
                  <c:v>0</c:v>
                </c:pt>
                <c:pt idx="326">
                  <c:v>722.8</c:v>
                </c:pt>
                <c:pt idx="327">
                  <c:v>518.78</c:v>
                </c:pt>
                <c:pt idx="328">
                  <c:v>160000</c:v>
                </c:pt>
                <c:pt idx="329">
                  <c:v>472478.4</c:v>
                </c:pt>
                <c:pt idx="330">
                  <c:v>2636.34</c:v>
                </c:pt>
                <c:pt idx="331">
                  <c:v>3900</c:v>
                </c:pt>
                <c:pt idx="332">
                  <c:v>4358.08</c:v>
                </c:pt>
                <c:pt idx="333">
                  <c:v>4222.1400000000003</c:v>
                </c:pt>
                <c:pt idx="334">
                  <c:v>1288.92</c:v>
                </c:pt>
                <c:pt idx="335">
                  <c:v>0</c:v>
                </c:pt>
                <c:pt idx="336">
                  <c:v>174400</c:v>
                </c:pt>
                <c:pt idx="337">
                  <c:v>18780.68</c:v>
                </c:pt>
                <c:pt idx="338">
                  <c:v>173855.35999999999</c:v>
                </c:pt>
                <c:pt idx="339">
                  <c:v>76110</c:v>
                </c:pt>
                <c:pt idx="340">
                  <c:v>49644.85</c:v>
                </c:pt>
                <c:pt idx="341">
                  <c:v>50343.11</c:v>
                </c:pt>
                <c:pt idx="342">
                  <c:v>5884.46</c:v>
                </c:pt>
                <c:pt idx="343">
                  <c:v>7308</c:v>
                </c:pt>
                <c:pt idx="344">
                  <c:v>12762</c:v>
                </c:pt>
                <c:pt idx="345">
                  <c:v>9137.92</c:v>
                </c:pt>
                <c:pt idx="346">
                  <c:v>13870.8</c:v>
                </c:pt>
                <c:pt idx="347">
                  <c:v>9994</c:v>
                </c:pt>
                <c:pt idx="348">
                  <c:v>0</c:v>
                </c:pt>
                <c:pt idx="349">
                  <c:v>348.67</c:v>
                </c:pt>
                <c:pt idx="350">
                  <c:v>348.6</c:v>
                </c:pt>
                <c:pt idx="351">
                  <c:v>1299.51</c:v>
                </c:pt>
                <c:pt idx="352">
                  <c:v>30032.6</c:v>
                </c:pt>
                <c:pt idx="353">
                  <c:v>1037.07</c:v>
                </c:pt>
                <c:pt idx="354">
                  <c:v>17863.28</c:v>
                </c:pt>
                <c:pt idx="355">
                  <c:v>14160</c:v>
                </c:pt>
                <c:pt idx="356">
                  <c:v>26100</c:v>
                </c:pt>
                <c:pt idx="357">
                  <c:v>29000</c:v>
                </c:pt>
                <c:pt idx="358">
                  <c:v>10620</c:v>
                </c:pt>
                <c:pt idx="359">
                  <c:v>16460</c:v>
                </c:pt>
                <c:pt idx="360">
                  <c:v>4880</c:v>
                </c:pt>
                <c:pt idx="361">
                  <c:v>225.82</c:v>
                </c:pt>
                <c:pt idx="362">
                  <c:v>260.31</c:v>
                </c:pt>
                <c:pt idx="363">
                  <c:v>408.92</c:v>
                </c:pt>
                <c:pt idx="364">
                  <c:v>309.85000000000002</c:v>
                </c:pt>
                <c:pt idx="365">
                  <c:v>600</c:v>
                </c:pt>
                <c:pt idx="366">
                  <c:v>600</c:v>
                </c:pt>
                <c:pt idx="367">
                  <c:v>1474.7</c:v>
                </c:pt>
                <c:pt idx="368">
                  <c:v>9428.51</c:v>
                </c:pt>
                <c:pt idx="369">
                  <c:v>13797.6</c:v>
                </c:pt>
                <c:pt idx="370">
                  <c:v>48180</c:v>
                </c:pt>
                <c:pt idx="371">
                  <c:v>72400</c:v>
                </c:pt>
                <c:pt idx="372">
                  <c:v>600</c:v>
                </c:pt>
                <c:pt idx="373">
                  <c:v>21340</c:v>
                </c:pt>
                <c:pt idx="374">
                  <c:v>600</c:v>
                </c:pt>
                <c:pt idx="375">
                  <c:v>21340</c:v>
                </c:pt>
                <c:pt idx="376">
                  <c:v>11600</c:v>
                </c:pt>
                <c:pt idx="377">
                  <c:v>13050</c:v>
                </c:pt>
                <c:pt idx="378">
                  <c:v>14500</c:v>
                </c:pt>
                <c:pt idx="379">
                  <c:v>7080</c:v>
                </c:pt>
                <c:pt idx="380">
                  <c:v>709.27</c:v>
                </c:pt>
                <c:pt idx="381">
                  <c:v>104159.34</c:v>
                </c:pt>
                <c:pt idx="382">
                  <c:v>5800</c:v>
                </c:pt>
                <c:pt idx="383">
                  <c:v>9440</c:v>
                </c:pt>
                <c:pt idx="384">
                  <c:v>2440</c:v>
                </c:pt>
                <c:pt idx="385">
                  <c:v>7080</c:v>
                </c:pt>
                <c:pt idx="386">
                  <c:v>9760</c:v>
                </c:pt>
                <c:pt idx="387">
                  <c:v>20300</c:v>
                </c:pt>
                <c:pt idx="388">
                  <c:v>5800</c:v>
                </c:pt>
                <c:pt idx="389">
                  <c:v>29000</c:v>
                </c:pt>
                <c:pt idx="390">
                  <c:v>9440</c:v>
                </c:pt>
                <c:pt idx="391">
                  <c:v>9760</c:v>
                </c:pt>
                <c:pt idx="392">
                  <c:v>4720</c:v>
                </c:pt>
                <c:pt idx="393">
                  <c:v>10620</c:v>
                </c:pt>
                <c:pt idx="394">
                  <c:v>16520</c:v>
                </c:pt>
                <c:pt idx="395">
                  <c:v>2440</c:v>
                </c:pt>
                <c:pt idx="396">
                  <c:v>10620</c:v>
                </c:pt>
                <c:pt idx="397">
                  <c:v>15950</c:v>
                </c:pt>
                <c:pt idx="398">
                  <c:v>38020</c:v>
                </c:pt>
                <c:pt idx="399">
                  <c:v>3000</c:v>
                </c:pt>
                <c:pt idx="400">
                  <c:v>220</c:v>
                </c:pt>
                <c:pt idx="401">
                  <c:v>3340</c:v>
                </c:pt>
                <c:pt idx="402">
                  <c:v>11800</c:v>
                </c:pt>
                <c:pt idx="403">
                  <c:v>950</c:v>
                </c:pt>
                <c:pt idx="404">
                  <c:v>58328.42</c:v>
                </c:pt>
                <c:pt idx="405">
                  <c:v>110159.59</c:v>
                </c:pt>
                <c:pt idx="406">
                  <c:v>255.71</c:v>
                </c:pt>
                <c:pt idx="407">
                  <c:v>14447.2</c:v>
                </c:pt>
                <c:pt idx="408">
                  <c:v>0</c:v>
                </c:pt>
                <c:pt idx="409">
                  <c:v>170.68</c:v>
                </c:pt>
                <c:pt idx="410">
                  <c:v>3621.56</c:v>
                </c:pt>
                <c:pt idx="411">
                  <c:v>247659.07</c:v>
                </c:pt>
                <c:pt idx="412">
                  <c:v>13916.66</c:v>
                </c:pt>
                <c:pt idx="413">
                  <c:v>9440</c:v>
                </c:pt>
                <c:pt idx="414">
                  <c:v>0</c:v>
                </c:pt>
                <c:pt idx="415">
                  <c:v>1509.25</c:v>
                </c:pt>
                <c:pt idx="416">
                  <c:v>0</c:v>
                </c:pt>
                <c:pt idx="417">
                  <c:v>37503</c:v>
                </c:pt>
                <c:pt idx="418">
                  <c:v>5000</c:v>
                </c:pt>
                <c:pt idx="419">
                  <c:v>171489.97</c:v>
                </c:pt>
                <c:pt idx="420">
                  <c:v>380846.43</c:v>
                </c:pt>
                <c:pt idx="421">
                  <c:v>80000</c:v>
                </c:pt>
                <c:pt idx="422">
                  <c:v>200000</c:v>
                </c:pt>
                <c:pt idx="423">
                  <c:v>11600</c:v>
                </c:pt>
                <c:pt idx="424">
                  <c:v>10192</c:v>
                </c:pt>
                <c:pt idx="425">
                  <c:v>1800</c:v>
                </c:pt>
                <c:pt idx="426">
                  <c:v>332.5</c:v>
                </c:pt>
                <c:pt idx="427">
                  <c:v>6200</c:v>
                </c:pt>
                <c:pt idx="428">
                  <c:v>4000</c:v>
                </c:pt>
                <c:pt idx="429">
                  <c:v>18286.04</c:v>
                </c:pt>
                <c:pt idx="430">
                  <c:v>12666.48</c:v>
                </c:pt>
                <c:pt idx="431">
                  <c:v>1288.72</c:v>
                </c:pt>
                <c:pt idx="432">
                  <c:v>8786.0400000000009</c:v>
                </c:pt>
                <c:pt idx="433">
                  <c:v>128.01</c:v>
                </c:pt>
                <c:pt idx="434">
                  <c:v>16903.05</c:v>
                </c:pt>
                <c:pt idx="435">
                  <c:v>2692.41</c:v>
                </c:pt>
                <c:pt idx="436">
                  <c:v>8934</c:v>
                </c:pt>
                <c:pt idx="437">
                  <c:v>18000</c:v>
                </c:pt>
                <c:pt idx="438">
                  <c:v>750810.49</c:v>
                </c:pt>
                <c:pt idx="439">
                  <c:v>433035.02</c:v>
                </c:pt>
                <c:pt idx="440">
                  <c:v>29280</c:v>
                </c:pt>
                <c:pt idx="441">
                  <c:v>386.28</c:v>
                </c:pt>
                <c:pt idx="442">
                  <c:v>1288.92</c:v>
                </c:pt>
                <c:pt idx="443">
                  <c:v>9200</c:v>
                </c:pt>
                <c:pt idx="444">
                  <c:v>16726.84</c:v>
                </c:pt>
                <c:pt idx="445">
                  <c:v>0</c:v>
                </c:pt>
                <c:pt idx="446">
                  <c:v>722.8</c:v>
                </c:pt>
                <c:pt idx="447">
                  <c:v>19800</c:v>
                </c:pt>
                <c:pt idx="448">
                  <c:v>20367</c:v>
                </c:pt>
                <c:pt idx="449">
                  <c:v>4413.3599999999997</c:v>
                </c:pt>
                <c:pt idx="450">
                  <c:v>3000</c:v>
                </c:pt>
                <c:pt idx="451">
                  <c:v>3000</c:v>
                </c:pt>
                <c:pt idx="452">
                  <c:v>3000</c:v>
                </c:pt>
                <c:pt idx="453">
                  <c:v>3000</c:v>
                </c:pt>
                <c:pt idx="454">
                  <c:v>35000</c:v>
                </c:pt>
                <c:pt idx="455">
                  <c:v>1140</c:v>
                </c:pt>
                <c:pt idx="456">
                  <c:v>0</c:v>
                </c:pt>
                <c:pt idx="457">
                  <c:v>1370.2</c:v>
                </c:pt>
                <c:pt idx="458">
                  <c:v>9715.5</c:v>
                </c:pt>
                <c:pt idx="459">
                  <c:v>13000</c:v>
                </c:pt>
                <c:pt idx="460">
                  <c:v>4040.21</c:v>
                </c:pt>
                <c:pt idx="461">
                  <c:v>90886.44</c:v>
                </c:pt>
                <c:pt idx="462">
                  <c:v>0</c:v>
                </c:pt>
                <c:pt idx="463">
                  <c:v>35433.71</c:v>
                </c:pt>
                <c:pt idx="464">
                  <c:v>192124.91</c:v>
                </c:pt>
                <c:pt idx="465">
                  <c:v>32310.36</c:v>
                </c:pt>
                <c:pt idx="466">
                  <c:v>12299.19</c:v>
                </c:pt>
                <c:pt idx="467">
                  <c:v>5000</c:v>
                </c:pt>
                <c:pt idx="468">
                  <c:v>8920</c:v>
                </c:pt>
                <c:pt idx="469">
                  <c:v>10500</c:v>
                </c:pt>
                <c:pt idx="470">
                  <c:v>10500</c:v>
                </c:pt>
                <c:pt idx="471">
                  <c:v>1243.5999999999999</c:v>
                </c:pt>
                <c:pt idx="472">
                  <c:v>4534.6499999999996</c:v>
                </c:pt>
                <c:pt idx="473">
                  <c:v>1534.6</c:v>
                </c:pt>
                <c:pt idx="474">
                  <c:v>4521.01</c:v>
                </c:pt>
                <c:pt idx="475">
                  <c:v>217.73</c:v>
                </c:pt>
                <c:pt idx="476">
                  <c:v>344.06</c:v>
                </c:pt>
                <c:pt idx="477">
                  <c:v>3000</c:v>
                </c:pt>
                <c:pt idx="478">
                  <c:v>4000</c:v>
                </c:pt>
                <c:pt idx="479">
                  <c:v>5000</c:v>
                </c:pt>
                <c:pt idx="480">
                  <c:v>104895</c:v>
                </c:pt>
                <c:pt idx="481">
                  <c:v>20976.35</c:v>
                </c:pt>
                <c:pt idx="482">
                  <c:v>71125.67</c:v>
                </c:pt>
                <c:pt idx="483">
                  <c:v>24802.3</c:v>
                </c:pt>
                <c:pt idx="484">
                  <c:v>1805.5</c:v>
                </c:pt>
                <c:pt idx="485">
                  <c:v>17956.46</c:v>
                </c:pt>
                <c:pt idx="486">
                  <c:v>406</c:v>
                </c:pt>
                <c:pt idx="487">
                  <c:v>20367</c:v>
                </c:pt>
                <c:pt idx="488">
                  <c:v>83793.8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212</c:v>
                </c:pt>
                <c:pt idx="494">
                  <c:v>120890</c:v>
                </c:pt>
                <c:pt idx="495">
                  <c:v>33000</c:v>
                </c:pt>
                <c:pt idx="496">
                  <c:v>20000</c:v>
                </c:pt>
                <c:pt idx="497">
                  <c:v>20000</c:v>
                </c:pt>
                <c:pt idx="498">
                  <c:v>0</c:v>
                </c:pt>
                <c:pt idx="499">
                  <c:v>32250</c:v>
                </c:pt>
                <c:pt idx="500">
                  <c:v>2889</c:v>
                </c:pt>
                <c:pt idx="501">
                  <c:v>135905</c:v>
                </c:pt>
                <c:pt idx="502">
                  <c:v>1251.6199999999999</c:v>
                </c:pt>
                <c:pt idx="503">
                  <c:v>9144</c:v>
                </c:pt>
                <c:pt idx="504">
                  <c:v>2227.61</c:v>
                </c:pt>
                <c:pt idx="505">
                  <c:v>5745.27</c:v>
                </c:pt>
                <c:pt idx="506">
                  <c:v>916</c:v>
                </c:pt>
                <c:pt idx="507">
                  <c:v>1917.39</c:v>
                </c:pt>
                <c:pt idx="508">
                  <c:v>24414.43</c:v>
                </c:pt>
                <c:pt idx="509">
                  <c:v>34252</c:v>
                </c:pt>
                <c:pt idx="510" formatCode="&quot;R$&quot;#,##0.00_);[Red]\(&quot;R$&quot;#,##0.00\)">
                  <c:v>0</c:v>
                </c:pt>
                <c:pt idx="511">
                  <c:v>170.68</c:v>
                </c:pt>
                <c:pt idx="512">
                  <c:v>0</c:v>
                </c:pt>
                <c:pt idx="513" formatCode="&quot;R$&quot;#,##0.00_);[Red]\(&quot;R$&quot;#,##0.00\)">
                  <c:v>0</c:v>
                </c:pt>
                <c:pt idx="514">
                  <c:v>76.75</c:v>
                </c:pt>
                <c:pt idx="515">
                  <c:v>2262.31</c:v>
                </c:pt>
                <c:pt idx="516">
                  <c:v>1024.01</c:v>
                </c:pt>
                <c:pt idx="517">
                  <c:v>1094.72</c:v>
                </c:pt>
                <c:pt idx="518">
                  <c:v>398.73</c:v>
                </c:pt>
                <c:pt idx="519">
                  <c:v>482.4</c:v>
                </c:pt>
                <c:pt idx="520">
                  <c:v>25530</c:v>
                </c:pt>
                <c:pt idx="521">
                  <c:v>100158.25</c:v>
                </c:pt>
                <c:pt idx="522">
                  <c:v>71.5</c:v>
                </c:pt>
                <c:pt idx="523">
                  <c:v>147.6</c:v>
                </c:pt>
                <c:pt idx="524">
                  <c:v>2366</c:v>
                </c:pt>
                <c:pt idx="525">
                  <c:v>5000</c:v>
                </c:pt>
                <c:pt idx="526">
                  <c:v>161</c:v>
                </c:pt>
                <c:pt idx="527">
                  <c:v>2351.73</c:v>
                </c:pt>
                <c:pt idx="528">
                  <c:v>184068.17</c:v>
                </c:pt>
                <c:pt idx="529">
                  <c:v>11785.83</c:v>
                </c:pt>
                <c:pt idx="530">
                  <c:v>9437.31</c:v>
                </c:pt>
                <c:pt idx="531">
                  <c:v>12768.68</c:v>
                </c:pt>
                <c:pt idx="532">
                  <c:v>4629.01</c:v>
                </c:pt>
                <c:pt idx="533">
                  <c:v>995.76</c:v>
                </c:pt>
                <c:pt idx="534">
                  <c:v>5393.5</c:v>
                </c:pt>
                <c:pt idx="535">
                  <c:v>13510</c:v>
                </c:pt>
                <c:pt idx="536">
                  <c:v>6500</c:v>
                </c:pt>
                <c:pt idx="537">
                  <c:v>1284.97</c:v>
                </c:pt>
                <c:pt idx="538">
                  <c:v>1284.97</c:v>
                </c:pt>
                <c:pt idx="539">
                  <c:v>1284.97</c:v>
                </c:pt>
                <c:pt idx="540">
                  <c:v>0</c:v>
                </c:pt>
                <c:pt idx="541">
                  <c:v>239370</c:v>
                </c:pt>
                <c:pt idx="542">
                  <c:v>801.6</c:v>
                </c:pt>
                <c:pt idx="543">
                  <c:v>4466</c:v>
                </c:pt>
                <c:pt idx="544">
                  <c:v>84880.94</c:v>
                </c:pt>
                <c:pt idx="545">
                  <c:v>9941.77</c:v>
                </c:pt>
                <c:pt idx="546">
                  <c:v>10188</c:v>
                </c:pt>
                <c:pt idx="547">
                  <c:v>44640</c:v>
                </c:pt>
                <c:pt idx="548">
                  <c:v>27360</c:v>
                </c:pt>
                <c:pt idx="549">
                  <c:v>12320.18</c:v>
                </c:pt>
                <c:pt idx="550">
                  <c:v>0</c:v>
                </c:pt>
                <c:pt idx="551">
                  <c:v>1284.97</c:v>
                </c:pt>
                <c:pt idx="552">
                  <c:v>12221.88</c:v>
                </c:pt>
                <c:pt idx="553">
                  <c:v>34252</c:v>
                </c:pt>
                <c:pt idx="554">
                  <c:v>430872.21</c:v>
                </c:pt>
                <c:pt idx="555">
                  <c:v>58520.81</c:v>
                </c:pt>
                <c:pt idx="556">
                  <c:v>22322.35</c:v>
                </c:pt>
                <c:pt idx="557">
                  <c:v>557.53</c:v>
                </c:pt>
                <c:pt idx="558">
                  <c:v>82355.83</c:v>
                </c:pt>
                <c:pt idx="559">
                  <c:v>897.47</c:v>
                </c:pt>
                <c:pt idx="560">
                  <c:v>1671.44</c:v>
                </c:pt>
                <c:pt idx="561">
                  <c:v>3987</c:v>
                </c:pt>
                <c:pt idx="562">
                  <c:v>717.22</c:v>
                </c:pt>
                <c:pt idx="563">
                  <c:v>1914.87</c:v>
                </c:pt>
                <c:pt idx="564">
                  <c:v>143.01</c:v>
                </c:pt>
                <c:pt idx="565">
                  <c:v>8184.59</c:v>
                </c:pt>
                <c:pt idx="566">
                  <c:v>2803.47</c:v>
                </c:pt>
                <c:pt idx="567">
                  <c:v>10812.88</c:v>
                </c:pt>
                <c:pt idx="568">
                  <c:v>1959.77</c:v>
                </c:pt>
                <c:pt idx="569">
                  <c:v>11280.77</c:v>
                </c:pt>
                <c:pt idx="570">
                  <c:v>61.75</c:v>
                </c:pt>
                <c:pt idx="571">
                  <c:v>0</c:v>
                </c:pt>
                <c:pt idx="572">
                  <c:v>122183.82</c:v>
                </c:pt>
                <c:pt idx="573">
                  <c:v>37186.379999999997</c:v>
                </c:pt>
                <c:pt idx="574">
                  <c:v>30979.39</c:v>
                </c:pt>
                <c:pt idx="575">
                  <c:v>106861.71</c:v>
                </c:pt>
                <c:pt idx="576">
                  <c:v>12399.43</c:v>
                </c:pt>
                <c:pt idx="579">
                  <c:v>1336</c:v>
                </c:pt>
                <c:pt idx="580">
                  <c:v>2100</c:v>
                </c:pt>
                <c:pt idx="581">
                  <c:v>1299.82</c:v>
                </c:pt>
                <c:pt idx="582">
                  <c:v>1800</c:v>
                </c:pt>
                <c:pt idx="583">
                  <c:v>2569.94</c:v>
                </c:pt>
                <c:pt idx="584">
                  <c:v>235000</c:v>
                </c:pt>
                <c:pt idx="585">
                  <c:v>1092</c:v>
                </c:pt>
                <c:pt idx="586">
                  <c:v>125428.8</c:v>
                </c:pt>
                <c:pt idx="587">
                  <c:v>46571.5</c:v>
                </c:pt>
                <c:pt idx="588">
                  <c:v>17861.400000000001</c:v>
                </c:pt>
                <c:pt idx="589">
                  <c:v>1255667.42</c:v>
                </c:pt>
                <c:pt idx="590">
                  <c:v>897.47</c:v>
                </c:pt>
                <c:pt idx="591">
                  <c:v>2638.75</c:v>
                </c:pt>
                <c:pt idx="592">
                  <c:v>2926.13</c:v>
                </c:pt>
                <c:pt idx="593">
                  <c:v>2327.6799999999998</c:v>
                </c:pt>
                <c:pt idx="595">
                  <c:v>984</c:v>
                </c:pt>
                <c:pt idx="596">
                  <c:v>4895</c:v>
                </c:pt>
                <c:pt idx="597">
                  <c:v>241</c:v>
                </c:pt>
                <c:pt idx="598">
                  <c:v>128.01</c:v>
                </c:pt>
                <c:pt idx="599">
                  <c:v>4502</c:v>
                </c:pt>
                <c:pt idx="600">
                  <c:v>32250</c:v>
                </c:pt>
                <c:pt idx="601">
                  <c:v>9000</c:v>
                </c:pt>
                <c:pt idx="602">
                  <c:v>300</c:v>
                </c:pt>
                <c:pt idx="603">
                  <c:v>22062.12</c:v>
                </c:pt>
                <c:pt idx="604">
                  <c:v>5950.69</c:v>
                </c:pt>
                <c:pt idx="605">
                  <c:v>65500</c:v>
                </c:pt>
                <c:pt idx="606">
                  <c:v>6272.54</c:v>
                </c:pt>
                <c:pt idx="607">
                  <c:v>28400</c:v>
                </c:pt>
                <c:pt idx="608">
                  <c:v>200000</c:v>
                </c:pt>
                <c:pt idx="609">
                  <c:v>80000</c:v>
                </c:pt>
                <c:pt idx="610">
                  <c:v>984</c:v>
                </c:pt>
                <c:pt idx="611">
                  <c:v>178283.95</c:v>
                </c:pt>
                <c:pt idx="612">
                  <c:v>14732.89</c:v>
                </c:pt>
                <c:pt idx="613">
                  <c:v>1243.1600000000001</c:v>
                </c:pt>
                <c:pt idx="614">
                  <c:v>8088.53</c:v>
                </c:pt>
                <c:pt idx="615">
                  <c:v>20800</c:v>
                </c:pt>
                <c:pt idx="616">
                  <c:v>5775</c:v>
                </c:pt>
                <c:pt idx="617">
                  <c:v>13380</c:v>
                </c:pt>
                <c:pt idx="618">
                  <c:v>20920</c:v>
                </c:pt>
                <c:pt idx="619">
                  <c:v>34586.43</c:v>
                </c:pt>
                <c:pt idx="620">
                  <c:v>8760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12031.38</c:v>
                </c:pt>
                <c:pt idx="625">
                  <c:v>250.92</c:v>
                </c:pt>
                <c:pt idx="626">
                  <c:v>39490.660000000003</c:v>
                </c:pt>
                <c:pt idx="627">
                  <c:v>2638.75</c:v>
                </c:pt>
                <c:pt idx="628">
                  <c:v>5775</c:v>
                </c:pt>
                <c:pt idx="629">
                  <c:v>10620</c:v>
                </c:pt>
                <c:pt idx="630">
                  <c:v>23200</c:v>
                </c:pt>
                <c:pt idx="631">
                  <c:v>13050</c:v>
                </c:pt>
                <c:pt idx="632">
                  <c:v>9760</c:v>
                </c:pt>
                <c:pt idx="633">
                  <c:v>16520</c:v>
                </c:pt>
                <c:pt idx="634">
                  <c:v>1800</c:v>
                </c:pt>
                <c:pt idx="635">
                  <c:v>10980</c:v>
                </c:pt>
                <c:pt idx="636">
                  <c:v>9440</c:v>
                </c:pt>
                <c:pt idx="637">
                  <c:v>14160</c:v>
                </c:pt>
                <c:pt idx="638">
                  <c:v>40240</c:v>
                </c:pt>
                <c:pt idx="639">
                  <c:v>9440</c:v>
                </c:pt>
                <c:pt idx="640">
                  <c:v>11600</c:v>
                </c:pt>
                <c:pt idx="641">
                  <c:v>30450</c:v>
                </c:pt>
                <c:pt idx="642">
                  <c:v>17680</c:v>
                </c:pt>
                <c:pt idx="643">
                  <c:v>11600</c:v>
                </c:pt>
                <c:pt idx="644">
                  <c:v>8934</c:v>
                </c:pt>
                <c:pt idx="645">
                  <c:v>13050</c:v>
                </c:pt>
                <c:pt idx="646">
                  <c:v>28640</c:v>
                </c:pt>
                <c:pt idx="647">
                  <c:v>4720</c:v>
                </c:pt>
                <c:pt idx="648">
                  <c:v>19010.32</c:v>
                </c:pt>
                <c:pt idx="649">
                  <c:v>6000</c:v>
                </c:pt>
                <c:pt idx="650">
                  <c:v>13012.85</c:v>
                </c:pt>
                <c:pt idx="651">
                  <c:v>3852</c:v>
                </c:pt>
                <c:pt idx="652">
                  <c:v>1456</c:v>
                </c:pt>
                <c:pt idx="653">
                  <c:v>40237.760000000002</c:v>
                </c:pt>
                <c:pt idx="654">
                  <c:v>38080.800000000003</c:v>
                </c:pt>
                <c:pt idx="655">
                  <c:v>38080.800000000003</c:v>
                </c:pt>
                <c:pt idx="656">
                  <c:v>3625.63</c:v>
                </c:pt>
                <c:pt idx="657">
                  <c:v>13916.66</c:v>
                </c:pt>
                <c:pt idx="658">
                  <c:v>27364.73</c:v>
                </c:pt>
                <c:pt idx="659">
                  <c:v>1780</c:v>
                </c:pt>
                <c:pt idx="660">
                  <c:v>3625.63</c:v>
                </c:pt>
                <c:pt idx="661">
                  <c:v>6500</c:v>
                </c:pt>
                <c:pt idx="662">
                  <c:v>6500</c:v>
                </c:pt>
                <c:pt idx="663">
                  <c:v>1250</c:v>
                </c:pt>
                <c:pt idx="664">
                  <c:v>12320</c:v>
                </c:pt>
                <c:pt idx="665">
                  <c:v>145275</c:v>
                </c:pt>
                <c:pt idx="666">
                  <c:v>0</c:v>
                </c:pt>
                <c:pt idx="667">
                  <c:v>484465.2</c:v>
                </c:pt>
                <c:pt idx="668">
                  <c:v>359.38</c:v>
                </c:pt>
                <c:pt idx="669">
                  <c:v>225.82</c:v>
                </c:pt>
                <c:pt idx="670">
                  <c:v>234.45</c:v>
                </c:pt>
                <c:pt idx="671">
                  <c:v>2327.7199999999998</c:v>
                </c:pt>
                <c:pt idx="672">
                  <c:v>13230.55</c:v>
                </c:pt>
                <c:pt idx="673">
                  <c:v>3040</c:v>
                </c:pt>
                <c:pt idx="674">
                  <c:v>13050</c:v>
                </c:pt>
                <c:pt idx="675">
                  <c:v>18300</c:v>
                </c:pt>
                <c:pt idx="676">
                  <c:v>7080</c:v>
                </c:pt>
                <c:pt idx="677">
                  <c:v>1603.93</c:v>
                </c:pt>
                <c:pt idx="678">
                  <c:v>1603.93</c:v>
                </c:pt>
                <c:pt idx="679">
                  <c:v>2569.94</c:v>
                </c:pt>
                <c:pt idx="680">
                  <c:v>10620</c:v>
                </c:pt>
                <c:pt idx="681">
                  <c:v>214614</c:v>
                </c:pt>
                <c:pt idx="682">
                  <c:v>3000</c:v>
                </c:pt>
                <c:pt idx="683">
                  <c:v>5000</c:v>
                </c:pt>
                <c:pt idx="684">
                  <c:v>309.85000000000002</c:v>
                </c:pt>
                <c:pt idx="685">
                  <c:v>896.14</c:v>
                </c:pt>
                <c:pt idx="686">
                  <c:v>436.94</c:v>
                </c:pt>
                <c:pt idx="687">
                  <c:v>104.86</c:v>
                </c:pt>
                <c:pt idx="688">
                  <c:v>524.29999999999995</c:v>
                </c:pt>
                <c:pt idx="689">
                  <c:v>1800</c:v>
                </c:pt>
                <c:pt idx="690">
                  <c:v>5654.74</c:v>
                </c:pt>
                <c:pt idx="691">
                  <c:v>27254.720000000001</c:v>
                </c:pt>
                <c:pt idx="692">
                  <c:v>88.99</c:v>
                </c:pt>
                <c:pt idx="693">
                  <c:v>2926.13</c:v>
                </c:pt>
                <c:pt idx="694">
                  <c:v>7503</c:v>
                </c:pt>
                <c:pt idx="695">
                  <c:v>4506</c:v>
                </c:pt>
                <c:pt idx="696">
                  <c:v>3030</c:v>
                </c:pt>
                <c:pt idx="697">
                  <c:v>9818</c:v>
                </c:pt>
                <c:pt idx="698">
                  <c:v>6624.27</c:v>
                </c:pt>
                <c:pt idx="699">
                  <c:v>4134.21</c:v>
                </c:pt>
                <c:pt idx="700">
                  <c:v>8579.94</c:v>
                </c:pt>
                <c:pt idx="701">
                  <c:v>11989.98</c:v>
                </c:pt>
                <c:pt idx="702">
                  <c:v>41500</c:v>
                </c:pt>
                <c:pt idx="703">
                  <c:v>1440</c:v>
                </c:pt>
                <c:pt idx="704">
                  <c:v>41500</c:v>
                </c:pt>
                <c:pt idx="705">
                  <c:v>6000</c:v>
                </c:pt>
                <c:pt idx="706">
                  <c:v>11800</c:v>
                </c:pt>
                <c:pt idx="707">
                  <c:v>340</c:v>
                </c:pt>
                <c:pt idx="708">
                  <c:v>310</c:v>
                </c:pt>
                <c:pt idx="709">
                  <c:v>0</c:v>
                </c:pt>
                <c:pt idx="710">
                  <c:v>15240</c:v>
                </c:pt>
                <c:pt idx="711">
                  <c:v>5800</c:v>
                </c:pt>
                <c:pt idx="712">
                  <c:v>23200</c:v>
                </c:pt>
                <c:pt idx="713">
                  <c:v>10620</c:v>
                </c:pt>
                <c:pt idx="714">
                  <c:v>12000</c:v>
                </c:pt>
                <c:pt idx="715">
                  <c:v>1085.6300000000001</c:v>
                </c:pt>
                <c:pt idx="716">
                  <c:v>2455.59</c:v>
                </c:pt>
                <c:pt idx="717">
                  <c:v>4761.82</c:v>
                </c:pt>
                <c:pt idx="718">
                  <c:v>1182.8800000000001</c:v>
                </c:pt>
                <c:pt idx="719">
                  <c:v>933.98</c:v>
                </c:pt>
                <c:pt idx="720">
                  <c:v>3000</c:v>
                </c:pt>
                <c:pt idx="721">
                  <c:v>310</c:v>
                </c:pt>
                <c:pt idx="722">
                  <c:v>219288.32000000001</c:v>
                </c:pt>
                <c:pt idx="723">
                  <c:v>152474.81</c:v>
                </c:pt>
                <c:pt idx="724">
                  <c:v>20800</c:v>
                </c:pt>
                <c:pt idx="725">
                  <c:v>1299.82</c:v>
                </c:pt>
                <c:pt idx="726">
                  <c:v>5800</c:v>
                </c:pt>
                <c:pt idx="727">
                  <c:v>213.35</c:v>
                </c:pt>
                <c:pt idx="728">
                  <c:v>195262.48</c:v>
                </c:pt>
                <c:pt idx="729">
                  <c:v>411023.58</c:v>
                </c:pt>
                <c:pt idx="730">
                  <c:v>4000</c:v>
                </c:pt>
                <c:pt idx="731">
                  <c:v>2889</c:v>
                </c:pt>
                <c:pt idx="732">
                  <c:v>99398</c:v>
                </c:pt>
                <c:pt idx="733">
                  <c:v>789.96</c:v>
                </c:pt>
                <c:pt idx="734">
                  <c:v>249436.24</c:v>
                </c:pt>
                <c:pt idx="735">
                  <c:v>3855.04</c:v>
                </c:pt>
                <c:pt idx="736">
                  <c:v>9440</c:v>
                </c:pt>
                <c:pt idx="737">
                  <c:v>1365.06</c:v>
                </c:pt>
                <c:pt idx="738">
                  <c:v>2335.5</c:v>
                </c:pt>
                <c:pt idx="739">
                  <c:v>46826.96</c:v>
                </c:pt>
                <c:pt idx="740">
                  <c:v>1257.76</c:v>
                </c:pt>
                <c:pt idx="741">
                  <c:v>4108.8599999999997</c:v>
                </c:pt>
                <c:pt idx="742">
                  <c:v>35002.800000000003</c:v>
                </c:pt>
                <c:pt idx="743">
                  <c:v>37714.04</c:v>
                </c:pt>
                <c:pt idx="744">
                  <c:v>1917.39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20000</c:v>
                </c:pt>
                <c:pt idx="751">
                  <c:v>1336</c:v>
                </c:pt>
                <c:pt idx="752">
                  <c:v>916</c:v>
                </c:pt>
                <c:pt idx="753">
                  <c:v>24414.43</c:v>
                </c:pt>
                <c:pt idx="754">
                  <c:v>258055.69</c:v>
                </c:pt>
                <c:pt idx="755">
                  <c:v>12180</c:v>
                </c:pt>
                <c:pt idx="756">
                  <c:v>4254</c:v>
                </c:pt>
                <c:pt idx="757">
                  <c:v>13870.8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6864</c:v>
                </c:pt>
                <c:pt idx="764">
                  <c:v>32620</c:v>
                </c:pt>
                <c:pt idx="765">
                  <c:v>17400</c:v>
                </c:pt>
                <c:pt idx="766">
                  <c:v>5000</c:v>
                </c:pt>
                <c:pt idx="767">
                  <c:v>9760</c:v>
                </c:pt>
                <c:pt idx="768">
                  <c:v>1257250.95</c:v>
                </c:pt>
                <c:pt idx="769">
                  <c:v>235000</c:v>
                </c:pt>
                <c:pt idx="770">
                  <c:v>4466</c:v>
                </c:pt>
                <c:pt idx="771">
                  <c:v>10188</c:v>
                </c:pt>
                <c:pt idx="772">
                  <c:v>84880.94</c:v>
                </c:pt>
                <c:pt idx="773">
                  <c:v>722.8</c:v>
                </c:pt>
                <c:pt idx="774">
                  <c:v>17595.66</c:v>
                </c:pt>
                <c:pt idx="775">
                  <c:v>44640</c:v>
                </c:pt>
                <c:pt idx="776">
                  <c:v>27360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231.2</c:v>
                </c:pt>
                <c:pt idx="781">
                  <c:v>23439.42</c:v>
                </c:pt>
                <c:pt idx="782">
                  <c:v>5030</c:v>
                </c:pt>
                <c:pt idx="783">
                  <c:v>8797.83</c:v>
                </c:pt>
                <c:pt idx="784">
                  <c:v>8797.83</c:v>
                </c:pt>
                <c:pt idx="785">
                  <c:v>51937</c:v>
                </c:pt>
                <c:pt idx="786">
                  <c:v>1178.76</c:v>
                </c:pt>
                <c:pt idx="787">
                  <c:v>79817.72</c:v>
                </c:pt>
                <c:pt idx="788">
                  <c:v>20277.759999999998</c:v>
                </c:pt>
                <c:pt idx="789">
                  <c:v>3382.8</c:v>
                </c:pt>
                <c:pt idx="790">
                  <c:v>12762</c:v>
                </c:pt>
                <c:pt idx="791">
                  <c:v>4623.5200000000004</c:v>
                </c:pt>
                <c:pt idx="792">
                  <c:v>1980</c:v>
                </c:pt>
                <c:pt idx="793">
                  <c:v>1980</c:v>
                </c:pt>
                <c:pt idx="794">
                  <c:v>23640</c:v>
                </c:pt>
                <c:pt idx="795">
                  <c:v>1110</c:v>
                </c:pt>
                <c:pt idx="796">
                  <c:v>10610</c:v>
                </c:pt>
                <c:pt idx="797">
                  <c:v>122128.85</c:v>
                </c:pt>
                <c:pt idx="798">
                  <c:v>179.52</c:v>
                </c:pt>
                <c:pt idx="799">
                  <c:v>121539.25</c:v>
                </c:pt>
                <c:pt idx="800">
                  <c:v>7080</c:v>
                </c:pt>
                <c:pt idx="801">
                  <c:v>3424</c:v>
                </c:pt>
                <c:pt idx="802">
                  <c:v>1546.02</c:v>
                </c:pt>
                <c:pt idx="803">
                  <c:v>26950.28</c:v>
                </c:pt>
                <c:pt idx="804">
                  <c:v>29950.28</c:v>
                </c:pt>
                <c:pt idx="805">
                  <c:v>4475.97</c:v>
                </c:pt>
                <c:pt idx="806">
                  <c:v>3718.18</c:v>
                </c:pt>
                <c:pt idx="807">
                  <c:v>3143.12</c:v>
                </c:pt>
                <c:pt idx="808">
                  <c:v>55737</c:v>
                </c:pt>
                <c:pt idx="809">
                  <c:v>15000</c:v>
                </c:pt>
                <c:pt idx="810">
                  <c:v>4290.28</c:v>
                </c:pt>
                <c:pt idx="811">
                  <c:v>2664.4</c:v>
                </c:pt>
                <c:pt idx="812">
                  <c:v>1284.97</c:v>
                </c:pt>
                <c:pt idx="813">
                  <c:v>1284.97</c:v>
                </c:pt>
                <c:pt idx="814">
                  <c:v>1284.97</c:v>
                </c:pt>
                <c:pt idx="815">
                  <c:v>2664.4</c:v>
                </c:pt>
                <c:pt idx="816">
                  <c:v>306607</c:v>
                </c:pt>
                <c:pt idx="817">
                  <c:v>148745.51999999999</c:v>
                </c:pt>
                <c:pt idx="818">
                  <c:v>5256</c:v>
                </c:pt>
                <c:pt idx="819">
                  <c:v>1687.5</c:v>
                </c:pt>
                <c:pt idx="820">
                  <c:v>1687.5</c:v>
                </c:pt>
                <c:pt idx="821">
                  <c:v>5148.82</c:v>
                </c:pt>
                <c:pt idx="822">
                  <c:v>3102.53</c:v>
                </c:pt>
                <c:pt idx="823">
                  <c:v>1103.31</c:v>
                </c:pt>
                <c:pt idx="824">
                  <c:v>376</c:v>
                </c:pt>
                <c:pt idx="825">
                  <c:v>73.25</c:v>
                </c:pt>
                <c:pt idx="826">
                  <c:v>1380.47</c:v>
                </c:pt>
                <c:pt idx="827">
                  <c:v>172977.5</c:v>
                </c:pt>
                <c:pt idx="828">
                  <c:v>50023.7</c:v>
                </c:pt>
                <c:pt idx="829">
                  <c:v>32158.27</c:v>
                </c:pt>
                <c:pt idx="830">
                  <c:v>373.95</c:v>
                </c:pt>
                <c:pt idx="831">
                  <c:v>482.41</c:v>
                </c:pt>
                <c:pt idx="832">
                  <c:v>396994.7</c:v>
                </c:pt>
                <c:pt idx="833">
                  <c:v>16903.05</c:v>
                </c:pt>
                <c:pt idx="834">
                  <c:v>0</c:v>
                </c:pt>
                <c:pt idx="835">
                  <c:v>20267.66</c:v>
                </c:pt>
                <c:pt idx="836">
                  <c:v>6510.72</c:v>
                </c:pt>
                <c:pt idx="837">
                  <c:v>127780.4</c:v>
                </c:pt>
                <c:pt idx="838">
                  <c:v>196753.92000000001</c:v>
                </c:pt>
                <c:pt idx="839">
                  <c:v>12299.19</c:v>
                </c:pt>
                <c:pt idx="840">
                  <c:v>32310.36</c:v>
                </c:pt>
                <c:pt idx="841">
                  <c:v>20000</c:v>
                </c:pt>
                <c:pt idx="843">
                  <c:v>0</c:v>
                </c:pt>
                <c:pt idx="844">
                  <c:v>0</c:v>
                </c:pt>
                <c:pt idx="845">
                  <c:v>71125.67</c:v>
                </c:pt>
                <c:pt idx="846">
                  <c:v>24802.3</c:v>
                </c:pt>
                <c:pt idx="847">
                  <c:v>104895</c:v>
                </c:pt>
                <c:pt idx="848">
                  <c:v>20976.35</c:v>
                </c:pt>
                <c:pt idx="849">
                  <c:v>600</c:v>
                </c:pt>
                <c:pt idx="850">
                  <c:v>1680</c:v>
                </c:pt>
                <c:pt idx="851">
                  <c:v>1120</c:v>
                </c:pt>
                <c:pt idx="852">
                  <c:v>600</c:v>
                </c:pt>
                <c:pt idx="853">
                  <c:v>3900</c:v>
                </c:pt>
                <c:pt idx="854">
                  <c:v>43117.599999999999</c:v>
                </c:pt>
                <c:pt idx="855">
                  <c:v>536798.38</c:v>
                </c:pt>
                <c:pt idx="856">
                  <c:v>249424.79</c:v>
                </c:pt>
                <c:pt idx="857">
                  <c:v>0</c:v>
                </c:pt>
                <c:pt idx="858">
                  <c:v>30000</c:v>
                </c:pt>
                <c:pt idx="859">
                  <c:v>100187.9</c:v>
                </c:pt>
                <c:pt idx="860">
                  <c:v>201866.1</c:v>
                </c:pt>
                <c:pt idx="861">
                  <c:v>0</c:v>
                </c:pt>
                <c:pt idx="862">
                  <c:v>19800</c:v>
                </c:pt>
                <c:pt idx="863">
                  <c:v>1875</c:v>
                </c:pt>
                <c:pt idx="864">
                  <c:v>19800</c:v>
                </c:pt>
                <c:pt idx="865">
                  <c:v>1875</c:v>
                </c:pt>
                <c:pt idx="866">
                  <c:v>5569.24</c:v>
                </c:pt>
                <c:pt idx="867">
                  <c:v>2283.4699999999998</c:v>
                </c:pt>
                <c:pt idx="868">
                  <c:v>80000</c:v>
                </c:pt>
                <c:pt idx="869">
                  <c:v>0</c:v>
                </c:pt>
                <c:pt idx="870">
                  <c:v>183682.74</c:v>
                </c:pt>
                <c:pt idx="871">
                  <c:v>0</c:v>
                </c:pt>
                <c:pt idx="872">
                  <c:v>0</c:v>
                </c:pt>
                <c:pt idx="873">
                  <c:v>18000</c:v>
                </c:pt>
                <c:pt idx="874">
                  <c:v>1100</c:v>
                </c:pt>
                <c:pt idx="875">
                  <c:v>3424</c:v>
                </c:pt>
                <c:pt idx="876">
                  <c:v>41134.9</c:v>
                </c:pt>
                <c:pt idx="877">
                  <c:v>27908.86</c:v>
                </c:pt>
                <c:pt idx="878">
                  <c:v>4628.75</c:v>
                </c:pt>
                <c:pt idx="879">
                  <c:v>1284.97</c:v>
                </c:pt>
                <c:pt idx="880">
                  <c:v>7800</c:v>
                </c:pt>
                <c:pt idx="881">
                  <c:v>11626.67</c:v>
                </c:pt>
                <c:pt idx="882">
                  <c:v>2270</c:v>
                </c:pt>
                <c:pt idx="883">
                  <c:v>2446.66</c:v>
                </c:pt>
                <c:pt idx="884">
                  <c:v>4056.8</c:v>
                </c:pt>
                <c:pt idx="885">
                  <c:v>2406.66</c:v>
                </c:pt>
                <c:pt idx="886">
                  <c:v>26100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13000</c:v>
                </c:pt>
                <c:pt idx="893">
                  <c:v>364338.75</c:v>
                </c:pt>
                <c:pt idx="894">
                  <c:v>65300</c:v>
                </c:pt>
                <c:pt idx="895">
                  <c:v>4040.21</c:v>
                </c:pt>
                <c:pt idx="896">
                  <c:v>7524.04</c:v>
                </c:pt>
                <c:pt idx="897">
                  <c:v>33500</c:v>
                </c:pt>
                <c:pt idx="898">
                  <c:v>374.01</c:v>
                </c:pt>
                <c:pt idx="899">
                  <c:v>57.68</c:v>
                </c:pt>
                <c:pt idx="900">
                  <c:v>712.81</c:v>
                </c:pt>
                <c:pt idx="901">
                  <c:v>459.55</c:v>
                </c:pt>
                <c:pt idx="902">
                  <c:v>12000</c:v>
                </c:pt>
                <c:pt idx="903">
                  <c:v>19800</c:v>
                </c:pt>
                <c:pt idx="904">
                  <c:v>11279.62</c:v>
                </c:pt>
                <c:pt idx="905">
                  <c:v>33000</c:v>
                </c:pt>
                <c:pt idx="906">
                  <c:v>9437.31</c:v>
                </c:pt>
                <c:pt idx="907">
                  <c:v>12768.68</c:v>
                </c:pt>
                <c:pt idx="908">
                  <c:v>4629.01</c:v>
                </c:pt>
                <c:pt idx="909">
                  <c:v>41362.01</c:v>
                </c:pt>
                <c:pt idx="910">
                  <c:v>220</c:v>
                </c:pt>
                <c:pt idx="911">
                  <c:v>12664.48</c:v>
                </c:pt>
                <c:pt idx="912">
                  <c:v>18286.04</c:v>
                </c:pt>
                <c:pt idx="913">
                  <c:v>3400</c:v>
                </c:pt>
                <c:pt idx="914">
                  <c:v>130</c:v>
                </c:pt>
                <c:pt idx="915">
                  <c:v>952</c:v>
                </c:pt>
                <c:pt idx="916">
                  <c:v>12221.88</c:v>
                </c:pt>
                <c:pt idx="917">
                  <c:v>2690</c:v>
                </c:pt>
                <c:pt idx="918">
                  <c:v>2878.25</c:v>
                </c:pt>
                <c:pt idx="919">
                  <c:v>12891.5</c:v>
                </c:pt>
                <c:pt idx="920">
                  <c:v>5598.25</c:v>
                </c:pt>
                <c:pt idx="921">
                  <c:v>420</c:v>
                </c:pt>
                <c:pt idx="922">
                  <c:v>270</c:v>
                </c:pt>
                <c:pt idx="923">
                  <c:v>35000</c:v>
                </c:pt>
                <c:pt idx="924">
                  <c:v>0</c:v>
                </c:pt>
                <c:pt idx="925">
                  <c:v>47887.66</c:v>
                </c:pt>
                <c:pt idx="926">
                  <c:v>8920</c:v>
                </c:pt>
                <c:pt idx="927">
                  <c:v>11150</c:v>
                </c:pt>
                <c:pt idx="928">
                  <c:v>10500</c:v>
                </c:pt>
                <c:pt idx="929">
                  <c:v>17116.39</c:v>
                </c:pt>
                <c:pt idx="930">
                  <c:v>9299.17</c:v>
                </c:pt>
                <c:pt idx="931">
                  <c:v>0</c:v>
                </c:pt>
                <c:pt idx="932">
                  <c:v>521.48</c:v>
                </c:pt>
                <c:pt idx="933">
                  <c:v>37583.14</c:v>
                </c:pt>
                <c:pt idx="934">
                  <c:v>82495.199999999997</c:v>
                </c:pt>
                <c:pt idx="935">
                  <c:v>12275.2</c:v>
                </c:pt>
                <c:pt idx="936">
                  <c:v>26547.040000000001</c:v>
                </c:pt>
                <c:pt idx="937">
                  <c:v>37490.89</c:v>
                </c:pt>
                <c:pt idx="938">
                  <c:v>4000</c:v>
                </c:pt>
                <c:pt idx="939">
                  <c:v>7000</c:v>
                </c:pt>
                <c:pt idx="940">
                  <c:v>5000</c:v>
                </c:pt>
                <c:pt idx="941">
                  <c:v>29991.360000000001</c:v>
                </c:pt>
                <c:pt idx="942">
                  <c:v>1509.2</c:v>
                </c:pt>
                <c:pt idx="943">
                  <c:v>4229.7</c:v>
                </c:pt>
                <c:pt idx="944">
                  <c:v>4229.7</c:v>
                </c:pt>
                <c:pt idx="945">
                  <c:v>4229.7</c:v>
                </c:pt>
                <c:pt idx="946">
                  <c:v>12516.18</c:v>
                </c:pt>
                <c:pt idx="947">
                  <c:v>1603.93</c:v>
                </c:pt>
                <c:pt idx="948">
                  <c:v>26950.28</c:v>
                </c:pt>
                <c:pt idx="949">
                  <c:v>134072</c:v>
                </c:pt>
                <c:pt idx="950">
                  <c:v>12774.58</c:v>
                </c:pt>
                <c:pt idx="951">
                  <c:v>132391.29</c:v>
                </c:pt>
                <c:pt idx="952">
                  <c:v>208577.3</c:v>
                </c:pt>
                <c:pt idx="959">
                  <c:v>10565.72</c:v>
                </c:pt>
                <c:pt idx="960">
                  <c:v>8566.7999999999993</c:v>
                </c:pt>
                <c:pt idx="961">
                  <c:v>1875</c:v>
                </c:pt>
                <c:pt idx="962">
                  <c:v>1875</c:v>
                </c:pt>
                <c:pt idx="966">
                  <c:v>3026.57</c:v>
                </c:pt>
                <c:pt idx="967">
                  <c:v>142000</c:v>
                </c:pt>
                <c:pt idx="968">
                  <c:v>8000</c:v>
                </c:pt>
                <c:pt idx="969">
                  <c:v>5640</c:v>
                </c:pt>
                <c:pt idx="970">
                  <c:v>2848.2</c:v>
                </c:pt>
                <c:pt idx="971">
                  <c:v>8274</c:v>
                </c:pt>
                <c:pt idx="972">
                  <c:v>2582.5</c:v>
                </c:pt>
                <c:pt idx="973">
                  <c:v>1414.04</c:v>
                </c:pt>
                <c:pt idx="974">
                  <c:v>2996</c:v>
                </c:pt>
                <c:pt idx="975">
                  <c:v>2193.96</c:v>
                </c:pt>
                <c:pt idx="976">
                  <c:v>1872.51</c:v>
                </c:pt>
                <c:pt idx="977">
                  <c:v>32200</c:v>
                </c:pt>
                <c:pt idx="980">
                  <c:v>4395</c:v>
                </c:pt>
                <c:pt idx="981">
                  <c:v>180650</c:v>
                </c:pt>
                <c:pt idx="982">
                  <c:v>16250</c:v>
                </c:pt>
                <c:pt idx="983">
                  <c:v>19800</c:v>
                </c:pt>
                <c:pt idx="985">
                  <c:v>7302.77</c:v>
                </c:pt>
                <c:pt idx="986">
                  <c:v>399.96</c:v>
                </c:pt>
                <c:pt idx="987">
                  <c:v>5400</c:v>
                </c:pt>
                <c:pt idx="988">
                  <c:v>9000</c:v>
                </c:pt>
                <c:pt idx="989">
                  <c:v>75520</c:v>
                </c:pt>
                <c:pt idx="990">
                  <c:v>767579.81</c:v>
                </c:pt>
                <c:pt idx="991">
                  <c:v>1598.4</c:v>
                </c:pt>
                <c:pt idx="992">
                  <c:v>179.52</c:v>
                </c:pt>
                <c:pt idx="993">
                  <c:v>110</c:v>
                </c:pt>
                <c:pt idx="995">
                  <c:v>7800</c:v>
                </c:pt>
                <c:pt idx="996">
                  <c:v>10500</c:v>
                </c:pt>
                <c:pt idx="997">
                  <c:v>11522.51</c:v>
                </c:pt>
                <c:pt idx="998">
                  <c:v>17694.400000000001</c:v>
                </c:pt>
                <c:pt idx="999">
                  <c:v>18946.03</c:v>
                </c:pt>
                <c:pt idx="1000">
                  <c:v>1287.5</c:v>
                </c:pt>
                <c:pt idx="1001">
                  <c:v>2825.67</c:v>
                </c:pt>
                <c:pt idx="1002">
                  <c:v>1064.27</c:v>
                </c:pt>
                <c:pt idx="1003">
                  <c:v>3829.12</c:v>
                </c:pt>
                <c:pt idx="1004">
                  <c:v>2230.4899999999998</c:v>
                </c:pt>
                <c:pt idx="1005">
                  <c:v>2631.84</c:v>
                </c:pt>
                <c:pt idx="1006">
                  <c:v>4947.7700000000004</c:v>
                </c:pt>
                <c:pt idx="1007">
                  <c:v>2579.2800000000002</c:v>
                </c:pt>
                <c:pt idx="1008">
                  <c:v>12958.33</c:v>
                </c:pt>
                <c:pt idx="1009">
                  <c:v>10197.219999999999</c:v>
                </c:pt>
                <c:pt idx="1010">
                  <c:v>7337.15</c:v>
                </c:pt>
                <c:pt idx="1011">
                  <c:v>13739.81</c:v>
                </c:pt>
                <c:pt idx="1012">
                  <c:v>3203.16</c:v>
                </c:pt>
                <c:pt idx="1013">
                  <c:v>1351.97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7975.01</c:v>
                </c:pt>
                <c:pt idx="1018">
                  <c:v>1017.72</c:v>
                </c:pt>
                <c:pt idx="1019">
                  <c:v>24226.6</c:v>
                </c:pt>
                <c:pt idx="1020">
                  <c:v>6950</c:v>
                </c:pt>
                <c:pt idx="1021">
                  <c:v>27013.79</c:v>
                </c:pt>
                <c:pt idx="1022">
                  <c:v>78372.73</c:v>
                </c:pt>
                <c:pt idx="1023">
                  <c:v>755.67</c:v>
                </c:pt>
                <c:pt idx="1024">
                  <c:v>225.82</c:v>
                </c:pt>
                <c:pt idx="1025">
                  <c:v>1052.8900000000001</c:v>
                </c:pt>
                <c:pt idx="1026">
                  <c:v>9000</c:v>
                </c:pt>
                <c:pt idx="1027">
                  <c:v>15702.5</c:v>
                </c:pt>
                <c:pt idx="1028">
                  <c:v>251.69</c:v>
                </c:pt>
                <c:pt idx="1029">
                  <c:v>28480.400000000001</c:v>
                </c:pt>
                <c:pt idx="1030">
                  <c:v>16589</c:v>
                </c:pt>
                <c:pt idx="1031">
                  <c:v>125428.8</c:v>
                </c:pt>
                <c:pt idx="1032">
                  <c:v>2638.75</c:v>
                </c:pt>
                <c:pt idx="1033">
                  <c:v>0</c:v>
                </c:pt>
                <c:pt idx="1034">
                  <c:v>34252</c:v>
                </c:pt>
                <c:pt idx="1035">
                  <c:v>61.5</c:v>
                </c:pt>
                <c:pt idx="1036">
                  <c:v>3900</c:v>
                </c:pt>
                <c:pt idx="1037">
                  <c:v>14306.5</c:v>
                </c:pt>
                <c:pt idx="1038">
                  <c:v>0</c:v>
                </c:pt>
                <c:pt idx="1039">
                  <c:v>179.52</c:v>
                </c:pt>
                <c:pt idx="1040">
                  <c:v>12399.43</c:v>
                </c:pt>
                <c:pt idx="1041">
                  <c:v>40496.9</c:v>
                </c:pt>
                <c:pt idx="1042">
                  <c:v>0</c:v>
                </c:pt>
                <c:pt idx="1043">
                  <c:v>0</c:v>
                </c:pt>
                <c:pt idx="1045">
                  <c:v>280</c:v>
                </c:pt>
                <c:pt idx="1046">
                  <c:v>3340</c:v>
                </c:pt>
                <c:pt idx="1047">
                  <c:v>25000</c:v>
                </c:pt>
                <c:pt idx="1048">
                  <c:v>4280</c:v>
                </c:pt>
                <c:pt idx="1049">
                  <c:v>39093.57</c:v>
                </c:pt>
                <c:pt idx="1050">
                  <c:v>121634.85</c:v>
                </c:pt>
                <c:pt idx="1051">
                  <c:v>35580.61</c:v>
                </c:pt>
                <c:pt idx="1052">
                  <c:v>0</c:v>
                </c:pt>
                <c:pt idx="1053">
                  <c:v>897.47</c:v>
                </c:pt>
                <c:pt idx="1054">
                  <c:v>23260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508.86</c:v>
                </c:pt>
                <c:pt idx="1059">
                  <c:v>179.52</c:v>
                </c:pt>
                <c:pt idx="1060">
                  <c:v>5161.3500000000004</c:v>
                </c:pt>
                <c:pt idx="1061">
                  <c:v>12750</c:v>
                </c:pt>
                <c:pt idx="1062">
                  <c:v>131839.70000000001</c:v>
                </c:pt>
                <c:pt idx="1063">
                  <c:v>33805.300000000003</c:v>
                </c:pt>
                <c:pt idx="1064">
                  <c:v>0</c:v>
                </c:pt>
                <c:pt idx="1065">
                  <c:v>12000</c:v>
                </c:pt>
                <c:pt idx="1066">
                  <c:v>2926.13</c:v>
                </c:pt>
                <c:pt idx="1067">
                  <c:v>19338</c:v>
                </c:pt>
                <c:pt idx="1068">
                  <c:v>0</c:v>
                </c:pt>
                <c:pt idx="1069">
                  <c:v>9015</c:v>
                </c:pt>
                <c:pt idx="1070">
                  <c:v>25000</c:v>
                </c:pt>
                <c:pt idx="1071">
                  <c:v>7578</c:v>
                </c:pt>
                <c:pt idx="1072">
                  <c:v>5000</c:v>
                </c:pt>
                <c:pt idx="1073">
                  <c:v>40000</c:v>
                </c:pt>
                <c:pt idx="1074">
                  <c:v>0</c:v>
                </c:pt>
                <c:pt idx="1075">
                  <c:v>102170</c:v>
                </c:pt>
                <c:pt idx="1076">
                  <c:v>0</c:v>
                </c:pt>
                <c:pt idx="1077">
                  <c:v>12000</c:v>
                </c:pt>
                <c:pt idx="1078">
                  <c:v>0</c:v>
                </c:pt>
                <c:pt idx="1079">
                  <c:v>6375</c:v>
                </c:pt>
                <c:pt idx="1080">
                  <c:v>10000</c:v>
                </c:pt>
                <c:pt idx="1081">
                  <c:v>13000</c:v>
                </c:pt>
                <c:pt idx="1082">
                  <c:v>40000</c:v>
                </c:pt>
                <c:pt idx="1083">
                  <c:v>5393.5</c:v>
                </c:pt>
                <c:pt idx="1084">
                  <c:v>13510</c:v>
                </c:pt>
                <c:pt idx="1085">
                  <c:v>12320.18</c:v>
                </c:pt>
                <c:pt idx="1086">
                  <c:v>6500</c:v>
                </c:pt>
                <c:pt idx="1087">
                  <c:v>0</c:v>
                </c:pt>
                <c:pt idx="1088">
                  <c:v>160748.64000000001</c:v>
                </c:pt>
                <c:pt idx="1089">
                  <c:v>1407.7</c:v>
                </c:pt>
                <c:pt idx="1090">
                  <c:v>7501</c:v>
                </c:pt>
                <c:pt idx="1091">
                  <c:v>928.45</c:v>
                </c:pt>
                <c:pt idx="1092">
                  <c:v>2500</c:v>
                </c:pt>
                <c:pt idx="1093">
                  <c:v>6813.65</c:v>
                </c:pt>
                <c:pt idx="1094">
                  <c:v>485965.69</c:v>
                </c:pt>
                <c:pt idx="1095">
                  <c:v>5000</c:v>
                </c:pt>
                <c:pt idx="1096">
                  <c:v>20000</c:v>
                </c:pt>
                <c:pt idx="1097">
                  <c:v>28480.400000000001</c:v>
                </c:pt>
                <c:pt idx="1098">
                  <c:v>1299.82</c:v>
                </c:pt>
                <c:pt idx="1099">
                  <c:v>2569.94</c:v>
                </c:pt>
                <c:pt idx="1100">
                  <c:v>12221.88</c:v>
                </c:pt>
                <c:pt idx="1101">
                  <c:v>706451.76</c:v>
                </c:pt>
                <c:pt idx="1103">
                  <c:v>3000</c:v>
                </c:pt>
                <c:pt idx="1104">
                  <c:v>122950.7</c:v>
                </c:pt>
                <c:pt idx="1105">
                  <c:v>27870</c:v>
                </c:pt>
                <c:pt idx="1106">
                  <c:v>1364.96</c:v>
                </c:pt>
                <c:pt idx="1107">
                  <c:v>13012.85</c:v>
                </c:pt>
                <c:pt idx="1108">
                  <c:v>14603.33</c:v>
                </c:pt>
                <c:pt idx="1109">
                  <c:v>60700</c:v>
                </c:pt>
                <c:pt idx="1110">
                  <c:v>16064.08</c:v>
                </c:pt>
                <c:pt idx="1111">
                  <c:v>35000</c:v>
                </c:pt>
                <c:pt idx="1112">
                  <c:v>252215.44</c:v>
                </c:pt>
                <c:pt idx="1113">
                  <c:v>514818.38</c:v>
                </c:pt>
                <c:pt idx="1114">
                  <c:v>7080</c:v>
                </c:pt>
                <c:pt idx="1115">
                  <c:v>14500</c:v>
                </c:pt>
                <c:pt idx="1116">
                  <c:v>47580</c:v>
                </c:pt>
                <c:pt idx="1117">
                  <c:v>30500</c:v>
                </c:pt>
                <c:pt idx="1118">
                  <c:v>14500</c:v>
                </c:pt>
                <c:pt idx="1119">
                  <c:v>6100</c:v>
                </c:pt>
                <c:pt idx="1120">
                  <c:v>31746.23</c:v>
                </c:pt>
                <c:pt idx="1121">
                  <c:v>31900</c:v>
                </c:pt>
                <c:pt idx="1122">
                  <c:v>5800</c:v>
                </c:pt>
                <c:pt idx="1123">
                  <c:v>37549.81</c:v>
                </c:pt>
                <c:pt idx="1124">
                  <c:v>987.16</c:v>
                </c:pt>
                <c:pt idx="1125">
                  <c:v>11600</c:v>
                </c:pt>
                <c:pt idx="1126">
                  <c:v>25620</c:v>
                </c:pt>
                <c:pt idx="1127">
                  <c:v>16520</c:v>
                </c:pt>
                <c:pt idx="1128">
                  <c:v>2440</c:v>
                </c:pt>
                <c:pt idx="1129">
                  <c:v>4720</c:v>
                </c:pt>
                <c:pt idx="1130">
                  <c:v>17400</c:v>
                </c:pt>
                <c:pt idx="1131">
                  <c:v>1340.75</c:v>
                </c:pt>
                <c:pt idx="1132">
                  <c:v>47698.25</c:v>
                </c:pt>
                <c:pt idx="1133">
                  <c:v>964.18</c:v>
                </c:pt>
                <c:pt idx="1134">
                  <c:v>11800</c:v>
                </c:pt>
                <c:pt idx="1135">
                  <c:v>3744.7</c:v>
                </c:pt>
                <c:pt idx="1136">
                  <c:v>5800</c:v>
                </c:pt>
                <c:pt idx="1137">
                  <c:v>17700</c:v>
                </c:pt>
                <c:pt idx="1138">
                  <c:v>74961.17</c:v>
                </c:pt>
                <c:pt idx="1139">
                  <c:v>26100</c:v>
                </c:pt>
                <c:pt idx="1140">
                  <c:v>518.78</c:v>
                </c:pt>
                <c:pt idx="1141">
                  <c:v>11600</c:v>
                </c:pt>
                <c:pt idx="1142">
                  <c:v>297.60000000000002</c:v>
                </c:pt>
                <c:pt idx="1143">
                  <c:v>17110</c:v>
                </c:pt>
                <c:pt idx="1144">
                  <c:v>13916.66</c:v>
                </c:pt>
                <c:pt idx="1145">
                  <c:v>4000</c:v>
                </c:pt>
                <c:pt idx="1146">
                  <c:v>8449.92</c:v>
                </c:pt>
                <c:pt idx="1147">
                  <c:v>10620</c:v>
                </c:pt>
                <c:pt idx="1149">
                  <c:v>10980</c:v>
                </c:pt>
                <c:pt idx="1150">
                  <c:v>14500</c:v>
                </c:pt>
                <c:pt idx="1151">
                  <c:v>26100</c:v>
                </c:pt>
                <c:pt idx="1152">
                  <c:v>37503</c:v>
                </c:pt>
                <c:pt idx="1153">
                  <c:v>13420</c:v>
                </c:pt>
                <c:pt idx="1154">
                  <c:v>1284.97</c:v>
                </c:pt>
                <c:pt idx="1155">
                  <c:v>1284.97</c:v>
                </c:pt>
                <c:pt idx="1156">
                  <c:v>1284.97</c:v>
                </c:pt>
                <c:pt idx="1157">
                  <c:v>2664.4</c:v>
                </c:pt>
                <c:pt idx="1158">
                  <c:v>2664.4</c:v>
                </c:pt>
                <c:pt idx="1159">
                  <c:v>26520</c:v>
                </c:pt>
                <c:pt idx="1160">
                  <c:v>40407.9</c:v>
                </c:pt>
                <c:pt idx="1161">
                  <c:v>20740</c:v>
                </c:pt>
                <c:pt idx="1162">
                  <c:v>9760</c:v>
                </c:pt>
                <c:pt idx="1163">
                  <c:v>4880</c:v>
                </c:pt>
                <c:pt idx="1164">
                  <c:v>11800</c:v>
                </c:pt>
                <c:pt idx="1165">
                  <c:v>10620</c:v>
                </c:pt>
                <c:pt idx="1166">
                  <c:v>228752.1</c:v>
                </c:pt>
                <c:pt idx="1167">
                  <c:v>0</c:v>
                </c:pt>
                <c:pt idx="1168">
                  <c:v>18286.04</c:v>
                </c:pt>
                <c:pt idx="1169">
                  <c:v>702.54</c:v>
                </c:pt>
                <c:pt idx="1170">
                  <c:v>81109</c:v>
                </c:pt>
                <c:pt idx="1171">
                  <c:v>11845.68</c:v>
                </c:pt>
                <c:pt idx="1172">
                  <c:v>1393.74</c:v>
                </c:pt>
                <c:pt idx="1173">
                  <c:v>84880.94</c:v>
                </c:pt>
                <c:pt idx="1174">
                  <c:v>5502.33</c:v>
                </c:pt>
                <c:pt idx="1175">
                  <c:v>6750.87</c:v>
                </c:pt>
                <c:pt idx="1176">
                  <c:v>1066.2</c:v>
                </c:pt>
                <c:pt idx="1177">
                  <c:v>11038.14</c:v>
                </c:pt>
                <c:pt idx="1178">
                  <c:v>16250</c:v>
                </c:pt>
                <c:pt idx="1179">
                  <c:v>6000</c:v>
                </c:pt>
                <c:pt idx="1180">
                  <c:v>1960.68</c:v>
                </c:pt>
                <c:pt idx="1181">
                  <c:v>0</c:v>
                </c:pt>
                <c:pt idx="1182">
                  <c:v>235000</c:v>
                </c:pt>
                <c:pt idx="1183">
                  <c:v>1263291.6299999999</c:v>
                </c:pt>
                <c:pt idx="1184">
                  <c:v>722.8</c:v>
                </c:pt>
                <c:pt idx="1185">
                  <c:v>5000</c:v>
                </c:pt>
                <c:pt idx="1186">
                  <c:v>3150</c:v>
                </c:pt>
                <c:pt idx="1187">
                  <c:v>10500</c:v>
                </c:pt>
                <c:pt idx="1188">
                  <c:v>1095.6500000000001</c:v>
                </c:pt>
                <c:pt idx="1189">
                  <c:v>3000</c:v>
                </c:pt>
                <c:pt idx="1190">
                  <c:v>379.59</c:v>
                </c:pt>
                <c:pt idx="1191">
                  <c:v>3554.76</c:v>
                </c:pt>
                <c:pt idx="1192">
                  <c:v>897.47</c:v>
                </c:pt>
                <c:pt idx="1193">
                  <c:v>4466</c:v>
                </c:pt>
                <c:pt idx="1194">
                  <c:v>10188</c:v>
                </c:pt>
                <c:pt idx="1195">
                  <c:v>9491.77</c:v>
                </c:pt>
                <c:pt idx="1196">
                  <c:v>12664.48</c:v>
                </c:pt>
                <c:pt idx="1197">
                  <c:v>3122.63</c:v>
                </c:pt>
                <c:pt idx="1198">
                  <c:v>395.84</c:v>
                </c:pt>
                <c:pt idx="1199">
                  <c:v>1800</c:v>
                </c:pt>
                <c:pt idx="1200">
                  <c:v>2327.7199999999998</c:v>
                </c:pt>
                <c:pt idx="1201">
                  <c:v>1635.12</c:v>
                </c:pt>
                <c:pt idx="1202">
                  <c:v>37200</c:v>
                </c:pt>
                <c:pt idx="1203">
                  <c:v>178747.5</c:v>
                </c:pt>
                <c:pt idx="1204">
                  <c:v>0</c:v>
                </c:pt>
                <c:pt idx="1205">
                  <c:v>1336</c:v>
                </c:pt>
                <c:pt idx="1206">
                  <c:v>33119</c:v>
                </c:pt>
                <c:pt idx="1207">
                  <c:v>7080</c:v>
                </c:pt>
                <c:pt idx="1208">
                  <c:v>4376.42</c:v>
                </c:pt>
                <c:pt idx="1209">
                  <c:v>85.22</c:v>
                </c:pt>
                <c:pt idx="1210">
                  <c:v>28287.599999999999</c:v>
                </c:pt>
                <c:pt idx="1211">
                  <c:v>2129.48</c:v>
                </c:pt>
                <c:pt idx="1212">
                  <c:v>4734.84</c:v>
                </c:pt>
                <c:pt idx="1213">
                  <c:v>6500</c:v>
                </c:pt>
                <c:pt idx="1214">
                  <c:v>161</c:v>
                </c:pt>
                <c:pt idx="1215">
                  <c:v>18000</c:v>
                </c:pt>
                <c:pt idx="1216">
                  <c:v>1917.39</c:v>
                </c:pt>
                <c:pt idx="1217">
                  <c:v>32250</c:v>
                </c:pt>
                <c:pt idx="1218">
                  <c:v>8797.83</c:v>
                </c:pt>
                <c:pt idx="1219">
                  <c:v>22548.62</c:v>
                </c:pt>
                <c:pt idx="1220">
                  <c:v>9440</c:v>
                </c:pt>
                <c:pt idx="1221">
                  <c:v>15570</c:v>
                </c:pt>
                <c:pt idx="1222">
                  <c:v>44640</c:v>
                </c:pt>
                <c:pt idx="1223">
                  <c:v>5043.84</c:v>
                </c:pt>
                <c:pt idx="1224">
                  <c:v>6304.8</c:v>
                </c:pt>
                <c:pt idx="1225">
                  <c:v>27360</c:v>
                </c:pt>
                <c:pt idx="1226">
                  <c:v>18561.400000000001</c:v>
                </c:pt>
                <c:pt idx="1227">
                  <c:v>4254</c:v>
                </c:pt>
                <c:pt idx="1228">
                  <c:v>0</c:v>
                </c:pt>
                <c:pt idx="1229">
                  <c:v>1284.97</c:v>
                </c:pt>
                <c:pt idx="1230">
                  <c:v>8260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64974</c:v>
                </c:pt>
                <c:pt idx="1236">
                  <c:v>5245</c:v>
                </c:pt>
                <c:pt idx="1237">
                  <c:v>16903.05</c:v>
                </c:pt>
                <c:pt idx="1238">
                  <c:v>14000.7</c:v>
                </c:pt>
                <c:pt idx="1239">
                  <c:v>3106.2</c:v>
                </c:pt>
                <c:pt idx="1240">
                  <c:v>2715</c:v>
                </c:pt>
                <c:pt idx="1241">
                  <c:v>6060</c:v>
                </c:pt>
                <c:pt idx="1242">
                  <c:v>15566.07</c:v>
                </c:pt>
                <c:pt idx="1243">
                  <c:v>928.45</c:v>
                </c:pt>
                <c:pt idx="1244">
                  <c:v>928.45</c:v>
                </c:pt>
                <c:pt idx="1245">
                  <c:v>928.45</c:v>
                </c:pt>
                <c:pt idx="1246">
                  <c:v>7308</c:v>
                </c:pt>
                <c:pt idx="1247">
                  <c:v>8000</c:v>
                </c:pt>
                <c:pt idx="1248">
                  <c:v>667.5</c:v>
                </c:pt>
                <c:pt idx="1249">
                  <c:v>347.5</c:v>
                </c:pt>
                <c:pt idx="1250">
                  <c:v>207473.14</c:v>
                </c:pt>
                <c:pt idx="1251">
                  <c:v>2500</c:v>
                </c:pt>
                <c:pt idx="1252">
                  <c:v>10500</c:v>
                </c:pt>
                <c:pt idx="1253">
                  <c:v>4254</c:v>
                </c:pt>
                <c:pt idx="1254">
                  <c:v>116190.8</c:v>
                </c:pt>
                <c:pt idx="1255">
                  <c:v>6199.72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196413.97</c:v>
                </c:pt>
                <c:pt idx="1262">
                  <c:v>413935.05</c:v>
                </c:pt>
                <c:pt idx="1263">
                  <c:v>11800</c:v>
                </c:pt>
                <c:pt idx="1264">
                  <c:v>18275.84</c:v>
                </c:pt>
                <c:pt idx="1265">
                  <c:v>18561.400000000001</c:v>
                </c:pt>
                <c:pt idx="1266">
                  <c:v>82447.53</c:v>
                </c:pt>
                <c:pt idx="1267">
                  <c:v>2889</c:v>
                </c:pt>
                <c:pt idx="1268">
                  <c:v>916</c:v>
                </c:pt>
                <c:pt idx="1269">
                  <c:v>9256</c:v>
                </c:pt>
                <c:pt idx="1270">
                  <c:v>24414.3</c:v>
                </c:pt>
                <c:pt idx="1271">
                  <c:v>482.41</c:v>
                </c:pt>
                <c:pt idx="1272">
                  <c:v>8797.83</c:v>
                </c:pt>
                <c:pt idx="1273">
                  <c:v>16308.76</c:v>
                </c:pt>
                <c:pt idx="1274">
                  <c:v>33000</c:v>
                </c:pt>
                <c:pt idx="1275">
                  <c:v>33000</c:v>
                </c:pt>
                <c:pt idx="1276">
                  <c:v>26950.28</c:v>
                </c:pt>
                <c:pt idx="1277">
                  <c:v>141693.71</c:v>
                </c:pt>
                <c:pt idx="1278">
                  <c:v>2996</c:v>
                </c:pt>
                <c:pt idx="1279">
                  <c:v>4513</c:v>
                </c:pt>
                <c:pt idx="1280">
                  <c:v>3130</c:v>
                </c:pt>
                <c:pt idx="1281">
                  <c:v>6743</c:v>
                </c:pt>
                <c:pt idx="1282">
                  <c:v>10363</c:v>
                </c:pt>
                <c:pt idx="1283">
                  <c:v>5045.04</c:v>
                </c:pt>
                <c:pt idx="1284">
                  <c:v>600</c:v>
                </c:pt>
                <c:pt idx="1285">
                  <c:v>540</c:v>
                </c:pt>
                <c:pt idx="1286">
                  <c:v>1510</c:v>
                </c:pt>
                <c:pt idx="1287">
                  <c:v>320</c:v>
                </c:pt>
                <c:pt idx="1288">
                  <c:v>280</c:v>
                </c:pt>
                <c:pt idx="1289">
                  <c:v>1580</c:v>
                </c:pt>
                <c:pt idx="1290">
                  <c:v>520</c:v>
                </c:pt>
                <c:pt idx="1291">
                  <c:v>440</c:v>
                </c:pt>
                <c:pt idx="1292">
                  <c:v>0</c:v>
                </c:pt>
                <c:pt idx="1293">
                  <c:v>440</c:v>
                </c:pt>
                <c:pt idx="1294">
                  <c:v>240</c:v>
                </c:pt>
                <c:pt idx="1295">
                  <c:v>26588.63</c:v>
                </c:pt>
                <c:pt idx="1296">
                  <c:v>2996.0010000000002</c:v>
                </c:pt>
                <c:pt idx="1297">
                  <c:v>159370.20000000001</c:v>
                </c:pt>
                <c:pt idx="1298">
                  <c:v>11046.13</c:v>
                </c:pt>
                <c:pt idx="1299">
                  <c:v>5600.12</c:v>
                </c:pt>
                <c:pt idx="1300">
                  <c:v>4102.54</c:v>
                </c:pt>
                <c:pt idx="1301">
                  <c:v>4320</c:v>
                </c:pt>
                <c:pt idx="1302">
                  <c:v>0</c:v>
                </c:pt>
                <c:pt idx="1303">
                  <c:v>0</c:v>
                </c:pt>
                <c:pt idx="1304">
                  <c:v>179361.17</c:v>
                </c:pt>
                <c:pt idx="1305">
                  <c:v>30080.48</c:v>
                </c:pt>
                <c:pt idx="1306">
                  <c:v>1769.44</c:v>
                </c:pt>
                <c:pt idx="1307">
                  <c:v>9363.19</c:v>
                </c:pt>
                <c:pt idx="1308">
                  <c:v>4000</c:v>
                </c:pt>
                <c:pt idx="1309">
                  <c:v>7800</c:v>
                </c:pt>
                <c:pt idx="1310">
                  <c:v>736000</c:v>
                </c:pt>
                <c:pt idx="1311">
                  <c:v>36954.53</c:v>
                </c:pt>
                <c:pt idx="1312">
                  <c:v>0</c:v>
                </c:pt>
                <c:pt idx="1313">
                  <c:v>266800</c:v>
                </c:pt>
                <c:pt idx="1314">
                  <c:v>23840</c:v>
                </c:pt>
                <c:pt idx="1315">
                  <c:v>11222.5</c:v>
                </c:pt>
                <c:pt idx="1316">
                  <c:v>19679.650000000001</c:v>
                </c:pt>
                <c:pt idx="1318">
                  <c:v>28462.16</c:v>
                </c:pt>
                <c:pt idx="1319">
                  <c:v>3900</c:v>
                </c:pt>
                <c:pt idx="1320">
                  <c:v>9100</c:v>
                </c:pt>
                <c:pt idx="1321">
                  <c:v>4040.21</c:v>
                </c:pt>
                <c:pt idx="1322">
                  <c:v>5882.76</c:v>
                </c:pt>
                <c:pt idx="1323">
                  <c:v>238.42</c:v>
                </c:pt>
                <c:pt idx="1324">
                  <c:v>192.78</c:v>
                </c:pt>
                <c:pt idx="1325">
                  <c:v>36.049999999999997</c:v>
                </c:pt>
                <c:pt idx="1326">
                  <c:v>861.07</c:v>
                </c:pt>
                <c:pt idx="1327">
                  <c:v>0</c:v>
                </c:pt>
                <c:pt idx="1328">
                  <c:v>0</c:v>
                </c:pt>
                <c:pt idx="1329">
                  <c:v>179.52</c:v>
                </c:pt>
                <c:pt idx="1330">
                  <c:v>43117.599999999999</c:v>
                </c:pt>
                <c:pt idx="1331">
                  <c:v>378446.11</c:v>
                </c:pt>
                <c:pt idx="1332">
                  <c:v>6600</c:v>
                </c:pt>
                <c:pt idx="1333">
                  <c:v>0</c:v>
                </c:pt>
                <c:pt idx="1334">
                  <c:v>35000</c:v>
                </c:pt>
                <c:pt idx="1335">
                  <c:v>180515.03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37490</c:v>
                </c:pt>
                <c:pt idx="1340">
                  <c:v>8920</c:v>
                </c:pt>
                <c:pt idx="1341">
                  <c:v>7000</c:v>
                </c:pt>
                <c:pt idx="1342">
                  <c:v>6690</c:v>
                </c:pt>
                <c:pt idx="1343">
                  <c:v>19968</c:v>
                </c:pt>
                <c:pt idx="1344">
                  <c:v>219536.9</c:v>
                </c:pt>
                <c:pt idx="1345">
                  <c:v>208069.18</c:v>
                </c:pt>
                <c:pt idx="1346">
                  <c:v>1934.86</c:v>
                </c:pt>
                <c:pt idx="1347">
                  <c:v>43492.9</c:v>
                </c:pt>
                <c:pt idx="1348">
                  <c:v>19800</c:v>
                </c:pt>
                <c:pt idx="1349">
                  <c:v>19800</c:v>
                </c:pt>
                <c:pt idx="1350">
                  <c:v>11490</c:v>
                </c:pt>
                <c:pt idx="1351">
                  <c:v>23640</c:v>
                </c:pt>
                <c:pt idx="1352">
                  <c:v>52498</c:v>
                </c:pt>
                <c:pt idx="1353">
                  <c:v>2520</c:v>
                </c:pt>
                <c:pt idx="1354">
                  <c:v>7459.6</c:v>
                </c:pt>
                <c:pt idx="1356">
                  <c:v>0</c:v>
                </c:pt>
                <c:pt idx="1357">
                  <c:v>2257.94</c:v>
                </c:pt>
                <c:pt idx="1358">
                  <c:v>3198.18</c:v>
                </c:pt>
                <c:pt idx="1359">
                  <c:v>0</c:v>
                </c:pt>
                <c:pt idx="1360">
                  <c:v>950</c:v>
                </c:pt>
                <c:pt idx="1361">
                  <c:v>950</c:v>
                </c:pt>
                <c:pt idx="1362">
                  <c:v>63210.3</c:v>
                </c:pt>
                <c:pt idx="1363">
                  <c:v>71538</c:v>
                </c:pt>
                <c:pt idx="1364">
                  <c:v>58816.07</c:v>
                </c:pt>
                <c:pt idx="1365">
                  <c:v>3672</c:v>
                </c:pt>
                <c:pt idx="1366">
                  <c:v>8444.81</c:v>
                </c:pt>
                <c:pt idx="1367">
                  <c:v>104895</c:v>
                </c:pt>
                <c:pt idx="1368">
                  <c:v>3000</c:v>
                </c:pt>
                <c:pt idx="1369">
                  <c:v>3750</c:v>
                </c:pt>
                <c:pt idx="1370">
                  <c:v>0</c:v>
                </c:pt>
                <c:pt idx="1371">
                  <c:v>0</c:v>
                </c:pt>
                <c:pt idx="1372">
                  <c:v>10003.19</c:v>
                </c:pt>
                <c:pt idx="1373">
                  <c:v>526.4</c:v>
                </c:pt>
                <c:pt idx="1374">
                  <c:v>1875</c:v>
                </c:pt>
                <c:pt idx="1375">
                  <c:v>1875</c:v>
                </c:pt>
                <c:pt idx="1376">
                  <c:v>1875</c:v>
                </c:pt>
                <c:pt idx="1377">
                  <c:v>126</c:v>
                </c:pt>
                <c:pt idx="1378">
                  <c:v>280</c:v>
                </c:pt>
                <c:pt idx="1379">
                  <c:v>95223.69</c:v>
                </c:pt>
                <c:pt idx="1380">
                  <c:v>656</c:v>
                </c:pt>
                <c:pt idx="1381">
                  <c:v>1605.12</c:v>
                </c:pt>
                <c:pt idx="1382">
                  <c:v>5784.5</c:v>
                </c:pt>
                <c:pt idx="1383">
                  <c:v>0</c:v>
                </c:pt>
                <c:pt idx="1384">
                  <c:v>0</c:v>
                </c:pt>
                <c:pt idx="1385">
                  <c:v>86349.63</c:v>
                </c:pt>
                <c:pt idx="1386">
                  <c:v>7005.27</c:v>
                </c:pt>
                <c:pt idx="1387">
                  <c:v>0</c:v>
                </c:pt>
                <c:pt idx="1388">
                  <c:v>3000</c:v>
                </c:pt>
                <c:pt idx="1389">
                  <c:v>1875</c:v>
                </c:pt>
                <c:pt idx="1390">
                  <c:v>1875</c:v>
                </c:pt>
                <c:pt idx="1391">
                  <c:v>3750</c:v>
                </c:pt>
                <c:pt idx="1392">
                  <c:v>35284.550000000003</c:v>
                </c:pt>
                <c:pt idx="1393">
                  <c:v>453</c:v>
                </c:pt>
                <c:pt idx="1394">
                  <c:v>440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7335.72</c:v>
                </c:pt>
                <c:pt idx="1399">
                  <c:v>14112</c:v>
                </c:pt>
                <c:pt idx="1400">
                  <c:v>28350</c:v>
                </c:pt>
                <c:pt idx="1401">
                  <c:v>31908.83</c:v>
                </c:pt>
                <c:pt idx="1402">
                  <c:v>181642.83</c:v>
                </c:pt>
                <c:pt idx="1403">
                  <c:v>343056.35</c:v>
                </c:pt>
                <c:pt idx="1404">
                  <c:v>46493.52</c:v>
                </c:pt>
                <c:pt idx="1405">
                  <c:v>1009.33</c:v>
                </c:pt>
                <c:pt idx="1406">
                  <c:v>5000</c:v>
                </c:pt>
                <c:pt idx="1407">
                  <c:v>7704</c:v>
                </c:pt>
                <c:pt idx="1408">
                  <c:v>220</c:v>
                </c:pt>
                <c:pt idx="1409">
                  <c:v>7443.69</c:v>
                </c:pt>
                <c:pt idx="1410">
                  <c:v>712.57</c:v>
                </c:pt>
                <c:pt idx="1411">
                  <c:v>33418.01</c:v>
                </c:pt>
                <c:pt idx="1412">
                  <c:v>49990</c:v>
                </c:pt>
                <c:pt idx="1413">
                  <c:v>2228.2199999999998</c:v>
                </c:pt>
                <c:pt idx="1414">
                  <c:v>2228.2199999999998</c:v>
                </c:pt>
                <c:pt idx="1415">
                  <c:v>3900</c:v>
                </c:pt>
                <c:pt idx="1416">
                  <c:v>508.86</c:v>
                </c:pt>
                <c:pt idx="1417">
                  <c:v>52.44</c:v>
                </c:pt>
                <c:pt idx="1418">
                  <c:v>3230.68</c:v>
                </c:pt>
                <c:pt idx="1419">
                  <c:v>28350</c:v>
                </c:pt>
                <c:pt idx="1420">
                  <c:v>1390</c:v>
                </c:pt>
                <c:pt idx="1421">
                  <c:v>11240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23881</c:v>
                </c:pt>
                <c:pt idx="1429">
                  <c:v>22802.639999999999</c:v>
                </c:pt>
                <c:pt idx="1430">
                  <c:v>78387.64</c:v>
                </c:pt>
                <c:pt idx="1431">
                  <c:v>39946.9</c:v>
                </c:pt>
                <c:pt idx="1432">
                  <c:v>0</c:v>
                </c:pt>
                <c:pt idx="1433">
                  <c:v>250015.9</c:v>
                </c:pt>
                <c:pt idx="1434">
                  <c:v>439</c:v>
                </c:pt>
                <c:pt idx="1435" formatCode="&quot;R$&quot;#,##0.00_);[Red]\(&quot;R$&quot;#,##0.00\)">
                  <c:v>2440</c:v>
                </c:pt>
                <c:pt idx="1436">
                  <c:v>2651</c:v>
                </c:pt>
                <c:pt idx="1437">
                  <c:v>7020</c:v>
                </c:pt>
                <c:pt idx="1438">
                  <c:v>5000</c:v>
                </c:pt>
                <c:pt idx="1439">
                  <c:v>1200</c:v>
                </c:pt>
                <c:pt idx="1440">
                  <c:v>33500</c:v>
                </c:pt>
                <c:pt idx="1441">
                  <c:v>41134.9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6080</c:v>
                </c:pt>
                <c:pt idx="1449">
                  <c:v>4452</c:v>
                </c:pt>
                <c:pt idx="1450">
                  <c:v>12276.34</c:v>
                </c:pt>
                <c:pt idx="1451">
                  <c:v>5780</c:v>
                </c:pt>
                <c:pt idx="1452">
                  <c:v>1603.93</c:v>
                </c:pt>
                <c:pt idx="1453">
                  <c:v>4229.7</c:v>
                </c:pt>
                <c:pt idx="1454">
                  <c:v>761698.37</c:v>
                </c:pt>
                <c:pt idx="1455">
                  <c:v>17769.47</c:v>
                </c:pt>
                <c:pt idx="1456">
                  <c:v>656.6</c:v>
                </c:pt>
                <c:pt idx="1457">
                  <c:v>225.82</c:v>
                </c:pt>
                <c:pt idx="1458">
                  <c:v>243.07</c:v>
                </c:pt>
                <c:pt idx="1459">
                  <c:v>234.45</c:v>
                </c:pt>
                <c:pt idx="1460">
                  <c:v>3351.2</c:v>
                </c:pt>
                <c:pt idx="1461">
                  <c:v>976.42</c:v>
                </c:pt>
                <c:pt idx="1462">
                  <c:v>7879.09</c:v>
                </c:pt>
                <c:pt idx="1463">
                  <c:v>7541.35</c:v>
                </c:pt>
                <c:pt idx="1464">
                  <c:v>820.86</c:v>
                </c:pt>
                <c:pt idx="1465">
                  <c:v>940.22</c:v>
                </c:pt>
                <c:pt idx="1466">
                  <c:v>456.17</c:v>
                </c:pt>
                <c:pt idx="1467">
                  <c:v>17351.64</c:v>
                </c:pt>
                <c:pt idx="1468">
                  <c:v>224552.54</c:v>
                </c:pt>
                <c:pt idx="1469">
                  <c:v>31946.07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125428.8</c:v>
                </c:pt>
                <c:pt idx="1474">
                  <c:v>12399.43</c:v>
                </c:pt>
                <c:pt idx="1475">
                  <c:v>24243.45</c:v>
                </c:pt>
                <c:pt idx="1476">
                  <c:v>61200</c:v>
                </c:pt>
                <c:pt idx="1477">
                  <c:v>22700.58</c:v>
                </c:pt>
                <c:pt idx="1478">
                  <c:v>176280.64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31689.82</c:v>
                </c:pt>
                <c:pt idx="1483">
                  <c:v>0</c:v>
                </c:pt>
                <c:pt idx="1484">
                  <c:v>0</c:v>
                </c:pt>
                <c:pt idx="1485">
                  <c:v>34252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3340</c:v>
                </c:pt>
                <c:pt idx="1491">
                  <c:v>13583.6</c:v>
                </c:pt>
                <c:pt idx="1492">
                  <c:v>474</c:v>
                </c:pt>
                <c:pt idx="1493">
                  <c:v>7500</c:v>
                </c:pt>
                <c:pt idx="1494">
                  <c:v>2785.68</c:v>
                </c:pt>
                <c:pt idx="1495">
                  <c:v>3200</c:v>
                </c:pt>
                <c:pt idx="1496">
                  <c:v>540</c:v>
                </c:pt>
                <c:pt idx="1497">
                  <c:v>11180</c:v>
                </c:pt>
                <c:pt idx="1498">
                  <c:v>408.92</c:v>
                </c:pt>
                <c:pt idx="1499">
                  <c:v>93332</c:v>
                </c:pt>
                <c:pt idx="1500">
                  <c:v>674561.4</c:v>
                </c:pt>
                <c:pt idx="1501">
                  <c:v>612776.6</c:v>
                </c:pt>
                <c:pt idx="1502">
                  <c:v>278850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9000</c:v>
                </c:pt>
                <c:pt idx="1509">
                  <c:v>17812.599999999999</c:v>
                </c:pt>
                <c:pt idx="1510">
                  <c:v>1370.2</c:v>
                </c:pt>
                <c:pt idx="1511">
                  <c:v>130457.27</c:v>
                </c:pt>
                <c:pt idx="1512">
                  <c:v>11456.65</c:v>
                </c:pt>
                <c:pt idx="1513">
                  <c:v>4415.55</c:v>
                </c:pt>
                <c:pt idx="1514">
                  <c:v>250.92</c:v>
                </c:pt>
                <c:pt idx="1515">
                  <c:v>12000</c:v>
                </c:pt>
                <c:pt idx="1516">
                  <c:v>40542.230000000003</c:v>
                </c:pt>
                <c:pt idx="1517">
                  <c:v>7553.37</c:v>
                </c:pt>
                <c:pt idx="1518">
                  <c:v>11960</c:v>
                </c:pt>
                <c:pt idx="1519">
                  <c:v>2916</c:v>
                </c:pt>
                <c:pt idx="1520">
                  <c:v>3887</c:v>
                </c:pt>
                <c:pt idx="1521">
                  <c:v>22078</c:v>
                </c:pt>
                <c:pt idx="1522">
                  <c:v>33155</c:v>
                </c:pt>
                <c:pt idx="1523">
                  <c:v>708</c:v>
                </c:pt>
                <c:pt idx="1525">
                  <c:v>0</c:v>
                </c:pt>
                <c:pt idx="1526">
                  <c:v>2500</c:v>
                </c:pt>
                <c:pt idx="1527">
                  <c:v>7045</c:v>
                </c:pt>
                <c:pt idx="1528">
                  <c:v>5393.5</c:v>
                </c:pt>
                <c:pt idx="1529">
                  <c:v>20000</c:v>
                </c:pt>
                <c:pt idx="1530">
                  <c:v>476794.65</c:v>
                </c:pt>
                <c:pt idx="1531">
                  <c:v>130643.85</c:v>
                </c:pt>
                <c:pt idx="1532">
                  <c:v>0</c:v>
                </c:pt>
                <c:pt idx="1533">
                  <c:v>950</c:v>
                </c:pt>
                <c:pt idx="1534">
                  <c:v>508.86</c:v>
                </c:pt>
                <c:pt idx="1535">
                  <c:v>6500</c:v>
                </c:pt>
                <c:pt idx="1536">
                  <c:v>13510</c:v>
                </c:pt>
                <c:pt idx="1537">
                  <c:v>6105.19</c:v>
                </c:pt>
                <c:pt idx="1538">
                  <c:v>905.5</c:v>
                </c:pt>
                <c:pt idx="1539">
                  <c:v>13602.81</c:v>
                </c:pt>
                <c:pt idx="1540">
                  <c:v>37483.949999999997</c:v>
                </c:pt>
                <c:pt idx="1541">
                  <c:v>2232</c:v>
                </c:pt>
                <c:pt idx="1542">
                  <c:v>390</c:v>
                </c:pt>
                <c:pt idx="1543">
                  <c:v>3801.03</c:v>
                </c:pt>
                <c:pt idx="1544">
                  <c:v>1080</c:v>
                </c:pt>
                <c:pt idx="1545">
                  <c:v>2569.94</c:v>
                </c:pt>
                <c:pt idx="1546">
                  <c:v>3997</c:v>
                </c:pt>
                <c:pt idx="1547">
                  <c:v>480</c:v>
                </c:pt>
                <c:pt idx="1548">
                  <c:v>460</c:v>
                </c:pt>
                <c:pt idx="1549">
                  <c:v>520</c:v>
                </c:pt>
                <c:pt idx="1550">
                  <c:v>500</c:v>
                </c:pt>
                <c:pt idx="1551">
                  <c:v>0</c:v>
                </c:pt>
                <c:pt idx="1552">
                  <c:v>347.5</c:v>
                </c:pt>
                <c:pt idx="1553">
                  <c:v>122950.47</c:v>
                </c:pt>
                <c:pt idx="1554">
                  <c:v>19338</c:v>
                </c:pt>
                <c:pt idx="1555">
                  <c:v>22548.62</c:v>
                </c:pt>
                <c:pt idx="1556">
                  <c:v>8000</c:v>
                </c:pt>
                <c:pt idx="1557">
                  <c:v>667.5</c:v>
                </c:pt>
                <c:pt idx="1558">
                  <c:v>27870</c:v>
                </c:pt>
                <c:pt idx="1559">
                  <c:v>12000</c:v>
                </c:pt>
                <c:pt idx="1560">
                  <c:v>58439.59</c:v>
                </c:pt>
                <c:pt idx="1561">
                  <c:v>2500</c:v>
                </c:pt>
                <c:pt idx="1562">
                  <c:v>20997.33</c:v>
                </c:pt>
                <c:pt idx="1563">
                  <c:v>14200.41</c:v>
                </c:pt>
                <c:pt idx="1564">
                  <c:v>6516.03</c:v>
                </c:pt>
                <c:pt idx="1565">
                  <c:v>1449.64</c:v>
                </c:pt>
                <c:pt idx="1566">
                  <c:v>2669.01</c:v>
                </c:pt>
                <c:pt idx="1567">
                  <c:v>2363.91</c:v>
                </c:pt>
                <c:pt idx="1568">
                  <c:v>10714</c:v>
                </c:pt>
                <c:pt idx="1569">
                  <c:v>12000</c:v>
                </c:pt>
                <c:pt idx="1570">
                  <c:v>857967.73</c:v>
                </c:pt>
                <c:pt idx="1571">
                  <c:v>2720</c:v>
                </c:pt>
                <c:pt idx="1572">
                  <c:v>1200</c:v>
                </c:pt>
                <c:pt idx="1573">
                  <c:v>6350.4</c:v>
                </c:pt>
                <c:pt idx="1574">
                  <c:v>4693.08</c:v>
                </c:pt>
                <c:pt idx="1575">
                  <c:v>330</c:v>
                </c:pt>
                <c:pt idx="1576">
                  <c:v>84880.94</c:v>
                </c:pt>
                <c:pt idx="1577">
                  <c:v>5000</c:v>
                </c:pt>
                <c:pt idx="1578">
                  <c:v>8094.02</c:v>
                </c:pt>
                <c:pt idx="1579">
                  <c:v>0</c:v>
                </c:pt>
                <c:pt idx="1580">
                  <c:v>7080</c:v>
                </c:pt>
                <c:pt idx="1581">
                  <c:v>6666.67</c:v>
                </c:pt>
                <c:pt idx="1582">
                  <c:v>19985.12</c:v>
                </c:pt>
                <c:pt idx="1583">
                  <c:v>10620</c:v>
                </c:pt>
                <c:pt idx="1584">
                  <c:v>18986.88</c:v>
                </c:pt>
                <c:pt idx="1585">
                  <c:v>2449.92</c:v>
                </c:pt>
                <c:pt idx="1586">
                  <c:v>11600</c:v>
                </c:pt>
                <c:pt idx="1587">
                  <c:v>2449.92</c:v>
                </c:pt>
                <c:pt idx="1588">
                  <c:v>6992.54</c:v>
                </c:pt>
                <c:pt idx="1589">
                  <c:v>11600</c:v>
                </c:pt>
                <c:pt idx="1590">
                  <c:v>5800</c:v>
                </c:pt>
                <c:pt idx="1591">
                  <c:v>9799.68</c:v>
                </c:pt>
                <c:pt idx="1592">
                  <c:v>7080</c:v>
                </c:pt>
                <c:pt idx="1593">
                  <c:v>16520</c:v>
                </c:pt>
                <c:pt idx="1594">
                  <c:v>4720</c:v>
                </c:pt>
                <c:pt idx="1595">
                  <c:v>5800</c:v>
                </c:pt>
                <c:pt idx="1596">
                  <c:v>0</c:v>
                </c:pt>
                <c:pt idx="1597">
                  <c:v>15950</c:v>
                </c:pt>
                <c:pt idx="1598">
                  <c:v>18300</c:v>
                </c:pt>
                <c:pt idx="1599">
                  <c:v>11600</c:v>
                </c:pt>
                <c:pt idx="1600">
                  <c:v>1299.82</c:v>
                </c:pt>
                <c:pt idx="1601">
                  <c:v>10862.4</c:v>
                </c:pt>
                <c:pt idx="1602">
                  <c:v>11800</c:v>
                </c:pt>
                <c:pt idx="1603">
                  <c:v>26222.03</c:v>
                </c:pt>
                <c:pt idx="1604">
                  <c:v>6992.54</c:v>
                </c:pt>
                <c:pt idx="1605">
                  <c:v>1800</c:v>
                </c:pt>
                <c:pt idx="1606">
                  <c:v>2327.7199999999998</c:v>
                </c:pt>
                <c:pt idx="1607">
                  <c:v>18286.04</c:v>
                </c:pt>
                <c:pt idx="1608">
                  <c:v>12664.48</c:v>
                </c:pt>
                <c:pt idx="1609">
                  <c:v>24414.43</c:v>
                </c:pt>
                <c:pt idx="1610">
                  <c:v>12320.18</c:v>
                </c:pt>
                <c:pt idx="1611">
                  <c:v>59572.74</c:v>
                </c:pt>
                <c:pt idx="1612">
                  <c:v>13012.85</c:v>
                </c:pt>
                <c:pt idx="1613">
                  <c:v>3424</c:v>
                </c:pt>
                <c:pt idx="1614">
                  <c:v>2996</c:v>
                </c:pt>
                <c:pt idx="1615">
                  <c:v>2664.4</c:v>
                </c:pt>
                <c:pt idx="1616">
                  <c:v>10188</c:v>
                </c:pt>
                <c:pt idx="1617">
                  <c:v>3000</c:v>
                </c:pt>
                <c:pt idx="1618">
                  <c:v>37503</c:v>
                </c:pt>
                <c:pt idx="1619">
                  <c:v>40407.9</c:v>
                </c:pt>
                <c:pt idx="1620">
                  <c:v>4899.84</c:v>
                </c:pt>
                <c:pt idx="1621">
                  <c:v>14699.52</c:v>
                </c:pt>
                <c:pt idx="1622">
                  <c:v>7080</c:v>
                </c:pt>
                <c:pt idx="1623">
                  <c:v>13985.08</c:v>
                </c:pt>
                <c:pt idx="1624">
                  <c:v>1284.97</c:v>
                </c:pt>
                <c:pt idx="1625">
                  <c:v>73320</c:v>
                </c:pt>
                <c:pt idx="1626">
                  <c:v>508.86</c:v>
                </c:pt>
                <c:pt idx="1627">
                  <c:v>12980</c:v>
                </c:pt>
                <c:pt idx="1628">
                  <c:v>6000</c:v>
                </c:pt>
                <c:pt idx="1629">
                  <c:v>1336</c:v>
                </c:pt>
                <c:pt idx="1630">
                  <c:v>21940</c:v>
                </c:pt>
                <c:pt idx="1631">
                  <c:v>9491.77</c:v>
                </c:pt>
                <c:pt idx="1632">
                  <c:v>18300</c:v>
                </c:pt>
                <c:pt idx="1633">
                  <c:v>159370.20000000001</c:v>
                </c:pt>
                <c:pt idx="1634">
                  <c:v>2664.4</c:v>
                </c:pt>
                <c:pt idx="1635">
                  <c:v>1284.97</c:v>
                </c:pt>
                <c:pt idx="1636">
                  <c:v>1284.97</c:v>
                </c:pt>
                <c:pt idx="1637">
                  <c:v>21750</c:v>
                </c:pt>
                <c:pt idx="1638">
                  <c:v>32716</c:v>
                </c:pt>
                <c:pt idx="1639">
                  <c:v>21033.46</c:v>
                </c:pt>
                <c:pt idx="1640">
                  <c:v>1537.38</c:v>
                </c:pt>
                <c:pt idx="1641">
                  <c:v>51020.95</c:v>
                </c:pt>
                <c:pt idx="1642">
                  <c:v>3679.79</c:v>
                </c:pt>
                <c:pt idx="1643">
                  <c:v>29101.200000000001</c:v>
                </c:pt>
                <c:pt idx="1644">
                  <c:v>842.95</c:v>
                </c:pt>
                <c:pt idx="1645">
                  <c:v>16884</c:v>
                </c:pt>
                <c:pt idx="1646">
                  <c:v>10500</c:v>
                </c:pt>
                <c:pt idx="1647">
                  <c:v>16250</c:v>
                </c:pt>
                <c:pt idx="1648">
                  <c:v>10500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10125</c:v>
                </c:pt>
                <c:pt idx="1656">
                  <c:v>45140</c:v>
                </c:pt>
                <c:pt idx="1657">
                  <c:v>11800</c:v>
                </c:pt>
                <c:pt idx="1658">
                  <c:v>18604.82</c:v>
                </c:pt>
                <c:pt idx="1659">
                  <c:v>71538</c:v>
                </c:pt>
                <c:pt idx="1660">
                  <c:v>19520</c:v>
                </c:pt>
                <c:pt idx="1661">
                  <c:v>23200</c:v>
                </c:pt>
                <c:pt idx="1662">
                  <c:v>0</c:v>
                </c:pt>
                <c:pt idx="1663">
                  <c:v>0</c:v>
                </c:pt>
                <c:pt idx="1664">
                  <c:v>44640</c:v>
                </c:pt>
                <c:pt idx="1665">
                  <c:v>27360</c:v>
                </c:pt>
                <c:pt idx="1666">
                  <c:v>722.8</c:v>
                </c:pt>
                <c:pt idx="1667">
                  <c:v>234271.14</c:v>
                </c:pt>
                <c:pt idx="1668">
                  <c:v>1284.97</c:v>
                </c:pt>
                <c:pt idx="1669">
                  <c:v>145.1</c:v>
                </c:pt>
                <c:pt idx="1670">
                  <c:v>110000</c:v>
                </c:pt>
                <c:pt idx="1671">
                  <c:v>916</c:v>
                </c:pt>
                <c:pt idx="1672">
                  <c:v>1917.39</c:v>
                </c:pt>
                <c:pt idx="1673">
                  <c:v>840.68</c:v>
                </c:pt>
                <c:pt idx="1674">
                  <c:v>4000</c:v>
                </c:pt>
                <c:pt idx="1675">
                  <c:v>694.67</c:v>
                </c:pt>
                <c:pt idx="1676">
                  <c:v>438</c:v>
                </c:pt>
                <c:pt idx="1677">
                  <c:v>15999.3</c:v>
                </c:pt>
                <c:pt idx="1678">
                  <c:v>103235.92</c:v>
                </c:pt>
                <c:pt idx="1679">
                  <c:v>4743</c:v>
                </c:pt>
                <c:pt idx="1680">
                  <c:v>11877.75</c:v>
                </c:pt>
                <c:pt idx="1681">
                  <c:v>10326</c:v>
                </c:pt>
                <c:pt idx="1682">
                  <c:v>3770</c:v>
                </c:pt>
                <c:pt idx="1683">
                  <c:v>482.41</c:v>
                </c:pt>
                <c:pt idx="1684">
                  <c:v>189.23</c:v>
                </c:pt>
                <c:pt idx="1685">
                  <c:v>0</c:v>
                </c:pt>
                <c:pt idx="1686">
                  <c:v>196753.92000000001</c:v>
                </c:pt>
                <c:pt idx="1687">
                  <c:v>196753.92000000001</c:v>
                </c:pt>
                <c:pt idx="1688">
                  <c:v>344.06</c:v>
                </c:pt>
                <c:pt idx="1689">
                  <c:v>119685</c:v>
                </c:pt>
                <c:pt idx="1690">
                  <c:v>12221.88</c:v>
                </c:pt>
                <c:pt idx="1691">
                  <c:v>7393.39</c:v>
                </c:pt>
                <c:pt idx="1692">
                  <c:v>2889</c:v>
                </c:pt>
                <c:pt idx="1693">
                  <c:v>183021.63</c:v>
                </c:pt>
                <c:pt idx="1694">
                  <c:v>7624.5</c:v>
                </c:pt>
                <c:pt idx="1697">
                  <c:v>4465.4799999999996</c:v>
                </c:pt>
                <c:pt idx="1698">
                  <c:v>21750</c:v>
                </c:pt>
                <c:pt idx="1699">
                  <c:v>19227.759999999998</c:v>
                </c:pt>
                <c:pt idx="1700">
                  <c:v>26950.28</c:v>
                </c:pt>
                <c:pt idx="1701">
                  <c:v>13000</c:v>
                </c:pt>
                <c:pt idx="1702">
                  <c:v>8797.83</c:v>
                </c:pt>
                <c:pt idx="1703">
                  <c:v>0</c:v>
                </c:pt>
                <c:pt idx="1704">
                  <c:v>4466</c:v>
                </c:pt>
                <c:pt idx="1705">
                  <c:v>6531.75</c:v>
                </c:pt>
                <c:pt idx="1706">
                  <c:v>686.72</c:v>
                </c:pt>
                <c:pt idx="1707">
                  <c:v>276620.95</c:v>
                </c:pt>
                <c:pt idx="1708">
                  <c:v>600</c:v>
                </c:pt>
                <c:pt idx="1709">
                  <c:v>600</c:v>
                </c:pt>
                <c:pt idx="1710">
                  <c:v>104895</c:v>
                </c:pt>
                <c:pt idx="1711">
                  <c:v>73579.67</c:v>
                </c:pt>
                <c:pt idx="1712">
                  <c:v>8797.83</c:v>
                </c:pt>
                <c:pt idx="1713">
                  <c:v>86.02</c:v>
                </c:pt>
                <c:pt idx="1714">
                  <c:v>0</c:v>
                </c:pt>
                <c:pt idx="1715">
                  <c:v>0</c:v>
                </c:pt>
                <c:pt idx="1716">
                  <c:v>51508.4</c:v>
                </c:pt>
                <c:pt idx="1717">
                  <c:v>1227.03</c:v>
                </c:pt>
                <c:pt idx="1718">
                  <c:v>1354.66</c:v>
                </c:pt>
                <c:pt idx="1719">
                  <c:v>1113.1199999999999</c:v>
                </c:pt>
                <c:pt idx="1720">
                  <c:v>6797.38</c:v>
                </c:pt>
                <c:pt idx="1721">
                  <c:v>6012</c:v>
                </c:pt>
                <c:pt idx="1722">
                  <c:v>6793</c:v>
                </c:pt>
                <c:pt idx="1723">
                  <c:v>551002.34</c:v>
                </c:pt>
                <c:pt idx="1724">
                  <c:v>7700.29</c:v>
                </c:pt>
                <c:pt idx="1725">
                  <c:v>4474.3999999999996</c:v>
                </c:pt>
                <c:pt idx="1726">
                  <c:v>24529.03</c:v>
                </c:pt>
                <c:pt idx="1727">
                  <c:v>6217.98</c:v>
                </c:pt>
                <c:pt idx="1728">
                  <c:v>3272</c:v>
                </c:pt>
                <c:pt idx="1729">
                  <c:v>7962.24</c:v>
                </c:pt>
                <c:pt idx="1730">
                  <c:v>5800</c:v>
                </c:pt>
                <c:pt idx="1731">
                  <c:v>7367.94</c:v>
                </c:pt>
                <c:pt idx="1732">
                  <c:v>17700</c:v>
                </c:pt>
                <c:pt idx="1733">
                  <c:v>161</c:v>
                </c:pt>
                <c:pt idx="1734">
                  <c:v>3926.82</c:v>
                </c:pt>
                <c:pt idx="1735">
                  <c:v>4517.0600000000004</c:v>
                </c:pt>
                <c:pt idx="1736">
                  <c:v>170238.42</c:v>
                </c:pt>
                <c:pt idx="1737">
                  <c:v>17662.98</c:v>
                </c:pt>
                <c:pt idx="1738">
                  <c:v>0</c:v>
                </c:pt>
                <c:pt idx="1739">
                  <c:v>3240</c:v>
                </c:pt>
                <c:pt idx="1740">
                  <c:v>380918.12</c:v>
                </c:pt>
                <c:pt idx="1741">
                  <c:v>5684</c:v>
                </c:pt>
                <c:pt idx="1742">
                  <c:v>32115.27</c:v>
                </c:pt>
                <c:pt idx="1743">
                  <c:v>37490</c:v>
                </c:pt>
                <c:pt idx="1744">
                  <c:v>9240</c:v>
                </c:pt>
                <c:pt idx="1745">
                  <c:v>42727.7</c:v>
                </c:pt>
                <c:pt idx="1746">
                  <c:v>150</c:v>
                </c:pt>
                <c:pt idx="1747">
                  <c:v>28741.73</c:v>
                </c:pt>
                <c:pt idx="1748">
                  <c:v>4314.6000000000004</c:v>
                </c:pt>
                <c:pt idx="1749">
                  <c:v>508.86</c:v>
                </c:pt>
                <c:pt idx="1750">
                  <c:v>169492.14</c:v>
                </c:pt>
                <c:pt idx="1751">
                  <c:v>194</c:v>
                </c:pt>
                <c:pt idx="1752">
                  <c:v>0</c:v>
                </c:pt>
                <c:pt idx="1753">
                  <c:v>0</c:v>
                </c:pt>
                <c:pt idx="1754">
                  <c:v>602.63</c:v>
                </c:pt>
                <c:pt idx="1755">
                  <c:v>311.5</c:v>
                </c:pt>
                <c:pt idx="1756">
                  <c:v>75.25</c:v>
                </c:pt>
                <c:pt idx="1757">
                  <c:v>266.83999999999997</c:v>
                </c:pt>
                <c:pt idx="1758">
                  <c:v>960</c:v>
                </c:pt>
                <c:pt idx="1759">
                  <c:v>201118.91</c:v>
                </c:pt>
                <c:pt idx="1760">
                  <c:v>990</c:v>
                </c:pt>
                <c:pt idx="1761">
                  <c:v>7624.5</c:v>
                </c:pt>
                <c:pt idx="1762">
                  <c:v>550</c:v>
                </c:pt>
                <c:pt idx="1763">
                  <c:v>518.78</c:v>
                </c:pt>
                <c:pt idx="1764">
                  <c:v>2945</c:v>
                </c:pt>
                <c:pt idx="1765">
                  <c:v>52640.13</c:v>
                </c:pt>
                <c:pt idx="1766">
                  <c:v>2110.04</c:v>
                </c:pt>
                <c:pt idx="1767">
                  <c:v>480</c:v>
                </c:pt>
                <c:pt idx="1768">
                  <c:v>438790.8</c:v>
                </c:pt>
                <c:pt idx="1769">
                  <c:v>201619.7</c:v>
                </c:pt>
                <c:pt idx="1770">
                  <c:v>2893.85</c:v>
                </c:pt>
                <c:pt idx="1771">
                  <c:v>64.48</c:v>
                </c:pt>
                <c:pt idx="1772">
                  <c:v>375.12</c:v>
                </c:pt>
                <c:pt idx="1773">
                  <c:v>827.26</c:v>
                </c:pt>
                <c:pt idx="1774">
                  <c:v>800</c:v>
                </c:pt>
                <c:pt idx="1775">
                  <c:v>13916.66</c:v>
                </c:pt>
                <c:pt idx="1776">
                  <c:v>15400</c:v>
                </c:pt>
                <c:pt idx="1777">
                  <c:v>1483.13</c:v>
                </c:pt>
                <c:pt idx="1778">
                  <c:v>7590</c:v>
                </c:pt>
                <c:pt idx="1779">
                  <c:v>5430</c:v>
                </c:pt>
                <c:pt idx="1780">
                  <c:v>6780</c:v>
                </c:pt>
                <c:pt idx="1781">
                  <c:v>1488</c:v>
                </c:pt>
                <c:pt idx="1782">
                  <c:v>4792</c:v>
                </c:pt>
                <c:pt idx="1783">
                  <c:v>0</c:v>
                </c:pt>
                <c:pt idx="1784">
                  <c:v>2638.75</c:v>
                </c:pt>
                <c:pt idx="1785">
                  <c:v>1017.72</c:v>
                </c:pt>
                <c:pt idx="1786">
                  <c:v>15273.08</c:v>
                </c:pt>
                <c:pt idx="1787">
                  <c:v>136747.48000000001</c:v>
                </c:pt>
                <c:pt idx="1788">
                  <c:v>10668</c:v>
                </c:pt>
                <c:pt idx="1789">
                  <c:v>67672</c:v>
                </c:pt>
                <c:pt idx="1790">
                  <c:v>17775.75</c:v>
                </c:pt>
                <c:pt idx="1791">
                  <c:v>17249.77</c:v>
                </c:pt>
                <c:pt idx="1792">
                  <c:v>41969.45</c:v>
                </c:pt>
                <c:pt idx="1793">
                  <c:v>43117.599999999999</c:v>
                </c:pt>
                <c:pt idx="1794">
                  <c:v>0</c:v>
                </c:pt>
                <c:pt idx="1795">
                  <c:v>10450.799999999999</c:v>
                </c:pt>
                <c:pt idx="1796">
                  <c:v>1272</c:v>
                </c:pt>
                <c:pt idx="1797">
                  <c:v>402</c:v>
                </c:pt>
                <c:pt idx="1798">
                  <c:v>1680</c:v>
                </c:pt>
                <c:pt idx="1799">
                  <c:v>3000</c:v>
                </c:pt>
                <c:pt idx="1800">
                  <c:v>12139</c:v>
                </c:pt>
                <c:pt idx="1801">
                  <c:v>16800</c:v>
                </c:pt>
                <c:pt idx="1802">
                  <c:v>4842.97</c:v>
                </c:pt>
                <c:pt idx="1803">
                  <c:v>11960</c:v>
                </c:pt>
                <c:pt idx="1804">
                  <c:v>347055.2</c:v>
                </c:pt>
                <c:pt idx="1805">
                  <c:v>308</c:v>
                </c:pt>
                <c:pt idx="1806">
                  <c:v>23848.57</c:v>
                </c:pt>
                <c:pt idx="1807">
                  <c:v>4000</c:v>
                </c:pt>
                <c:pt idx="1808">
                  <c:v>135837</c:v>
                </c:pt>
                <c:pt idx="1809">
                  <c:v>725094.36</c:v>
                </c:pt>
                <c:pt idx="1810">
                  <c:v>4300</c:v>
                </c:pt>
                <c:pt idx="1811">
                  <c:v>4005</c:v>
                </c:pt>
                <c:pt idx="1812">
                  <c:v>4400</c:v>
                </c:pt>
                <c:pt idx="1813">
                  <c:v>2898</c:v>
                </c:pt>
                <c:pt idx="1814">
                  <c:v>5960</c:v>
                </c:pt>
                <c:pt idx="1815">
                  <c:v>28857.15</c:v>
                </c:pt>
                <c:pt idx="1816">
                  <c:v>141.1</c:v>
                </c:pt>
                <c:pt idx="1817">
                  <c:v>15950.24</c:v>
                </c:pt>
                <c:pt idx="1818">
                  <c:v>1643.25</c:v>
                </c:pt>
                <c:pt idx="1819">
                  <c:v>196</c:v>
                </c:pt>
                <c:pt idx="1820">
                  <c:v>15664.02</c:v>
                </c:pt>
                <c:pt idx="1821">
                  <c:v>1520</c:v>
                </c:pt>
                <c:pt idx="1822">
                  <c:v>3150</c:v>
                </c:pt>
                <c:pt idx="1823">
                  <c:v>7800</c:v>
                </c:pt>
                <c:pt idx="1824">
                  <c:v>31.3</c:v>
                </c:pt>
                <c:pt idx="1825">
                  <c:v>3987.6</c:v>
                </c:pt>
                <c:pt idx="1826">
                  <c:v>17455</c:v>
                </c:pt>
                <c:pt idx="1827">
                  <c:v>2942.9</c:v>
                </c:pt>
                <c:pt idx="1828">
                  <c:v>7705.8</c:v>
                </c:pt>
                <c:pt idx="1829">
                  <c:v>24970</c:v>
                </c:pt>
                <c:pt idx="1830">
                  <c:v>3400</c:v>
                </c:pt>
                <c:pt idx="1831">
                  <c:v>6800</c:v>
                </c:pt>
                <c:pt idx="1832">
                  <c:v>1161.75</c:v>
                </c:pt>
                <c:pt idx="1833">
                  <c:v>1044.5999999999999</c:v>
                </c:pt>
                <c:pt idx="1834">
                  <c:v>1811.5</c:v>
                </c:pt>
                <c:pt idx="1835">
                  <c:v>128</c:v>
                </c:pt>
                <c:pt idx="1836">
                  <c:v>17811.599999999999</c:v>
                </c:pt>
                <c:pt idx="1837">
                  <c:v>16435</c:v>
                </c:pt>
                <c:pt idx="1838">
                  <c:v>2754.9</c:v>
                </c:pt>
                <c:pt idx="1839">
                  <c:v>2902.4</c:v>
                </c:pt>
                <c:pt idx="1840">
                  <c:v>207.46</c:v>
                </c:pt>
                <c:pt idx="1841">
                  <c:v>2117.8000000000002</c:v>
                </c:pt>
                <c:pt idx="1842">
                  <c:v>1735.6</c:v>
                </c:pt>
                <c:pt idx="1843">
                  <c:v>22030</c:v>
                </c:pt>
                <c:pt idx="1844">
                  <c:v>2250</c:v>
                </c:pt>
                <c:pt idx="1845">
                  <c:v>45445</c:v>
                </c:pt>
                <c:pt idx="1846">
                  <c:v>1636.64</c:v>
                </c:pt>
                <c:pt idx="1847">
                  <c:v>2100</c:v>
                </c:pt>
                <c:pt idx="1848">
                  <c:v>6790</c:v>
                </c:pt>
                <c:pt idx="1849">
                  <c:v>4195.71</c:v>
                </c:pt>
                <c:pt idx="1850">
                  <c:v>3093</c:v>
                </c:pt>
                <c:pt idx="1851">
                  <c:v>5000</c:v>
                </c:pt>
                <c:pt idx="1852">
                  <c:v>35584.629999999997</c:v>
                </c:pt>
                <c:pt idx="1853">
                  <c:v>1535.7</c:v>
                </c:pt>
                <c:pt idx="1854">
                  <c:v>80</c:v>
                </c:pt>
                <c:pt idx="1855">
                  <c:v>1954.22</c:v>
                </c:pt>
                <c:pt idx="1856">
                  <c:v>1827.18</c:v>
                </c:pt>
                <c:pt idx="1857">
                  <c:v>18768</c:v>
                </c:pt>
                <c:pt idx="1858">
                  <c:v>28752.44</c:v>
                </c:pt>
                <c:pt idx="1859">
                  <c:v>4416.28</c:v>
                </c:pt>
                <c:pt idx="1860">
                  <c:v>5183.97</c:v>
                </c:pt>
                <c:pt idx="1861">
                  <c:v>2096.63</c:v>
                </c:pt>
                <c:pt idx="1862">
                  <c:v>13209.09</c:v>
                </c:pt>
                <c:pt idx="1863">
                  <c:v>5722</c:v>
                </c:pt>
                <c:pt idx="1864">
                  <c:v>7730</c:v>
                </c:pt>
                <c:pt idx="1865">
                  <c:v>4795.8999999999996</c:v>
                </c:pt>
                <c:pt idx="1866">
                  <c:v>4899.84</c:v>
                </c:pt>
                <c:pt idx="1867">
                  <c:v>500</c:v>
                </c:pt>
                <c:pt idx="1868">
                  <c:v>976.25</c:v>
                </c:pt>
                <c:pt idx="1869">
                  <c:v>7226.39</c:v>
                </c:pt>
                <c:pt idx="1870">
                  <c:v>5754.15</c:v>
                </c:pt>
                <c:pt idx="1871">
                  <c:v>18680.29</c:v>
                </c:pt>
                <c:pt idx="1872">
                  <c:v>6984.84</c:v>
                </c:pt>
                <c:pt idx="1873">
                  <c:v>3121.87</c:v>
                </c:pt>
                <c:pt idx="1874">
                  <c:v>2765.72</c:v>
                </c:pt>
                <c:pt idx="1875">
                  <c:v>33884.400000000001</c:v>
                </c:pt>
                <c:pt idx="1876">
                  <c:v>2295</c:v>
                </c:pt>
                <c:pt idx="1877">
                  <c:v>5000</c:v>
                </c:pt>
                <c:pt idx="1878">
                  <c:v>11960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300</c:v>
                </c:pt>
                <c:pt idx="1883">
                  <c:v>832.81</c:v>
                </c:pt>
                <c:pt idx="1884">
                  <c:v>2241.75</c:v>
                </c:pt>
                <c:pt idx="1885">
                  <c:v>12597.37</c:v>
                </c:pt>
                <c:pt idx="1886">
                  <c:v>0</c:v>
                </c:pt>
                <c:pt idx="1887">
                  <c:v>0</c:v>
                </c:pt>
                <c:pt idx="1888">
                  <c:v>2100.1799999999998</c:v>
                </c:pt>
                <c:pt idx="1889">
                  <c:v>35000</c:v>
                </c:pt>
                <c:pt idx="1890">
                  <c:v>3100</c:v>
                </c:pt>
                <c:pt idx="1891">
                  <c:v>1410</c:v>
                </c:pt>
                <c:pt idx="1892">
                  <c:v>1536</c:v>
                </c:pt>
                <c:pt idx="1893">
                  <c:v>1700</c:v>
                </c:pt>
                <c:pt idx="1894">
                  <c:v>21600</c:v>
                </c:pt>
                <c:pt idx="1895">
                  <c:v>9870</c:v>
                </c:pt>
                <c:pt idx="1896">
                  <c:v>1500</c:v>
                </c:pt>
                <c:pt idx="1897">
                  <c:v>4728.6000000000004</c:v>
                </c:pt>
                <c:pt idx="1898">
                  <c:v>13200</c:v>
                </c:pt>
                <c:pt idx="1899">
                  <c:v>1554</c:v>
                </c:pt>
                <c:pt idx="1900">
                  <c:v>4833.68</c:v>
                </c:pt>
                <c:pt idx="1901">
                  <c:v>532005.91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EA-4783-A855-9FF601EC7E11}"/>
            </c:ext>
          </c:extLst>
        </c:ser>
        <c:ser>
          <c:idx val="11"/>
          <c:order val="11"/>
          <c:tx>
            <c:strRef>
              <c:f>'INVENTÁRIO 2026'!$K$2</c:f>
              <c:strCache>
                <c:ptCount val="1"/>
                <c:pt idx="0">
                  <c:v>DESTINO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2026'!$K$3:$K$11811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EA-4783-A855-9FF601EC7E11}"/>
            </c:ext>
          </c:extLst>
        </c:ser>
        <c:ser>
          <c:idx val="12"/>
          <c:order val="12"/>
          <c:tx>
            <c:strRef>
              <c:f>'INVENTÁRIO 2026'!$L$2</c:f>
              <c:strCache>
                <c:ptCount val="1"/>
                <c:pt idx="0">
                  <c:v>SITUAÇÃO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2026'!$L$3:$L$11811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EA-4783-A855-9FF601EC7E11}"/>
            </c:ext>
          </c:extLst>
        </c:ser>
        <c:ser>
          <c:idx val="13"/>
          <c:order val="13"/>
          <c:tx>
            <c:strRef>
              <c:f>'INVENTÁRIO 2026'!$M$2</c:f>
              <c:strCache>
                <c:ptCount val="1"/>
                <c:pt idx="0">
                  <c:v>DATA DE SAÍDA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2026'!$M$3:$M$11811</c:f>
              <c:numCache>
                <c:formatCode>m/d/yyyy</c:formatCode>
                <c:ptCount val="11809"/>
                <c:pt idx="0">
                  <c:v>45665</c:v>
                </c:pt>
                <c:pt idx="1">
                  <c:v>45664</c:v>
                </c:pt>
                <c:pt idx="2">
                  <c:v>45666</c:v>
                </c:pt>
                <c:pt idx="3">
                  <c:v>45666</c:v>
                </c:pt>
                <c:pt idx="4">
                  <c:v>45670</c:v>
                </c:pt>
                <c:pt idx="5">
                  <c:v>45664</c:v>
                </c:pt>
                <c:pt idx="6">
                  <c:v>45664</c:v>
                </c:pt>
                <c:pt idx="7">
                  <c:v>46037</c:v>
                </c:pt>
                <c:pt idx="8">
                  <c:v>45664</c:v>
                </c:pt>
                <c:pt idx="9">
                  <c:v>45975</c:v>
                </c:pt>
                <c:pt idx="10">
                  <c:v>45669</c:v>
                </c:pt>
                <c:pt idx="11">
                  <c:v>45666</c:v>
                </c:pt>
                <c:pt idx="12">
                  <c:v>45670</c:v>
                </c:pt>
                <c:pt idx="13">
                  <c:v>46038</c:v>
                </c:pt>
                <c:pt idx="15">
                  <c:v>45670</c:v>
                </c:pt>
                <c:pt idx="16">
                  <c:v>45669</c:v>
                </c:pt>
                <c:pt idx="17">
                  <c:v>45670</c:v>
                </c:pt>
                <c:pt idx="18">
                  <c:v>46051</c:v>
                </c:pt>
                <c:pt idx="19">
                  <c:v>45669</c:v>
                </c:pt>
                <c:pt idx="20">
                  <c:v>45670</c:v>
                </c:pt>
                <c:pt idx="21">
                  <c:v>46034</c:v>
                </c:pt>
                <c:pt idx="22">
                  <c:v>46034</c:v>
                </c:pt>
                <c:pt idx="24">
                  <c:v>46034</c:v>
                </c:pt>
                <c:pt idx="26">
                  <c:v>45670</c:v>
                </c:pt>
                <c:pt idx="27">
                  <c:v>45672</c:v>
                </c:pt>
                <c:pt idx="28">
                  <c:v>46042</c:v>
                </c:pt>
                <c:pt idx="29">
                  <c:v>45670</c:v>
                </c:pt>
                <c:pt idx="30">
                  <c:v>45670</c:v>
                </c:pt>
                <c:pt idx="31">
                  <c:v>45670</c:v>
                </c:pt>
                <c:pt idx="32">
                  <c:v>45670</c:v>
                </c:pt>
                <c:pt idx="33">
                  <c:v>46036</c:v>
                </c:pt>
                <c:pt idx="34">
                  <c:v>45670</c:v>
                </c:pt>
                <c:pt idx="35">
                  <c:v>46035</c:v>
                </c:pt>
                <c:pt idx="36">
                  <c:v>46035</c:v>
                </c:pt>
                <c:pt idx="37">
                  <c:v>46035</c:v>
                </c:pt>
                <c:pt idx="38">
                  <c:v>45671</c:v>
                </c:pt>
                <c:pt idx="40">
                  <c:v>45670</c:v>
                </c:pt>
                <c:pt idx="41">
                  <c:v>46036</c:v>
                </c:pt>
                <c:pt idx="42">
                  <c:v>46038</c:v>
                </c:pt>
                <c:pt idx="43">
                  <c:v>46038</c:v>
                </c:pt>
                <c:pt idx="44">
                  <c:v>46036</c:v>
                </c:pt>
                <c:pt idx="45">
                  <c:v>46037</c:v>
                </c:pt>
                <c:pt idx="46">
                  <c:v>46035</c:v>
                </c:pt>
                <c:pt idx="47">
                  <c:v>46036</c:v>
                </c:pt>
                <c:pt idx="48">
                  <c:v>45670</c:v>
                </c:pt>
                <c:pt idx="49">
                  <c:v>45670</c:v>
                </c:pt>
                <c:pt idx="50">
                  <c:v>45670</c:v>
                </c:pt>
                <c:pt idx="51">
                  <c:v>45670</c:v>
                </c:pt>
                <c:pt idx="52">
                  <c:v>45670</c:v>
                </c:pt>
                <c:pt idx="53">
                  <c:v>46036</c:v>
                </c:pt>
                <c:pt idx="54">
                  <c:v>46041</c:v>
                </c:pt>
                <c:pt idx="55">
                  <c:v>46038</c:v>
                </c:pt>
                <c:pt idx="56">
                  <c:v>46038</c:v>
                </c:pt>
                <c:pt idx="57">
                  <c:v>45669</c:v>
                </c:pt>
                <c:pt idx="58">
                  <c:v>46035</c:v>
                </c:pt>
                <c:pt idx="59">
                  <c:v>45670</c:v>
                </c:pt>
                <c:pt idx="60">
                  <c:v>46072</c:v>
                </c:pt>
                <c:pt idx="61">
                  <c:v>46064</c:v>
                </c:pt>
                <c:pt idx="62">
                  <c:v>46041</c:v>
                </c:pt>
                <c:pt idx="63">
                  <c:v>46036</c:v>
                </c:pt>
                <c:pt idx="64">
                  <c:v>46035</c:v>
                </c:pt>
                <c:pt idx="65">
                  <c:v>46037</c:v>
                </c:pt>
                <c:pt idx="66">
                  <c:v>46038</c:v>
                </c:pt>
                <c:pt idx="67">
                  <c:v>46037</c:v>
                </c:pt>
                <c:pt idx="68">
                  <c:v>46037</c:v>
                </c:pt>
                <c:pt idx="69">
                  <c:v>46036</c:v>
                </c:pt>
                <c:pt idx="70">
                  <c:v>46037</c:v>
                </c:pt>
                <c:pt idx="71">
                  <c:v>46038</c:v>
                </c:pt>
                <c:pt idx="72">
                  <c:v>46037</c:v>
                </c:pt>
                <c:pt idx="73">
                  <c:v>46042</c:v>
                </c:pt>
                <c:pt idx="74">
                  <c:v>46037</c:v>
                </c:pt>
                <c:pt idx="75">
                  <c:v>46038</c:v>
                </c:pt>
                <c:pt idx="76">
                  <c:v>46037</c:v>
                </c:pt>
                <c:pt idx="77">
                  <c:v>46037</c:v>
                </c:pt>
                <c:pt idx="78">
                  <c:v>46037</c:v>
                </c:pt>
                <c:pt idx="79">
                  <c:v>46037</c:v>
                </c:pt>
                <c:pt idx="80">
                  <c:v>46037</c:v>
                </c:pt>
                <c:pt idx="81">
                  <c:v>46037</c:v>
                </c:pt>
                <c:pt idx="82">
                  <c:v>46037</c:v>
                </c:pt>
                <c:pt idx="83">
                  <c:v>46038</c:v>
                </c:pt>
                <c:pt idx="84">
                  <c:v>46038</c:v>
                </c:pt>
                <c:pt idx="85">
                  <c:v>46038</c:v>
                </c:pt>
                <c:pt idx="86">
                  <c:v>46038</c:v>
                </c:pt>
                <c:pt idx="87">
                  <c:v>46041</c:v>
                </c:pt>
                <c:pt idx="88">
                  <c:v>46037</c:v>
                </c:pt>
                <c:pt idx="89">
                  <c:v>46038</c:v>
                </c:pt>
                <c:pt idx="90">
                  <c:v>46042</c:v>
                </c:pt>
                <c:pt idx="91">
                  <c:v>46041</c:v>
                </c:pt>
                <c:pt idx="92">
                  <c:v>46037</c:v>
                </c:pt>
                <c:pt idx="93">
                  <c:v>46037</c:v>
                </c:pt>
                <c:pt idx="94">
                  <c:v>46037</c:v>
                </c:pt>
                <c:pt idx="95">
                  <c:v>46037</c:v>
                </c:pt>
                <c:pt idx="96">
                  <c:v>46041</c:v>
                </c:pt>
                <c:pt idx="97">
                  <c:v>46038</c:v>
                </c:pt>
                <c:pt idx="98">
                  <c:v>46038</c:v>
                </c:pt>
                <c:pt idx="99">
                  <c:v>46038</c:v>
                </c:pt>
                <c:pt idx="100">
                  <c:v>46041</c:v>
                </c:pt>
                <c:pt idx="101">
                  <c:v>46041</c:v>
                </c:pt>
                <c:pt idx="102">
                  <c:v>46042</c:v>
                </c:pt>
                <c:pt idx="103">
                  <c:v>46038</c:v>
                </c:pt>
                <c:pt idx="104">
                  <c:v>46038</c:v>
                </c:pt>
                <c:pt idx="105">
                  <c:v>46037</c:v>
                </c:pt>
                <c:pt idx="106">
                  <c:v>46037</c:v>
                </c:pt>
                <c:pt idx="107">
                  <c:v>46037</c:v>
                </c:pt>
                <c:pt idx="108">
                  <c:v>46037</c:v>
                </c:pt>
                <c:pt idx="109">
                  <c:v>46041</c:v>
                </c:pt>
                <c:pt idx="110">
                  <c:v>46038</c:v>
                </c:pt>
                <c:pt idx="111">
                  <c:v>46038</c:v>
                </c:pt>
                <c:pt idx="112">
                  <c:v>46038</c:v>
                </c:pt>
                <c:pt idx="113">
                  <c:v>46037</c:v>
                </c:pt>
                <c:pt idx="114">
                  <c:v>46037</c:v>
                </c:pt>
                <c:pt idx="115">
                  <c:v>45672</c:v>
                </c:pt>
                <c:pt idx="116">
                  <c:v>45672</c:v>
                </c:pt>
                <c:pt idx="117">
                  <c:v>46037</c:v>
                </c:pt>
                <c:pt idx="118">
                  <c:v>46037</c:v>
                </c:pt>
                <c:pt idx="119">
                  <c:v>46037</c:v>
                </c:pt>
                <c:pt idx="120">
                  <c:v>46041</c:v>
                </c:pt>
                <c:pt idx="121">
                  <c:v>46038</c:v>
                </c:pt>
                <c:pt idx="122">
                  <c:v>46037</c:v>
                </c:pt>
                <c:pt idx="123">
                  <c:v>46038</c:v>
                </c:pt>
                <c:pt idx="124">
                  <c:v>46037</c:v>
                </c:pt>
                <c:pt idx="125">
                  <c:v>46042</c:v>
                </c:pt>
                <c:pt idx="126">
                  <c:v>46037</c:v>
                </c:pt>
                <c:pt idx="127">
                  <c:v>46038</c:v>
                </c:pt>
                <c:pt idx="128">
                  <c:v>46037</c:v>
                </c:pt>
                <c:pt idx="129">
                  <c:v>46038</c:v>
                </c:pt>
                <c:pt idx="130">
                  <c:v>46038</c:v>
                </c:pt>
                <c:pt idx="131">
                  <c:v>46038</c:v>
                </c:pt>
                <c:pt idx="132">
                  <c:v>46038</c:v>
                </c:pt>
                <c:pt idx="133">
                  <c:v>46038</c:v>
                </c:pt>
                <c:pt idx="134">
                  <c:v>46041</c:v>
                </c:pt>
                <c:pt idx="135">
                  <c:v>46041</c:v>
                </c:pt>
                <c:pt idx="136">
                  <c:v>46042</c:v>
                </c:pt>
                <c:pt idx="137">
                  <c:v>46041</c:v>
                </c:pt>
                <c:pt idx="138">
                  <c:v>46041</c:v>
                </c:pt>
                <c:pt idx="139">
                  <c:v>46042</c:v>
                </c:pt>
                <c:pt idx="140">
                  <c:v>46042</c:v>
                </c:pt>
                <c:pt idx="141">
                  <c:v>46041</c:v>
                </c:pt>
                <c:pt idx="142">
                  <c:v>46043</c:v>
                </c:pt>
                <c:pt idx="143">
                  <c:v>46043</c:v>
                </c:pt>
                <c:pt idx="144">
                  <c:v>46044</c:v>
                </c:pt>
                <c:pt idx="145">
                  <c:v>46042</c:v>
                </c:pt>
                <c:pt idx="146">
                  <c:v>46041</c:v>
                </c:pt>
                <c:pt idx="147">
                  <c:v>46041</c:v>
                </c:pt>
                <c:pt idx="148">
                  <c:v>46042</c:v>
                </c:pt>
                <c:pt idx="149">
                  <c:v>46042</c:v>
                </c:pt>
                <c:pt idx="150">
                  <c:v>46041</c:v>
                </c:pt>
                <c:pt idx="151">
                  <c:v>46038</c:v>
                </c:pt>
                <c:pt idx="152">
                  <c:v>46038</c:v>
                </c:pt>
                <c:pt idx="153">
                  <c:v>46041</c:v>
                </c:pt>
                <c:pt idx="154">
                  <c:v>46038</c:v>
                </c:pt>
                <c:pt idx="155">
                  <c:v>46042</c:v>
                </c:pt>
                <c:pt idx="156">
                  <c:v>46042</c:v>
                </c:pt>
                <c:pt idx="157">
                  <c:v>46059</c:v>
                </c:pt>
                <c:pt idx="158">
                  <c:v>46059</c:v>
                </c:pt>
                <c:pt idx="159">
                  <c:v>46041</c:v>
                </c:pt>
                <c:pt idx="160">
                  <c:v>46044</c:v>
                </c:pt>
                <c:pt idx="161">
                  <c:v>46044</c:v>
                </c:pt>
                <c:pt idx="162">
                  <c:v>46044</c:v>
                </c:pt>
                <c:pt idx="163">
                  <c:v>46044</c:v>
                </c:pt>
                <c:pt idx="164">
                  <c:v>46049</c:v>
                </c:pt>
                <c:pt idx="165">
                  <c:v>46042</c:v>
                </c:pt>
                <c:pt idx="166">
                  <c:v>46042</c:v>
                </c:pt>
                <c:pt idx="167">
                  <c:v>46042</c:v>
                </c:pt>
                <c:pt idx="168">
                  <c:v>46042</c:v>
                </c:pt>
                <c:pt idx="169">
                  <c:v>46042</c:v>
                </c:pt>
                <c:pt idx="170">
                  <c:v>46063</c:v>
                </c:pt>
                <c:pt idx="171">
                  <c:v>46050</c:v>
                </c:pt>
                <c:pt idx="172">
                  <c:v>46049</c:v>
                </c:pt>
                <c:pt idx="173">
                  <c:v>46044</c:v>
                </c:pt>
                <c:pt idx="174">
                  <c:v>46042</c:v>
                </c:pt>
                <c:pt idx="175">
                  <c:v>46043</c:v>
                </c:pt>
                <c:pt idx="176">
                  <c:v>46042</c:v>
                </c:pt>
                <c:pt idx="177">
                  <c:v>46044</c:v>
                </c:pt>
                <c:pt idx="178">
                  <c:v>46044</c:v>
                </c:pt>
                <c:pt idx="179">
                  <c:v>46045</c:v>
                </c:pt>
                <c:pt idx="180">
                  <c:v>46043</c:v>
                </c:pt>
                <c:pt idx="181">
                  <c:v>46084</c:v>
                </c:pt>
                <c:pt idx="182">
                  <c:v>46084</c:v>
                </c:pt>
                <c:pt idx="183">
                  <c:v>46043</c:v>
                </c:pt>
                <c:pt idx="184">
                  <c:v>46084</c:v>
                </c:pt>
                <c:pt idx="185">
                  <c:v>46044</c:v>
                </c:pt>
                <c:pt idx="186">
                  <c:v>46044</c:v>
                </c:pt>
                <c:pt idx="187">
                  <c:v>46044</c:v>
                </c:pt>
                <c:pt idx="188">
                  <c:v>46045</c:v>
                </c:pt>
                <c:pt idx="189">
                  <c:v>46049</c:v>
                </c:pt>
                <c:pt idx="190">
                  <c:v>46044</c:v>
                </c:pt>
                <c:pt idx="191">
                  <c:v>46044</c:v>
                </c:pt>
                <c:pt idx="192">
                  <c:v>46044</c:v>
                </c:pt>
                <c:pt idx="193">
                  <c:v>46045</c:v>
                </c:pt>
                <c:pt idx="194">
                  <c:v>46044</c:v>
                </c:pt>
                <c:pt idx="195">
                  <c:v>46044</c:v>
                </c:pt>
                <c:pt idx="196">
                  <c:v>46045</c:v>
                </c:pt>
                <c:pt idx="197">
                  <c:v>46050</c:v>
                </c:pt>
                <c:pt idx="198">
                  <c:v>46045</c:v>
                </c:pt>
                <c:pt idx="199">
                  <c:v>46056</c:v>
                </c:pt>
                <c:pt idx="200">
                  <c:v>46049</c:v>
                </c:pt>
                <c:pt idx="201">
                  <c:v>46051</c:v>
                </c:pt>
                <c:pt idx="202">
                  <c:v>46048</c:v>
                </c:pt>
                <c:pt idx="203">
                  <c:v>46048</c:v>
                </c:pt>
                <c:pt idx="204">
                  <c:v>46048</c:v>
                </c:pt>
                <c:pt idx="205">
                  <c:v>46048</c:v>
                </c:pt>
                <c:pt idx="206">
                  <c:v>46048</c:v>
                </c:pt>
                <c:pt idx="207">
                  <c:v>46048</c:v>
                </c:pt>
                <c:pt idx="208">
                  <c:v>46048</c:v>
                </c:pt>
                <c:pt idx="209">
                  <c:v>46050</c:v>
                </c:pt>
                <c:pt idx="210">
                  <c:v>46049</c:v>
                </c:pt>
                <c:pt idx="211">
                  <c:v>46051</c:v>
                </c:pt>
                <c:pt idx="212">
                  <c:v>46048</c:v>
                </c:pt>
                <c:pt idx="213">
                  <c:v>46048</c:v>
                </c:pt>
                <c:pt idx="214">
                  <c:v>46048</c:v>
                </c:pt>
                <c:pt idx="215">
                  <c:v>46048</c:v>
                </c:pt>
                <c:pt idx="216">
                  <c:v>46048</c:v>
                </c:pt>
                <c:pt idx="217">
                  <c:v>46048</c:v>
                </c:pt>
                <c:pt idx="218">
                  <c:v>46048</c:v>
                </c:pt>
                <c:pt idx="219">
                  <c:v>46048</c:v>
                </c:pt>
                <c:pt idx="220">
                  <c:v>46048</c:v>
                </c:pt>
                <c:pt idx="221">
                  <c:v>46048</c:v>
                </c:pt>
                <c:pt idx="222">
                  <c:v>46048</c:v>
                </c:pt>
                <c:pt idx="223">
                  <c:v>46048</c:v>
                </c:pt>
                <c:pt idx="224">
                  <c:v>46052</c:v>
                </c:pt>
                <c:pt idx="225">
                  <c:v>46048</c:v>
                </c:pt>
                <c:pt idx="226">
                  <c:v>46048</c:v>
                </c:pt>
                <c:pt idx="227">
                  <c:v>46048</c:v>
                </c:pt>
                <c:pt idx="228">
                  <c:v>46049</c:v>
                </c:pt>
                <c:pt idx="229">
                  <c:v>46100</c:v>
                </c:pt>
                <c:pt idx="230">
                  <c:v>46044</c:v>
                </c:pt>
                <c:pt idx="231">
                  <c:v>46050</c:v>
                </c:pt>
                <c:pt idx="232">
                  <c:v>46051</c:v>
                </c:pt>
                <c:pt idx="233">
                  <c:v>46050</c:v>
                </c:pt>
                <c:pt idx="234">
                  <c:v>46056</c:v>
                </c:pt>
                <c:pt idx="235">
                  <c:v>46052</c:v>
                </c:pt>
                <c:pt idx="236">
                  <c:v>46057</c:v>
                </c:pt>
                <c:pt idx="237">
                  <c:v>46052</c:v>
                </c:pt>
                <c:pt idx="238">
                  <c:v>46072</c:v>
                </c:pt>
                <c:pt idx="239">
                  <c:v>46050</c:v>
                </c:pt>
                <c:pt idx="240">
                  <c:v>46051</c:v>
                </c:pt>
                <c:pt idx="241">
                  <c:v>46045</c:v>
                </c:pt>
                <c:pt idx="242">
                  <c:v>46064</c:v>
                </c:pt>
                <c:pt idx="243">
                  <c:v>46063</c:v>
                </c:pt>
                <c:pt idx="244">
                  <c:v>46063</c:v>
                </c:pt>
                <c:pt idx="245">
                  <c:v>46049</c:v>
                </c:pt>
                <c:pt idx="246">
                  <c:v>46048</c:v>
                </c:pt>
                <c:pt idx="247">
                  <c:v>46160</c:v>
                </c:pt>
                <c:pt idx="248">
                  <c:v>46049</c:v>
                </c:pt>
                <c:pt idx="249">
                  <c:v>46050</c:v>
                </c:pt>
                <c:pt idx="250">
                  <c:v>46056</c:v>
                </c:pt>
                <c:pt idx="251">
                  <c:v>46051</c:v>
                </c:pt>
                <c:pt idx="252">
                  <c:v>46049</c:v>
                </c:pt>
                <c:pt idx="253">
                  <c:v>46050</c:v>
                </c:pt>
                <c:pt idx="254">
                  <c:v>46050</c:v>
                </c:pt>
                <c:pt idx="255">
                  <c:v>46051</c:v>
                </c:pt>
                <c:pt idx="256">
                  <c:v>46049</c:v>
                </c:pt>
                <c:pt idx="257">
                  <c:v>46048</c:v>
                </c:pt>
                <c:pt idx="258">
                  <c:v>46055</c:v>
                </c:pt>
                <c:pt idx="259">
                  <c:v>46055</c:v>
                </c:pt>
                <c:pt idx="260">
                  <c:v>46048</c:v>
                </c:pt>
                <c:pt idx="261">
                  <c:v>46076</c:v>
                </c:pt>
                <c:pt idx="263">
                  <c:v>46055</c:v>
                </c:pt>
                <c:pt idx="264">
                  <c:v>46050</c:v>
                </c:pt>
                <c:pt idx="265">
                  <c:v>46050</c:v>
                </c:pt>
                <c:pt idx="266">
                  <c:v>46048</c:v>
                </c:pt>
                <c:pt idx="267">
                  <c:v>46048</c:v>
                </c:pt>
                <c:pt idx="268">
                  <c:v>46051</c:v>
                </c:pt>
                <c:pt idx="269">
                  <c:v>46051</c:v>
                </c:pt>
                <c:pt idx="270">
                  <c:v>46051</c:v>
                </c:pt>
                <c:pt idx="271">
                  <c:v>46050</c:v>
                </c:pt>
                <c:pt idx="272">
                  <c:v>46051</c:v>
                </c:pt>
                <c:pt idx="273">
                  <c:v>46051</c:v>
                </c:pt>
                <c:pt idx="274">
                  <c:v>46049</c:v>
                </c:pt>
                <c:pt idx="275">
                  <c:v>46049</c:v>
                </c:pt>
                <c:pt idx="276">
                  <c:v>46051</c:v>
                </c:pt>
                <c:pt idx="277">
                  <c:v>46055</c:v>
                </c:pt>
                <c:pt idx="278">
                  <c:v>46063</c:v>
                </c:pt>
                <c:pt idx="280">
                  <c:v>46051</c:v>
                </c:pt>
                <c:pt idx="281">
                  <c:v>46050</c:v>
                </c:pt>
                <c:pt idx="282">
                  <c:v>46050</c:v>
                </c:pt>
                <c:pt idx="283">
                  <c:v>46052</c:v>
                </c:pt>
                <c:pt idx="284">
                  <c:v>46050</c:v>
                </c:pt>
                <c:pt idx="285">
                  <c:v>46055</c:v>
                </c:pt>
                <c:pt idx="286">
                  <c:v>46063</c:v>
                </c:pt>
                <c:pt idx="287">
                  <c:v>46055</c:v>
                </c:pt>
                <c:pt idx="288">
                  <c:v>46055</c:v>
                </c:pt>
                <c:pt idx="289">
                  <c:v>46055</c:v>
                </c:pt>
                <c:pt idx="290">
                  <c:v>46052</c:v>
                </c:pt>
                <c:pt idx="291">
                  <c:v>46055</c:v>
                </c:pt>
                <c:pt idx="292">
                  <c:v>46052</c:v>
                </c:pt>
                <c:pt idx="293">
                  <c:v>46055</c:v>
                </c:pt>
                <c:pt idx="294">
                  <c:v>46057</c:v>
                </c:pt>
                <c:pt idx="295">
                  <c:v>46057</c:v>
                </c:pt>
                <c:pt idx="296">
                  <c:v>46055</c:v>
                </c:pt>
                <c:pt idx="297">
                  <c:v>46063</c:v>
                </c:pt>
                <c:pt idx="298">
                  <c:v>46052</c:v>
                </c:pt>
                <c:pt idx="299">
                  <c:v>46055</c:v>
                </c:pt>
                <c:pt idx="300">
                  <c:v>46055</c:v>
                </c:pt>
                <c:pt idx="301">
                  <c:v>46055</c:v>
                </c:pt>
                <c:pt idx="302">
                  <c:v>46056</c:v>
                </c:pt>
                <c:pt idx="303">
                  <c:v>46055</c:v>
                </c:pt>
                <c:pt idx="304">
                  <c:v>46055</c:v>
                </c:pt>
                <c:pt idx="305">
                  <c:v>46055</c:v>
                </c:pt>
                <c:pt idx="306">
                  <c:v>46056</c:v>
                </c:pt>
                <c:pt idx="307">
                  <c:v>46056</c:v>
                </c:pt>
                <c:pt idx="308">
                  <c:v>46056</c:v>
                </c:pt>
                <c:pt idx="309">
                  <c:v>46056</c:v>
                </c:pt>
                <c:pt idx="310">
                  <c:v>46058</c:v>
                </c:pt>
                <c:pt idx="311">
                  <c:v>46056</c:v>
                </c:pt>
                <c:pt idx="312">
                  <c:v>46056</c:v>
                </c:pt>
                <c:pt idx="313">
                  <c:v>46059</c:v>
                </c:pt>
                <c:pt idx="314">
                  <c:v>46057</c:v>
                </c:pt>
                <c:pt idx="315">
                  <c:v>46057</c:v>
                </c:pt>
                <c:pt idx="316">
                  <c:v>46057</c:v>
                </c:pt>
                <c:pt idx="317">
                  <c:v>46059</c:v>
                </c:pt>
                <c:pt idx="318">
                  <c:v>46057</c:v>
                </c:pt>
                <c:pt idx="319">
                  <c:v>46062</c:v>
                </c:pt>
                <c:pt idx="320">
                  <c:v>46057</c:v>
                </c:pt>
                <c:pt idx="321">
                  <c:v>46077</c:v>
                </c:pt>
                <c:pt idx="322">
                  <c:v>46058</c:v>
                </c:pt>
                <c:pt idx="323">
                  <c:v>46084</c:v>
                </c:pt>
                <c:pt idx="324">
                  <c:v>46062</c:v>
                </c:pt>
                <c:pt idx="325">
                  <c:v>46097</c:v>
                </c:pt>
                <c:pt idx="326">
                  <c:v>46077</c:v>
                </c:pt>
                <c:pt idx="327">
                  <c:v>46059</c:v>
                </c:pt>
                <c:pt idx="328">
                  <c:v>46058</c:v>
                </c:pt>
                <c:pt idx="329">
                  <c:v>46058</c:v>
                </c:pt>
                <c:pt idx="330">
                  <c:v>46058</c:v>
                </c:pt>
                <c:pt idx="331">
                  <c:v>46058</c:v>
                </c:pt>
                <c:pt idx="332">
                  <c:v>46058</c:v>
                </c:pt>
                <c:pt idx="333">
                  <c:v>46063</c:v>
                </c:pt>
                <c:pt idx="334">
                  <c:v>46084</c:v>
                </c:pt>
                <c:pt idx="335">
                  <c:v>46064</c:v>
                </c:pt>
                <c:pt idx="336">
                  <c:v>46059</c:v>
                </c:pt>
                <c:pt idx="337">
                  <c:v>46059</c:v>
                </c:pt>
                <c:pt idx="338">
                  <c:v>46062</c:v>
                </c:pt>
                <c:pt idx="339">
                  <c:v>46063</c:v>
                </c:pt>
                <c:pt idx="340">
                  <c:v>46063</c:v>
                </c:pt>
                <c:pt idx="341">
                  <c:v>46062</c:v>
                </c:pt>
                <c:pt idx="342">
                  <c:v>46063</c:v>
                </c:pt>
                <c:pt idx="343">
                  <c:v>46064</c:v>
                </c:pt>
                <c:pt idx="344">
                  <c:v>46064</c:v>
                </c:pt>
                <c:pt idx="345">
                  <c:v>46062</c:v>
                </c:pt>
                <c:pt idx="346">
                  <c:v>46062</c:v>
                </c:pt>
                <c:pt idx="347">
                  <c:v>46062</c:v>
                </c:pt>
                <c:pt idx="348">
                  <c:v>46072</c:v>
                </c:pt>
                <c:pt idx="349">
                  <c:v>46077</c:v>
                </c:pt>
                <c:pt idx="350">
                  <c:v>46063</c:v>
                </c:pt>
                <c:pt idx="351">
                  <c:v>46062</c:v>
                </c:pt>
                <c:pt idx="352">
                  <c:v>46062</c:v>
                </c:pt>
                <c:pt idx="353">
                  <c:v>46059</c:v>
                </c:pt>
                <c:pt idx="354">
                  <c:v>46059</c:v>
                </c:pt>
                <c:pt idx="355">
                  <c:v>46062</c:v>
                </c:pt>
                <c:pt idx="356">
                  <c:v>46065</c:v>
                </c:pt>
                <c:pt idx="357">
                  <c:v>46064</c:v>
                </c:pt>
                <c:pt idx="358">
                  <c:v>46064</c:v>
                </c:pt>
                <c:pt idx="359">
                  <c:v>46065</c:v>
                </c:pt>
                <c:pt idx="360">
                  <c:v>46064</c:v>
                </c:pt>
                <c:pt idx="361">
                  <c:v>46059</c:v>
                </c:pt>
                <c:pt idx="362">
                  <c:v>46059</c:v>
                </c:pt>
                <c:pt idx="363">
                  <c:v>46059</c:v>
                </c:pt>
                <c:pt idx="364">
                  <c:v>46059</c:v>
                </c:pt>
                <c:pt idx="365">
                  <c:v>46065</c:v>
                </c:pt>
                <c:pt idx="366">
                  <c:v>46065</c:v>
                </c:pt>
                <c:pt idx="367">
                  <c:v>46064</c:v>
                </c:pt>
                <c:pt idx="368">
                  <c:v>46062</c:v>
                </c:pt>
                <c:pt idx="369">
                  <c:v>46063</c:v>
                </c:pt>
                <c:pt idx="370">
                  <c:v>46064</c:v>
                </c:pt>
                <c:pt idx="371">
                  <c:v>46062</c:v>
                </c:pt>
                <c:pt idx="372">
                  <c:v>46072</c:v>
                </c:pt>
                <c:pt idx="373">
                  <c:v>46065</c:v>
                </c:pt>
                <c:pt idx="374">
                  <c:v>46072</c:v>
                </c:pt>
                <c:pt idx="375">
                  <c:v>46065</c:v>
                </c:pt>
                <c:pt idx="376">
                  <c:v>46065</c:v>
                </c:pt>
                <c:pt idx="377">
                  <c:v>46064</c:v>
                </c:pt>
                <c:pt idx="378">
                  <c:v>46064</c:v>
                </c:pt>
                <c:pt idx="379">
                  <c:v>46063</c:v>
                </c:pt>
                <c:pt idx="380">
                  <c:v>46063</c:v>
                </c:pt>
                <c:pt idx="381">
                  <c:v>46063</c:v>
                </c:pt>
                <c:pt idx="382">
                  <c:v>46063</c:v>
                </c:pt>
                <c:pt idx="383">
                  <c:v>46063</c:v>
                </c:pt>
                <c:pt idx="384">
                  <c:v>46063</c:v>
                </c:pt>
                <c:pt idx="385">
                  <c:v>46065</c:v>
                </c:pt>
                <c:pt idx="386">
                  <c:v>46065</c:v>
                </c:pt>
                <c:pt idx="387">
                  <c:v>46064</c:v>
                </c:pt>
                <c:pt idx="388">
                  <c:v>46065</c:v>
                </c:pt>
                <c:pt idx="389">
                  <c:v>46065</c:v>
                </c:pt>
                <c:pt idx="390">
                  <c:v>46064</c:v>
                </c:pt>
                <c:pt idx="391">
                  <c:v>46064</c:v>
                </c:pt>
                <c:pt idx="392">
                  <c:v>46064</c:v>
                </c:pt>
                <c:pt idx="393">
                  <c:v>46062</c:v>
                </c:pt>
                <c:pt idx="394">
                  <c:v>46062</c:v>
                </c:pt>
                <c:pt idx="395">
                  <c:v>46066</c:v>
                </c:pt>
                <c:pt idx="396">
                  <c:v>46072</c:v>
                </c:pt>
                <c:pt idx="397">
                  <c:v>46062</c:v>
                </c:pt>
                <c:pt idx="398">
                  <c:v>46063</c:v>
                </c:pt>
                <c:pt idx="399">
                  <c:v>46065</c:v>
                </c:pt>
                <c:pt idx="400">
                  <c:v>46063</c:v>
                </c:pt>
                <c:pt idx="401">
                  <c:v>46083</c:v>
                </c:pt>
                <c:pt idx="402">
                  <c:v>46063</c:v>
                </c:pt>
                <c:pt idx="403">
                  <c:v>46080</c:v>
                </c:pt>
                <c:pt idx="404">
                  <c:v>46064</c:v>
                </c:pt>
                <c:pt idx="405">
                  <c:v>46062</c:v>
                </c:pt>
                <c:pt idx="406">
                  <c:v>46062</c:v>
                </c:pt>
                <c:pt idx="407">
                  <c:v>46062</c:v>
                </c:pt>
                <c:pt idx="408">
                  <c:v>46065</c:v>
                </c:pt>
                <c:pt idx="409">
                  <c:v>46063</c:v>
                </c:pt>
                <c:pt idx="410">
                  <c:v>46072</c:v>
                </c:pt>
                <c:pt idx="411">
                  <c:v>46072</c:v>
                </c:pt>
                <c:pt idx="412">
                  <c:v>46065</c:v>
                </c:pt>
                <c:pt idx="413">
                  <c:v>46065</c:v>
                </c:pt>
                <c:pt idx="414">
                  <c:v>46146</c:v>
                </c:pt>
                <c:pt idx="415">
                  <c:v>46093</c:v>
                </c:pt>
                <c:pt idx="416">
                  <c:v>46077</c:v>
                </c:pt>
                <c:pt idx="417">
                  <c:v>46064</c:v>
                </c:pt>
                <c:pt idx="418">
                  <c:v>46065</c:v>
                </c:pt>
                <c:pt idx="419">
                  <c:v>46066</c:v>
                </c:pt>
                <c:pt idx="420">
                  <c:v>46072</c:v>
                </c:pt>
                <c:pt idx="421">
                  <c:v>46064</c:v>
                </c:pt>
                <c:pt idx="422">
                  <c:v>46064</c:v>
                </c:pt>
                <c:pt idx="423">
                  <c:v>46065</c:v>
                </c:pt>
                <c:pt idx="424">
                  <c:v>46072</c:v>
                </c:pt>
                <c:pt idx="425">
                  <c:v>46073</c:v>
                </c:pt>
                <c:pt idx="427">
                  <c:v>46065</c:v>
                </c:pt>
                <c:pt idx="428">
                  <c:v>46066</c:v>
                </c:pt>
                <c:pt idx="429">
                  <c:v>46072</c:v>
                </c:pt>
                <c:pt idx="430">
                  <c:v>46072</c:v>
                </c:pt>
                <c:pt idx="431">
                  <c:v>46104</c:v>
                </c:pt>
                <c:pt idx="432">
                  <c:v>46073</c:v>
                </c:pt>
                <c:pt idx="434">
                  <c:v>46073</c:v>
                </c:pt>
                <c:pt idx="435">
                  <c:v>46065</c:v>
                </c:pt>
                <c:pt idx="437">
                  <c:v>46072</c:v>
                </c:pt>
                <c:pt idx="438">
                  <c:v>46079</c:v>
                </c:pt>
                <c:pt idx="439">
                  <c:v>46065</c:v>
                </c:pt>
                <c:pt idx="441">
                  <c:v>46072</c:v>
                </c:pt>
                <c:pt idx="442">
                  <c:v>46064</c:v>
                </c:pt>
                <c:pt idx="443">
                  <c:v>46066</c:v>
                </c:pt>
                <c:pt idx="444">
                  <c:v>46064</c:v>
                </c:pt>
                <c:pt idx="445">
                  <c:v>46073</c:v>
                </c:pt>
                <c:pt idx="446">
                  <c:v>46091</c:v>
                </c:pt>
                <c:pt idx="447">
                  <c:v>46080</c:v>
                </c:pt>
                <c:pt idx="448">
                  <c:v>46072</c:v>
                </c:pt>
                <c:pt idx="449">
                  <c:v>46080</c:v>
                </c:pt>
                <c:pt idx="450">
                  <c:v>46080</c:v>
                </c:pt>
                <c:pt idx="451">
                  <c:v>46080</c:v>
                </c:pt>
                <c:pt idx="452">
                  <c:v>46080</c:v>
                </c:pt>
                <c:pt idx="453">
                  <c:v>46080</c:v>
                </c:pt>
                <c:pt idx="454">
                  <c:v>46065</c:v>
                </c:pt>
                <c:pt idx="455">
                  <c:v>46065</c:v>
                </c:pt>
                <c:pt idx="457">
                  <c:v>46066</c:v>
                </c:pt>
                <c:pt idx="458">
                  <c:v>46066</c:v>
                </c:pt>
                <c:pt idx="459">
                  <c:v>46076</c:v>
                </c:pt>
                <c:pt idx="460">
                  <c:v>46076</c:v>
                </c:pt>
                <c:pt idx="461">
                  <c:v>46072</c:v>
                </c:pt>
                <c:pt idx="462">
                  <c:v>46146</c:v>
                </c:pt>
                <c:pt idx="463">
                  <c:v>46072</c:v>
                </c:pt>
                <c:pt idx="464">
                  <c:v>46065</c:v>
                </c:pt>
                <c:pt idx="465">
                  <c:v>46066</c:v>
                </c:pt>
                <c:pt idx="466">
                  <c:v>46066</c:v>
                </c:pt>
                <c:pt idx="467">
                  <c:v>46080</c:v>
                </c:pt>
                <c:pt idx="468">
                  <c:v>46080</c:v>
                </c:pt>
                <c:pt idx="469">
                  <c:v>46080</c:v>
                </c:pt>
                <c:pt idx="470">
                  <c:v>46080</c:v>
                </c:pt>
                <c:pt idx="471">
                  <c:v>46072</c:v>
                </c:pt>
                <c:pt idx="472">
                  <c:v>46072</c:v>
                </c:pt>
                <c:pt idx="473">
                  <c:v>46072</c:v>
                </c:pt>
                <c:pt idx="474">
                  <c:v>46072</c:v>
                </c:pt>
                <c:pt idx="475">
                  <c:v>46072</c:v>
                </c:pt>
                <c:pt idx="477">
                  <c:v>46072</c:v>
                </c:pt>
                <c:pt idx="478">
                  <c:v>46080</c:v>
                </c:pt>
                <c:pt idx="479">
                  <c:v>46080</c:v>
                </c:pt>
                <c:pt idx="481">
                  <c:v>46091</c:v>
                </c:pt>
                <c:pt idx="482">
                  <c:v>46073</c:v>
                </c:pt>
                <c:pt idx="483">
                  <c:v>46080</c:v>
                </c:pt>
                <c:pt idx="484">
                  <c:v>46077</c:v>
                </c:pt>
                <c:pt idx="485">
                  <c:v>46076</c:v>
                </c:pt>
                <c:pt idx="486">
                  <c:v>46073</c:v>
                </c:pt>
                <c:pt idx="487">
                  <c:v>46072</c:v>
                </c:pt>
                <c:pt idx="488">
                  <c:v>46076</c:v>
                </c:pt>
                <c:pt idx="489">
                  <c:v>46100</c:v>
                </c:pt>
                <c:pt idx="490">
                  <c:v>46083</c:v>
                </c:pt>
                <c:pt idx="491">
                  <c:v>46077</c:v>
                </c:pt>
                <c:pt idx="492">
                  <c:v>46077</c:v>
                </c:pt>
                <c:pt idx="493">
                  <c:v>46076</c:v>
                </c:pt>
                <c:pt idx="494">
                  <c:v>46076</c:v>
                </c:pt>
                <c:pt idx="495">
                  <c:v>46077</c:v>
                </c:pt>
                <c:pt idx="496">
                  <c:v>46077</c:v>
                </c:pt>
                <c:pt idx="497">
                  <c:v>46073</c:v>
                </c:pt>
                <c:pt idx="498">
                  <c:v>46077</c:v>
                </c:pt>
                <c:pt idx="499">
                  <c:v>46076</c:v>
                </c:pt>
                <c:pt idx="500">
                  <c:v>46076</c:v>
                </c:pt>
                <c:pt idx="501">
                  <c:v>46076</c:v>
                </c:pt>
                <c:pt idx="502">
                  <c:v>46076</c:v>
                </c:pt>
                <c:pt idx="503">
                  <c:v>46076</c:v>
                </c:pt>
                <c:pt idx="504">
                  <c:v>46077</c:v>
                </c:pt>
                <c:pt idx="505">
                  <c:v>46076</c:v>
                </c:pt>
                <c:pt idx="506">
                  <c:v>46076</c:v>
                </c:pt>
                <c:pt idx="507">
                  <c:v>46076</c:v>
                </c:pt>
                <c:pt idx="508">
                  <c:v>46090</c:v>
                </c:pt>
                <c:pt idx="509">
                  <c:v>46077</c:v>
                </c:pt>
                <c:pt idx="510">
                  <c:v>46100</c:v>
                </c:pt>
                <c:pt idx="511">
                  <c:v>46076</c:v>
                </c:pt>
                <c:pt idx="512">
                  <c:v>46083</c:v>
                </c:pt>
                <c:pt idx="513">
                  <c:v>46083</c:v>
                </c:pt>
                <c:pt idx="514">
                  <c:v>46076</c:v>
                </c:pt>
                <c:pt idx="515">
                  <c:v>46076</c:v>
                </c:pt>
                <c:pt idx="516">
                  <c:v>46076</c:v>
                </c:pt>
                <c:pt idx="517">
                  <c:v>46076</c:v>
                </c:pt>
                <c:pt idx="518">
                  <c:v>46076</c:v>
                </c:pt>
                <c:pt idx="519">
                  <c:v>46085</c:v>
                </c:pt>
                <c:pt idx="520">
                  <c:v>46076</c:v>
                </c:pt>
                <c:pt idx="521">
                  <c:v>46099</c:v>
                </c:pt>
                <c:pt idx="522">
                  <c:v>46079</c:v>
                </c:pt>
                <c:pt idx="523">
                  <c:v>46079</c:v>
                </c:pt>
                <c:pt idx="524">
                  <c:v>46083</c:v>
                </c:pt>
                <c:pt idx="525">
                  <c:v>46085</c:v>
                </c:pt>
                <c:pt idx="526">
                  <c:v>46083</c:v>
                </c:pt>
                <c:pt idx="527">
                  <c:v>46080</c:v>
                </c:pt>
                <c:pt idx="528">
                  <c:v>46079</c:v>
                </c:pt>
                <c:pt idx="529">
                  <c:v>46079</c:v>
                </c:pt>
                <c:pt idx="530">
                  <c:v>46077</c:v>
                </c:pt>
                <c:pt idx="531">
                  <c:v>46077</c:v>
                </c:pt>
                <c:pt idx="532">
                  <c:v>46077</c:v>
                </c:pt>
                <c:pt idx="533">
                  <c:v>46079</c:v>
                </c:pt>
                <c:pt idx="534">
                  <c:v>46080</c:v>
                </c:pt>
                <c:pt idx="535">
                  <c:v>46079</c:v>
                </c:pt>
                <c:pt idx="536">
                  <c:v>46079</c:v>
                </c:pt>
                <c:pt idx="537">
                  <c:v>46079</c:v>
                </c:pt>
                <c:pt idx="538">
                  <c:v>46079</c:v>
                </c:pt>
                <c:pt idx="539">
                  <c:v>46079</c:v>
                </c:pt>
                <c:pt idx="541">
                  <c:v>46083</c:v>
                </c:pt>
                <c:pt idx="542">
                  <c:v>46083</c:v>
                </c:pt>
                <c:pt idx="543">
                  <c:v>46085</c:v>
                </c:pt>
                <c:pt idx="544">
                  <c:v>46080</c:v>
                </c:pt>
                <c:pt idx="545">
                  <c:v>46079</c:v>
                </c:pt>
                <c:pt idx="546">
                  <c:v>46085</c:v>
                </c:pt>
                <c:pt idx="547">
                  <c:v>46080</c:v>
                </c:pt>
                <c:pt idx="548">
                  <c:v>46080</c:v>
                </c:pt>
                <c:pt idx="549">
                  <c:v>46084</c:v>
                </c:pt>
                <c:pt idx="550">
                  <c:v>46079</c:v>
                </c:pt>
                <c:pt idx="551">
                  <c:v>46079</c:v>
                </c:pt>
                <c:pt idx="552">
                  <c:v>46083</c:v>
                </c:pt>
                <c:pt idx="553">
                  <c:v>46079</c:v>
                </c:pt>
                <c:pt idx="554">
                  <c:v>46079</c:v>
                </c:pt>
                <c:pt idx="555">
                  <c:v>46079</c:v>
                </c:pt>
                <c:pt idx="556">
                  <c:v>46084</c:v>
                </c:pt>
                <c:pt idx="557">
                  <c:v>46080</c:v>
                </c:pt>
                <c:pt idx="558">
                  <c:v>46080</c:v>
                </c:pt>
                <c:pt idx="559">
                  <c:v>46080</c:v>
                </c:pt>
                <c:pt idx="560">
                  <c:v>46080</c:v>
                </c:pt>
                <c:pt idx="561">
                  <c:v>46084</c:v>
                </c:pt>
                <c:pt idx="562">
                  <c:v>46084</c:v>
                </c:pt>
                <c:pt idx="563">
                  <c:v>46083</c:v>
                </c:pt>
                <c:pt idx="564">
                  <c:v>46084</c:v>
                </c:pt>
                <c:pt idx="565">
                  <c:v>46080</c:v>
                </c:pt>
                <c:pt idx="566">
                  <c:v>46080</c:v>
                </c:pt>
                <c:pt idx="567">
                  <c:v>46080</c:v>
                </c:pt>
                <c:pt idx="568">
                  <c:v>46080</c:v>
                </c:pt>
                <c:pt idx="569">
                  <c:v>46083</c:v>
                </c:pt>
                <c:pt idx="570">
                  <c:v>46080</c:v>
                </c:pt>
                <c:pt idx="571">
                  <c:v>46084</c:v>
                </c:pt>
                <c:pt idx="572">
                  <c:v>46080</c:v>
                </c:pt>
                <c:pt idx="573">
                  <c:v>46083</c:v>
                </c:pt>
                <c:pt idx="574">
                  <c:v>46080</c:v>
                </c:pt>
                <c:pt idx="575">
                  <c:v>46083</c:v>
                </c:pt>
                <c:pt idx="576">
                  <c:v>46079</c:v>
                </c:pt>
                <c:pt idx="579">
                  <c:v>46085</c:v>
                </c:pt>
                <c:pt idx="580">
                  <c:v>46084</c:v>
                </c:pt>
                <c:pt idx="581">
                  <c:v>46085</c:v>
                </c:pt>
                <c:pt idx="582">
                  <c:v>46085</c:v>
                </c:pt>
                <c:pt idx="583">
                  <c:v>46080</c:v>
                </c:pt>
                <c:pt idx="584">
                  <c:v>46080</c:v>
                </c:pt>
                <c:pt idx="585">
                  <c:v>46083</c:v>
                </c:pt>
                <c:pt idx="586">
                  <c:v>46083</c:v>
                </c:pt>
                <c:pt idx="587">
                  <c:v>46083</c:v>
                </c:pt>
                <c:pt idx="588">
                  <c:v>46083</c:v>
                </c:pt>
                <c:pt idx="589">
                  <c:v>46080</c:v>
                </c:pt>
                <c:pt idx="590">
                  <c:v>46084</c:v>
                </c:pt>
                <c:pt idx="591">
                  <c:v>46084</c:v>
                </c:pt>
                <c:pt idx="592">
                  <c:v>46084</c:v>
                </c:pt>
                <c:pt idx="593">
                  <c:v>46086</c:v>
                </c:pt>
                <c:pt idx="594">
                  <c:v>46093</c:v>
                </c:pt>
                <c:pt idx="595">
                  <c:v>46085</c:v>
                </c:pt>
                <c:pt idx="596">
                  <c:v>46084</c:v>
                </c:pt>
                <c:pt idx="597">
                  <c:v>46084</c:v>
                </c:pt>
                <c:pt idx="598">
                  <c:v>46083</c:v>
                </c:pt>
                <c:pt idx="599">
                  <c:v>46085</c:v>
                </c:pt>
                <c:pt idx="600">
                  <c:v>46085</c:v>
                </c:pt>
                <c:pt idx="601">
                  <c:v>46085</c:v>
                </c:pt>
                <c:pt idx="602">
                  <c:v>46084</c:v>
                </c:pt>
                <c:pt idx="603">
                  <c:v>46085</c:v>
                </c:pt>
                <c:pt idx="604">
                  <c:v>46084</c:v>
                </c:pt>
                <c:pt idx="605">
                  <c:v>46085</c:v>
                </c:pt>
                <c:pt idx="606">
                  <c:v>46085</c:v>
                </c:pt>
                <c:pt idx="607">
                  <c:v>46085</c:v>
                </c:pt>
                <c:pt idx="608">
                  <c:v>46084</c:v>
                </c:pt>
                <c:pt idx="609">
                  <c:v>46084</c:v>
                </c:pt>
                <c:pt idx="610">
                  <c:v>46093</c:v>
                </c:pt>
                <c:pt idx="611">
                  <c:v>46084</c:v>
                </c:pt>
                <c:pt idx="612">
                  <c:v>46092</c:v>
                </c:pt>
                <c:pt idx="613">
                  <c:v>46085</c:v>
                </c:pt>
                <c:pt idx="614">
                  <c:v>46084</c:v>
                </c:pt>
                <c:pt idx="615">
                  <c:v>46084</c:v>
                </c:pt>
                <c:pt idx="616">
                  <c:v>46085</c:v>
                </c:pt>
                <c:pt idx="617">
                  <c:v>46087</c:v>
                </c:pt>
                <c:pt idx="618">
                  <c:v>46087</c:v>
                </c:pt>
                <c:pt idx="619">
                  <c:v>46087</c:v>
                </c:pt>
                <c:pt idx="620">
                  <c:v>46085</c:v>
                </c:pt>
                <c:pt idx="621">
                  <c:v>46085</c:v>
                </c:pt>
                <c:pt idx="622">
                  <c:v>46086</c:v>
                </c:pt>
                <c:pt idx="623">
                  <c:v>46084</c:v>
                </c:pt>
                <c:pt idx="624">
                  <c:v>46085</c:v>
                </c:pt>
                <c:pt idx="625">
                  <c:v>46084</c:v>
                </c:pt>
                <c:pt idx="626">
                  <c:v>46085</c:v>
                </c:pt>
                <c:pt idx="627">
                  <c:v>46084</c:v>
                </c:pt>
                <c:pt idx="628">
                  <c:v>46085</c:v>
                </c:pt>
                <c:pt idx="629">
                  <c:v>46086</c:v>
                </c:pt>
                <c:pt idx="630">
                  <c:v>46086</c:v>
                </c:pt>
                <c:pt idx="631">
                  <c:v>46086</c:v>
                </c:pt>
                <c:pt idx="632">
                  <c:v>46086</c:v>
                </c:pt>
                <c:pt idx="633">
                  <c:v>46086</c:v>
                </c:pt>
                <c:pt idx="634">
                  <c:v>46086</c:v>
                </c:pt>
                <c:pt idx="635">
                  <c:v>46086</c:v>
                </c:pt>
                <c:pt idx="636">
                  <c:v>46086</c:v>
                </c:pt>
                <c:pt idx="637">
                  <c:v>46085</c:v>
                </c:pt>
                <c:pt idx="638">
                  <c:v>46085</c:v>
                </c:pt>
                <c:pt idx="639">
                  <c:v>46085</c:v>
                </c:pt>
                <c:pt idx="640">
                  <c:v>46084</c:v>
                </c:pt>
                <c:pt idx="641">
                  <c:v>46084</c:v>
                </c:pt>
                <c:pt idx="642">
                  <c:v>46084</c:v>
                </c:pt>
                <c:pt idx="643">
                  <c:v>46084</c:v>
                </c:pt>
                <c:pt idx="644">
                  <c:v>46086</c:v>
                </c:pt>
                <c:pt idx="645">
                  <c:v>46085</c:v>
                </c:pt>
                <c:pt idx="646">
                  <c:v>46085</c:v>
                </c:pt>
                <c:pt idx="647">
                  <c:v>46085</c:v>
                </c:pt>
                <c:pt idx="648">
                  <c:v>46085</c:v>
                </c:pt>
                <c:pt idx="649">
                  <c:v>46086</c:v>
                </c:pt>
                <c:pt idx="650">
                  <c:v>46087</c:v>
                </c:pt>
                <c:pt idx="651">
                  <c:v>46086</c:v>
                </c:pt>
                <c:pt idx="652">
                  <c:v>46091</c:v>
                </c:pt>
                <c:pt idx="653">
                  <c:v>46086</c:v>
                </c:pt>
                <c:pt idx="654">
                  <c:v>46093</c:v>
                </c:pt>
                <c:pt idx="655">
                  <c:v>46108</c:v>
                </c:pt>
                <c:pt idx="656">
                  <c:v>46087</c:v>
                </c:pt>
                <c:pt idx="657">
                  <c:v>46092</c:v>
                </c:pt>
                <c:pt idx="658">
                  <c:v>46091</c:v>
                </c:pt>
                <c:pt idx="659">
                  <c:v>46086</c:v>
                </c:pt>
                <c:pt idx="660">
                  <c:v>46087</c:v>
                </c:pt>
                <c:pt idx="661">
                  <c:v>46086</c:v>
                </c:pt>
                <c:pt idx="662">
                  <c:v>46086</c:v>
                </c:pt>
                <c:pt idx="663">
                  <c:v>46091</c:v>
                </c:pt>
                <c:pt idx="664">
                  <c:v>46092</c:v>
                </c:pt>
                <c:pt idx="665">
                  <c:v>46086</c:v>
                </c:pt>
                <c:pt idx="666">
                  <c:v>44989</c:v>
                </c:pt>
                <c:pt idx="667">
                  <c:v>46086</c:v>
                </c:pt>
                <c:pt idx="668">
                  <c:v>46086</c:v>
                </c:pt>
                <c:pt idx="669">
                  <c:v>46086</c:v>
                </c:pt>
                <c:pt idx="670">
                  <c:v>46086</c:v>
                </c:pt>
                <c:pt idx="671">
                  <c:v>46087</c:v>
                </c:pt>
                <c:pt idx="672">
                  <c:v>46087</c:v>
                </c:pt>
                <c:pt idx="673">
                  <c:v>46087</c:v>
                </c:pt>
                <c:pt idx="674">
                  <c:v>46087</c:v>
                </c:pt>
                <c:pt idx="675">
                  <c:v>46090</c:v>
                </c:pt>
                <c:pt idx="676">
                  <c:v>46087</c:v>
                </c:pt>
                <c:pt idx="677">
                  <c:v>46090</c:v>
                </c:pt>
                <c:pt idx="678">
                  <c:v>46090</c:v>
                </c:pt>
                <c:pt idx="679">
                  <c:v>46086</c:v>
                </c:pt>
                <c:pt idx="680">
                  <c:v>46087</c:v>
                </c:pt>
                <c:pt idx="681">
                  <c:v>46087</c:v>
                </c:pt>
                <c:pt idx="682">
                  <c:v>46087</c:v>
                </c:pt>
                <c:pt idx="683">
                  <c:v>46087</c:v>
                </c:pt>
                <c:pt idx="684">
                  <c:v>46087</c:v>
                </c:pt>
                <c:pt idx="685">
                  <c:v>46090</c:v>
                </c:pt>
                <c:pt idx="686">
                  <c:v>46090</c:v>
                </c:pt>
                <c:pt idx="687">
                  <c:v>46090</c:v>
                </c:pt>
                <c:pt idx="688">
                  <c:v>46090</c:v>
                </c:pt>
                <c:pt idx="689">
                  <c:v>46086</c:v>
                </c:pt>
                <c:pt idx="690">
                  <c:v>46086</c:v>
                </c:pt>
                <c:pt idx="691">
                  <c:v>46086</c:v>
                </c:pt>
                <c:pt idx="692">
                  <c:v>46090</c:v>
                </c:pt>
                <c:pt idx="693">
                  <c:v>46087</c:v>
                </c:pt>
                <c:pt idx="694">
                  <c:v>46090</c:v>
                </c:pt>
                <c:pt idx="695">
                  <c:v>46090</c:v>
                </c:pt>
                <c:pt idx="696">
                  <c:v>46098</c:v>
                </c:pt>
                <c:pt idx="697">
                  <c:v>46098</c:v>
                </c:pt>
                <c:pt idx="698">
                  <c:v>46094</c:v>
                </c:pt>
                <c:pt idx="699">
                  <c:v>46092</c:v>
                </c:pt>
                <c:pt idx="700">
                  <c:v>46091</c:v>
                </c:pt>
                <c:pt idx="701">
                  <c:v>46094</c:v>
                </c:pt>
                <c:pt idx="702">
                  <c:v>46092</c:v>
                </c:pt>
                <c:pt idx="703">
                  <c:v>46087</c:v>
                </c:pt>
                <c:pt idx="704">
                  <c:v>46094</c:v>
                </c:pt>
                <c:pt idx="705">
                  <c:v>46090</c:v>
                </c:pt>
                <c:pt idx="706">
                  <c:v>46087</c:v>
                </c:pt>
                <c:pt idx="707">
                  <c:v>46090</c:v>
                </c:pt>
                <c:pt idx="708">
                  <c:v>46097</c:v>
                </c:pt>
                <c:pt idx="709">
                  <c:v>46087</c:v>
                </c:pt>
                <c:pt idx="710">
                  <c:v>46087</c:v>
                </c:pt>
                <c:pt idx="711">
                  <c:v>46090</c:v>
                </c:pt>
                <c:pt idx="712">
                  <c:v>46087</c:v>
                </c:pt>
                <c:pt idx="713">
                  <c:v>46091</c:v>
                </c:pt>
                <c:pt idx="714">
                  <c:v>46097</c:v>
                </c:pt>
                <c:pt idx="715">
                  <c:v>46097</c:v>
                </c:pt>
                <c:pt idx="716">
                  <c:v>46090</c:v>
                </c:pt>
                <c:pt idx="717">
                  <c:v>46090</c:v>
                </c:pt>
                <c:pt idx="718">
                  <c:v>46090</c:v>
                </c:pt>
                <c:pt idx="719">
                  <c:v>46090</c:v>
                </c:pt>
                <c:pt idx="720">
                  <c:v>46093</c:v>
                </c:pt>
                <c:pt idx="721">
                  <c:v>46087</c:v>
                </c:pt>
                <c:pt idx="722">
                  <c:v>46090</c:v>
                </c:pt>
                <c:pt idx="723">
                  <c:v>46087</c:v>
                </c:pt>
                <c:pt idx="724">
                  <c:v>46091</c:v>
                </c:pt>
                <c:pt idx="725">
                  <c:v>46097</c:v>
                </c:pt>
                <c:pt idx="726">
                  <c:v>46087</c:v>
                </c:pt>
                <c:pt idx="727">
                  <c:v>46086</c:v>
                </c:pt>
                <c:pt idx="728">
                  <c:v>46093</c:v>
                </c:pt>
                <c:pt idx="729">
                  <c:v>46093</c:v>
                </c:pt>
                <c:pt idx="730">
                  <c:v>46093</c:v>
                </c:pt>
                <c:pt idx="731">
                  <c:v>46091</c:v>
                </c:pt>
                <c:pt idx="732">
                  <c:v>46090</c:v>
                </c:pt>
                <c:pt idx="733">
                  <c:v>46090</c:v>
                </c:pt>
                <c:pt idx="734">
                  <c:v>46087</c:v>
                </c:pt>
                <c:pt idx="735">
                  <c:v>46091</c:v>
                </c:pt>
                <c:pt idx="736">
                  <c:v>46091</c:v>
                </c:pt>
                <c:pt idx="737">
                  <c:v>46091</c:v>
                </c:pt>
                <c:pt idx="738">
                  <c:v>46090</c:v>
                </c:pt>
                <c:pt idx="739">
                  <c:v>46090</c:v>
                </c:pt>
                <c:pt idx="740">
                  <c:v>46090</c:v>
                </c:pt>
                <c:pt idx="741">
                  <c:v>46093</c:v>
                </c:pt>
                <c:pt idx="742">
                  <c:v>46092</c:v>
                </c:pt>
                <c:pt idx="743">
                  <c:v>46091</c:v>
                </c:pt>
                <c:pt idx="744">
                  <c:v>46093</c:v>
                </c:pt>
                <c:pt idx="745">
                  <c:v>46112</c:v>
                </c:pt>
                <c:pt idx="746">
                  <c:v>46099</c:v>
                </c:pt>
                <c:pt idx="747">
                  <c:v>46093</c:v>
                </c:pt>
                <c:pt idx="748">
                  <c:v>46100</c:v>
                </c:pt>
                <c:pt idx="749">
                  <c:v>46093</c:v>
                </c:pt>
                <c:pt idx="750">
                  <c:v>46091</c:v>
                </c:pt>
                <c:pt idx="751">
                  <c:v>46087</c:v>
                </c:pt>
                <c:pt idx="752">
                  <c:v>46093</c:v>
                </c:pt>
                <c:pt idx="753">
                  <c:v>46093</c:v>
                </c:pt>
                <c:pt idx="754">
                  <c:v>46091</c:v>
                </c:pt>
                <c:pt idx="755">
                  <c:v>46091</c:v>
                </c:pt>
                <c:pt idx="756">
                  <c:v>46091</c:v>
                </c:pt>
                <c:pt idx="757">
                  <c:v>46091</c:v>
                </c:pt>
                <c:pt idx="758">
                  <c:v>46112</c:v>
                </c:pt>
                <c:pt idx="759">
                  <c:v>46129</c:v>
                </c:pt>
                <c:pt idx="760">
                  <c:v>46112</c:v>
                </c:pt>
                <c:pt idx="761">
                  <c:v>46112</c:v>
                </c:pt>
                <c:pt idx="762">
                  <c:v>46112</c:v>
                </c:pt>
                <c:pt idx="763">
                  <c:v>46091</c:v>
                </c:pt>
                <c:pt idx="764">
                  <c:v>46091</c:v>
                </c:pt>
                <c:pt idx="765">
                  <c:v>46093</c:v>
                </c:pt>
                <c:pt idx="766">
                  <c:v>0</c:v>
                </c:pt>
                <c:pt idx="767">
                  <c:v>46091</c:v>
                </c:pt>
                <c:pt idx="768">
                  <c:v>46091</c:v>
                </c:pt>
                <c:pt idx="769">
                  <c:v>46091</c:v>
                </c:pt>
                <c:pt idx="770">
                  <c:v>46092</c:v>
                </c:pt>
                <c:pt idx="771">
                  <c:v>46091</c:v>
                </c:pt>
                <c:pt idx="772">
                  <c:v>46091</c:v>
                </c:pt>
                <c:pt idx="773">
                  <c:v>46092</c:v>
                </c:pt>
                <c:pt idx="774">
                  <c:v>46092</c:v>
                </c:pt>
                <c:pt idx="775">
                  <c:v>46097</c:v>
                </c:pt>
                <c:pt idx="776">
                  <c:v>46097</c:v>
                </c:pt>
                <c:pt idx="777">
                  <c:v>46092</c:v>
                </c:pt>
                <c:pt idx="778">
                  <c:v>46112</c:v>
                </c:pt>
                <c:pt idx="779">
                  <c:v>46140</c:v>
                </c:pt>
                <c:pt idx="780">
                  <c:v>46099</c:v>
                </c:pt>
                <c:pt idx="781">
                  <c:v>46127</c:v>
                </c:pt>
                <c:pt idx="782">
                  <c:v>46100</c:v>
                </c:pt>
                <c:pt idx="783">
                  <c:v>46093</c:v>
                </c:pt>
                <c:pt idx="784">
                  <c:v>46093</c:v>
                </c:pt>
                <c:pt idx="785">
                  <c:v>46099</c:v>
                </c:pt>
                <c:pt idx="786">
                  <c:v>46093</c:v>
                </c:pt>
                <c:pt idx="787">
                  <c:v>46093</c:v>
                </c:pt>
                <c:pt idx="788">
                  <c:v>46092</c:v>
                </c:pt>
                <c:pt idx="789">
                  <c:v>46098</c:v>
                </c:pt>
                <c:pt idx="790">
                  <c:v>46098</c:v>
                </c:pt>
                <c:pt idx="791">
                  <c:v>46098</c:v>
                </c:pt>
                <c:pt idx="792">
                  <c:v>46098</c:v>
                </c:pt>
                <c:pt idx="793">
                  <c:v>46098</c:v>
                </c:pt>
                <c:pt idx="794">
                  <c:v>46094</c:v>
                </c:pt>
                <c:pt idx="795">
                  <c:v>46099</c:v>
                </c:pt>
                <c:pt idx="796">
                  <c:v>46099</c:v>
                </c:pt>
                <c:pt idx="797">
                  <c:v>46093</c:v>
                </c:pt>
                <c:pt idx="798">
                  <c:v>46091</c:v>
                </c:pt>
                <c:pt idx="799">
                  <c:v>46092</c:v>
                </c:pt>
                <c:pt idx="800">
                  <c:v>46094</c:v>
                </c:pt>
                <c:pt idx="801">
                  <c:v>46093</c:v>
                </c:pt>
                <c:pt idx="802">
                  <c:v>46111</c:v>
                </c:pt>
                <c:pt idx="803">
                  <c:v>46097</c:v>
                </c:pt>
                <c:pt idx="804">
                  <c:v>46097</c:v>
                </c:pt>
                <c:pt idx="805">
                  <c:v>46098</c:v>
                </c:pt>
                <c:pt idx="806">
                  <c:v>46094</c:v>
                </c:pt>
                <c:pt idx="807">
                  <c:v>46094</c:v>
                </c:pt>
                <c:pt idx="808">
                  <c:v>46097</c:v>
                </c:pt>
                <c:pt idx="809">
                  <c:v>46140</c:v>
                </c:pt>
                <c:pt idx="810">
                  <c:v>46094</c:v>
                </c:pt>
                <c:pt idx="811">
                  <c:v>46097</c:v>
                </c:pt>
                <c:pt idx="812">
                  <c:v>46097</c:v>
                </c:pt>
                <c:pt idx="813">
                  <c:v>46097</c:v>
                </c:pt>
                <c:pt idx="814">
                  <c:v>46097</c:v>
                </c:pt>
                <c:pt idx="815">
                  <c:v>46097</c:v>
                </c:pt>
                <c:pt idx="816">
                  <c:v>46107</c:v>
                </c:pt>
                <c:pt idx="817">
                  <c:v>46093</c:v>
                </c:pt>
                <c:pt idx="818">
                  <c:v>46099</c:v>
                </c:pt>
                <c:pt idx="819">
                  <c:v>46098</c:v>
                </c:pt>
                <c:pt idx="820">
                  <c:v>46098</c:v>
                </c:pt>
                <c:pt idx="821">
                  <c:v>46098</c:v>
                </c:pt>
                <c:pt idx="822">
                  <c:v>46098</c:v>
                </c:pt>
                <c:pt idx="823">
                  <c:v>46098</c:v>
                </c:pt>
                <c:pt idx="824">
                  <c:v>46098</c:v>
                </c:pt>
                <c:pt idx="825">
                  <c:v>46098</c:v>
                </c:pt>
                <c:pt idx="826">
                  <c:v>46099</c:v>
                </c:pt>
                <c:pt idx="827">
                  <c:v>46094</c:v>
                </c:pt>
                <c:pt idx="828">
                  <c:v>46094</c:v>
                </c:pt>
                <c:pt idx="829">
                  <c:v>46094</c:v>
                </c:pt>
                <c:pt idx="830">
                  <c:v>46097</c:v>
                </c:pt>
                <c:pt idx="831">
                  <c:v>46101</c:v>
                </c:pt>
                <c:pt idx="832">
                  <c:v>46097</c:v>
                </c:pt>
                <c:pt idx="833">
                  <c:v>46100</c:v>
                </c:pt>
                <c:pt idx="834">
                  <c:v>46104</c:v>
                </c:pt>
                <c:pt idx="835">
                  <c:v>46097</c:v>
                </c:pt>
                <c:pt idx="836">
                  <c:v>46097</c:v>
                </c:pt>
                <c:pt idx="837">
                  <c:v>46098</c:v>
                </c:pt>
                <c:pt idx="838">
                  <c:v>46094</c:v>
                </c:pt>
                <c:pt idx="839">
                  <c:v>46094</c:v>
                </c:pt>
                <c:pt idx="840">
                  <c:v>46094</c:v>
                </c:pt>
                <c:pt idx="841">
                  <c:v>46098</c:v>
                </c:pt>
                <c:pt idx="842">
                  <c:v>46101</c:v>
                </c:pt>
                <c:pt idx="843">
                  <c:v>46099</c:v>
                </c:pt>
                <c:pt idx="844">
                  <c:v>46097</c:v>
                </c:pt>
                <c:pt idx="845">
                  <c:v>46094</c:v>
                </c:pt>
                <c:pt idx="846">
                  <c:v>46094</c:v>
                </c:pt>
                <c:pt idx="847">
                  <c:v>46094</c:v>
                </c:pt>
                <c:pt idx="848">
                  <c:v>46094</c:v>
                </c:pt>
                <c:pt idx="849">
                  <c:v>46098</c:v>
                </c:pt>
                <c:pt idx="850">
                  <c:v>46098</c:v>
                </c:pt>
                <c:pt idx="851">
                  <c:v>46101</c:v>
                </c:pt>
                <c:pt idx="852">
                  <c:v>46100</c:v>
                </c:pt>
                <c:pt idx="853">
                  <c:v>46098</c:v>
                </c:pt>
                <c:pt idx="854">
                  <c:v>46099</c:v>
                </c:pt>
                <c:pt idx="855">
                  <c:v>46098</c:v>
                </c:pt>
                <c:pt idx="856">
                  <c:v>46094</c:v>
                </c:pt>
                <c:pt idx="857">
                  <c:v>46120</c:v>
                </c:pt>
                <c:pt idx="858">
                  <c:v>46097</c:v>
                </c:pt>
                <c:pt idx="859">
                  <c:v>46101</c:v>
                </c:pt>
                <c:pt idx="860">
                  <c:v>46101</c:v>
                </c:pt>
                <c:pt idx="861">
                  <c:v>46120</c:v>
                </c:pt>
                <c:pt idx="862">
                  <c:v>46099</c:v>
                </c:pt>
                <c:pt idx="863">
                  <c:v>46099</c:v>
                </c:pt>
                <c:pt idx="864">
                  <c:v>46099</c:v>
                </c:pt>
                <c:pt idx="865">
                  <c:v>46099</c:v>
                </c:pt>
                <c:pt idx="866">
                  <c:v>46099</c:v>
                </c:pt>
                <c:pt idx="867">
                  <c:v>46100</c:v>
                </c:pt>
                <c:pt idx="868">
                  <c:v>46097</c:v>
                </c:pt>
                <c:pt idx="869">
                  <c:v>0</c:v>
                </c:pt>
                <c:pt idx="870">
                  <c:v>46134</c:v>
                </c:pt>
                <c:pt idx="871">
                  <c:v>46129</c:v>
                </c:pt>
                <c:pt idx="872">
                  <c:v>46129</c:v>
                </c:pt>
                <c:pt idx="873">
                  <c:v>46097</c:v>
                </c:pt>
                <c:pt idx="874">
                  <c:v>46098</c:v>
                </c:pt>
                <c:pt idx="875">
                  <c:v>46097</c:v>
                </c:pt>
                <c:pt idx="876">
                  <c:v>46098</c:v>
                </c:pt>
                <c:pt idx="877">
                  <c:v>46098</c:v>
                </c:pt>
                <c:pt idx="878">
                  <c:v>46100</c:v>
                </c:pt>
                <c:pt idx="879">
                  <c:v>46099</c:v>
                </c:pt>
                <c:pt idx="880">
                  <c:v>46120</c:v>
                </c:pt>
                <c:pt idx="881">
                  <c:v>46099</c:v>
                </c:pt>
                <c:pt idx="882">
                  <c:v>46099</c:v>
                </c:pt>
                <c:pt idx="883">
                  <c:v>46098</c:v>
                </c:pt>
                <c:pt idx="884">
                  <c:v>46101</c:v>
                </c:pt>
                <c:pt idx="885">
                  <c:v>46097</c:v>
                </c:pt>
                <c:pt idx="886">
                  <c:v>46099</c:v>
                </c:pt>
                <c:pt idx="887">
                  <c:v>46105</c:v>
                </c:pt>
                <c:pt idx="888">
                  <c:v>46146</c:v>
                </c:pt>
                <c:pt idx="889">
                  <c:v>46101</c:v>
                </c:pt>
                <c:pt idx="890">
                  <c:v>46106</c:v>
                </c:pt>
                <c:pt idx="891">
                  <c:v>46112</c:v>
                </c:pt>
                <c:pt idx="892">
                  <c:v>46099</c:v>
                </c:pt>
                <c:pt idx="893">
                  <c:v>46099</c:v>
                </c:pt>
                <c:pt idx="894">
                  <c:v>46099</c:v>
                </c:pt>
                <c:pt idx="895">
                  <c:v>46099</c:v>
                </c:pt>
                <c:pt idx="896">
                  <c:v>46100</c:v>
                </c:pt>
                <c:pt idx="897">
                  <c:v>46099</c:v>
                </c:pt>
                <c:pt idx="898">
                  <c:v>46099</c:v>
                </c:pt>
                <c:pt idx="899">
                  <c:v>46099</c:v>
                </c:pt>
                <c:pt idx="900">
                  <c:v>46099</c:v>
                </c:pt>
                <c:pt idx="901">
                  <c:v>46099</c:v>
                </c:pt>
                <c:pt idx="902">
                  <c:v>46098</c:v>
                </c:pt>
                <c:pt idx="903">
                  <c:v>46099</c:v>
                </c:pt>
                <c:pt idx="904">
                  <c:v>46099</c:v>
                </c:pt>
                <c:pt idx="905">
                  <c:v>46101</c:v>
                </c:pt>
                <c:pt idx="906">
                  <c:v>46100</c:v>
                </c:pt>
                <c:pt idx="907">
                  <c:v>46100</c:v>
                </c:pt>
                <c:pt idx="908">
                  <c:v>46100</c:v>
                </c:pt>
                <c:pt idx="909">
                  <c:v>46101</c:v>
                </c:pt>
                <c:pt idx="910">
                  <c:v>46100</c:v>
                </c:pt>
                <c:pt idx="911">
                  <c:v>46101</c:v>
                </c:pt>
                <c:pt idx="912">
                  <c:v>46101</c:v>
                </c:pt>
                <c:pt idx="913">
                  <c:v>46108</c:v>
                </c:pt>
                <c:pt idx="914">
                  <c:v>46100</c:v>
                </c:pt>
                <c:pt idx="915">
                  <c:v>46113</c:v>
                </c:pt>
                <c:pt idx="916">
                  <c:v>46105</c:v>
                </c:pt>
                <c:pt idx="917">
                  <c:v>46100</c:v>
                </c:pt>
                <c:pt idx="918">
                  <c:v>46105</c:v>
                </c:pt>
                <c:pt idx="919">
                  <c:v>46126</c:v>
                </c:pt>
                <c:pt idx="920">
                  <c:v>46105</c:v>
                </c:pt>
                <c:pt idx="921">
                  <c:v>46100</c:v>
                </c:pt>
                <c:pt idx="922">
                  <c:v>46105</c:v>
                </c:pt>
                <c:pt idx="923">
                  <c:v>46100</c:v>
                </c:pt>
                <c:pt idx="924">
                  <c:v>46160</c:v>
                </c:pt>
                <c:pt idx="925">
                  <c:v>46101</c:v>
                </c:pt>
                <c:pt idx="926">
                  <c:v>46100</c:v>
                </c:pt>
                <c:pt idx="927">
                  <c:v>46100</c:v>
                </c:pt>
                <c:pt idx="928">
                  <c:v>46100</c:v>
                </c:pt>
                <c:pt idx="929">
                  <c:v>46099</c:v>
                </c:pt>
                <c:pt idx="930">
                  <c:v>46099</c:v>
                </c:pt>
                <c:pt idx="931">
                  <c:v>46101</c:v>
                </c:pt>
                <c:pt idx="932">
                  <c:v>46108</c:v>
                </c:pt>
                <c:pt idx="933">
                  <c:v>46108</c:v>
                </c:pt>
                <c:pt idx="934">
                  <c:v>46106</c:v>
                </c:pt>
                <c:pt idx="935">
                  <c:v>46106</c:v>
                </c:pt>
                <c:pt idx="937">
                  <c:v>46099</c:v>
                </c:pt>
                <c:pt idx="938">
                  <c:v>46100</c:v>
                </c:pt>
                <c:pt idx="939">
                  <c:v>46100</c:v>
                </c:pt>
                <c:pt idx="940">
                  <c:v>46104</c:v>
                </c:pt>
                <c:pt idx="941">
                  <c:v>46100</c:v>
                </c:pt>
                <c:pt idx="942">
                  <c:v>46106</c:v>
                </c:pt>
                <c:pt idx="943">
                  <c:v>46108</c:v>
                </c:pt>
                <c:pt idx="944">
                  <c:v>46108</c:v>
                </c:pt>
                <c:pt idx="945">
                  <c:v>46108</c:v>
                </c:pt>
                <c:pt idx="946">
                  <c:v>0</c:v>
                </c:pt>
                <c:pt idx="947">
                  <c:v>46101</c:v>
                </c:pt>
                <c:pt idx="948">
                  <c:v>46100</c:v>
                </c:pt>
                <c:pt idx="949">
                  <c:v>46101</c:v>
                </c:pt>
                <c:pt idx="950">
                  <c:v>46101</c:v>
                </c:pt>
                <c:pt idx="951">
                  <c:v>46105</c:v>
                </c:pt>
                <c:pt idx="952">
                  <c:v>46100</c:v>
                </c:pt>
                <c:pt idx="953">
                  <c:v>46104</c:v>
                </c:pt>
                <c:pt idx="954">
                  <c:v>46104</c:v>
                </c:pt>
                <c:pt idx="955">
                  <c:v>46196</c:v>
                </c:pt>
                <c:pt idx="956">
                  <c:v>46108</c:v>
                </c:pt>
                <c:pt idx="957">
                  <c:v>46196</c:v>
                </c:pt>
                <c:pt idx="958">
                  <c:v>46108</c:v>
                </c:pt>
                <c:pt idx="959">
                  <c:v>46099</c:v>
                </c:pt>
                <c:pt idx="960">
                  <c:v>46099</c:v>
                </c:pt>
                <c:pt idx="961">
                  <c:v>46099</c:v>
                </c:pt>
                <c:pt idx="962">
                  <c:v>46099</c:v>
                </c:pt>
                <c:pt idx="963">
                  <c:v>46104</c:v>
                </c:pt>
                <c:pt idx="964">
                  <c:v>46101</c:v>
                </c:pt>
                <c:pt idx="965">
                  <c:v>46101</c:v>
                </c:pt>
                <c:pt idx="966">
                  <c:v>46101</c:v>
                </c:pt>
                <c:pt idx="967">
                  <c:v>46101</c:v>
                </c:pt>
                <c:pt idx="968">
                  <c:v>46106</c:v>
                </c:pt>
                <c:pt idx="969">
                  <c:v>46101</c:v>
                </c:pt>
                <c:pt idx="970">
                  <c:v>46101</c:v>
                </c:pt>
                <c:pt idx="971">
                  <c:v>46108</c:v>
                </c:pt>
                <c:pt idx="972">
                  <c:v>46108</c:v>
                </c:pt>
                <c:pt idx="973">
                  <c:v>46101</c:v>
                </c:pt>
                <c:pt idx="974">
                  <c:v>46104</c:v>
                </c:pt>
                <c:pt idx="975">
                  <c:v>46101</c:v>
                </c:pt>
                <c:pt idx="976">
                  <c:v>46101</c:v>
                </c:pt>
                <c:pt idx="977">
                  <c:v>46104</c:v>
                </c:pt>
                <c:pt idx="978">
                  <c:v>46105</c:v>
                </c:pt>
                <c:pt idx="980">
                  <c:v>46104</c:v>
                </c:pt>
                <c:pt idx="981">
                  <c:v>46101</c:v>
                </c:pt>
                <c:pt idx="982">
                  <c:v>46101</c:v>
                </c:pt>
                <c:pt idx="983">
                  <c:v>46101</c:v>
                </c:pt>
                <c:pt idx="985">
                  <c:v>46100</c:v>
                </c:pt>
                <c:pt idx="986">
                  <c:v>46105</c:v>
                </c:pt>
                <c:pt idx="987">
                  <c:v>46104</c:v>
                </c:pt>
                <c:pt idx="988">
                  <c:v>46104</c:v>
                </c:pt>
                <c:pt idx="989">
                  <c:v>46104</c:v>
                </c:pt>
                <c:pt idx="990">
                  <c:v>46104</c:v>
                </c:pt>
                <c:pt idx="991">
                  <c:v>46104</c:v>
                </c:pt>
                <c:pt idx="992">
                  <c:v>46101</c:v>
                </c:pt>
                <c:pt idx="993">
                  <c:v>46104</c:v>
                </c:pt>
                <c:pt idx="994">
                  <c:v>46105</c:v>
                </c:pt>
                <c:pt idx="995">
                  <c:v>46120</c:v>
                </c:pt>
                <c:pt idx="996">
                  <c:v>46108</c:v>
                </c:pt>
                <c:pt idx="997">
                  <c:v>46108</c:v>
                </c:pt>
                <c:pt idx="998">
                  <c:v>46108</c:v>
                </c:pt>
                <c:pt idx="999">
                  <c:v>46108</c:v>
                </c:pt>
                <c:pt idx="1000">
                  <c:v>46106</c:v>
                </c:pt>
                <c:pt idx="1001">
                  <c:v>46106</c:v>
                </c:pt>
                <c:pt idx="1002">
                  <c:v>46111</c:v>
                </c:pt>
                <c:pt idx="1003">
                  <c:v>46108</c:v>
                </c:pt>
                <c:pt idx="1004">
                  <c:v>2</c:v>
                </c:pt>
                <c:pt idx="1005">
                  <c:v>46108</c:v>
                </c:pt>
                <c:pt idx="1006">
                  <c:v>46108</c:v>
                </c:pt>
                <c:pt idx="1007">
                  <c:v>46108</c:v>
                </c:pt>
                <c:pt idx="1008">
                  <c:v>46108</c:v>
                </c:pt>
                <c:pt idx="1009">
                  <c:v>46111</c:v>
                </c:pt>
                <c:pt idx="1010">
                  <c:v>46107</c:v>
                </c:pt>
                <c:pt idx="1011">
                  <c:v>46107</c:v>
                </c:pt>
                <c:pt idx="1012">
                  <c:v>46111</c:v>
                </c:pt>
                <c:pt idx="1013">
                  <c:v>46111</c:v>
                </c:pt>
                <c:pt idx="1014">
                  <c:v>46121</c:v>
                </c:pt>
                <c:pt idx="1015">
                  <c:v>46121</c:v>
                </c:pt>
                <c:pt idx="1016">
                  <c:v>46129</c:v>
                </c:pt>
                <c:pt idx="1017">
                  <c:v>46108</c:v>
                </c:pt>
                <c:pt idx="1018">
                  <c:v>46332</c:v>
                </c:pt>
                <c:pt idx="1019">
                  <c:v>46127</c:v>
                </c:pt>
                <c:pt idx="1020">
                  <c:v>46127</c:v>
                </c:pt>
                <c:pt idx="1021">
                  <c:v>46127</c:v>
                </c:pt>
                <c:pt idx="1022">
                  <c:v>46107</c:v>
                </c:pt>
                <c:pt idx="1023">
                  <c:v>46106</c:v>
                </c:pt>
                <c:pt idx="1024">
                  <c:v>46107</c:v>
                </c:pt>
                <c:pt idx="1025">
                  <c:v>46107</c:v>
                </c:pt>
                <c:pt idx="1026">
                  <c:v>46107</c:v>
                </c:pt>
                <c:pt idx="1027">
                  <c:v>46111</c:v>
                </c:pt>
                <c:pt idx="1028">
                  <c:v>46107</c:v>
                </c:pt>
                <c:pt idx="1029">
                  <c:v>46111</c:v>
                </c:pt>
                <c:pt idx="1030">
                  <c:v>46113</c:v>
                </c:pt>
                <c:pt idx="1031">
                  <c:v>46107</c:v>
                </c:pt>
                <c:pt idx="1032">
                  <c:v>46108</c:v>
                </c:pt>
                <c:pt idx="1033">
                  <c:v>46332</c:v>
                </c:pt>
                <c:pt idx="1034">
                  <c:v>46119</c:v>
                </c:pt>
                <c:pt idx="1035">
                  <c:v>46107</c:v>
                </c:pt>
                <c:pt idx="1036">
                  <c:v>46112</c:v>
                </c:pt>
                <c:pt idx="1037">
                  <c:v>46111</c:v>
                </c:pt>
                <c:pt idx="1038">
                  <c:v>46107</c:v>
                </c:pt>
                <c:pt idx="1039">
                  <c:v>46107</c:v>
                </c:pt>
                <c:pt idx="1040">
                  <c:v>46107</c:v>
                </c:pt>
                <c:pt idx="1041">
                  <c:v>46111</c:v>
                </c:pt>
                <c:pt idx="1042">
                  <c:v>46107</c:v>
                </c:pt>
                <c:pt idx="1043">
                  <c:v>46111</c:v>
                </c:pt>
                <c:pt idx="1044">
                  <c:v>46107</c:v>
                </c:pt>
                <c:pt idx="1045">
                  <c:v>46107</c:v>
                </c:pt>
                <c:pt idx="1046">
                  <c:v>46107</c:v>
                </c:pt>
                <c:pt idx="1047">
                  <c:v>46108</c:v>
                </c:pt>
                <c:pt idx="1048">
                  <c:v>46113</c:v>
                </c:pt>
                <c:pt idx="1049">
                  <c:v>46113</c:v>
                </c:pt>
                <c:pt idx="1050">
                  <c:v>46111</c:v>
                </c:pt>
                <c:pt idx="1051">
                  <c:v>46112</c:v>
                </c:pt>
                <c:pt idx="1052">
                  <c:v>46112</c:v>
                </c:pt>
                <c:pt idx="1053">
                  <c:v>46111</c:v>
                </c:pt>
                <c:pt idx="1054">
                  <c:v>46119</c:v>
                </c:pt>
                <c:pt idx="1055">
                  <c:v>46112</c:v>
                </c:pt>
                <c:pt idx="1056">
                  <c:v>46112</c:v>
                </c:pt>
                <c:pt idx="1057">
                  <c:v>0</c:v>
                </c:pt>
                <c:pt idx="1058">
                  <c:v>46111</c:v>
                </c:pt>
                <c:pt idx="1059">
                  <c:v>46108</c:v>
                </c:pt>
                <c:pt idx="1060">
                  <c:v>46119</c:v>
                </c:pt>
                <c:pt idx="1061">
                  <c:v>46113</c:v>
                </c:pt>
                <c:pt idx="1062">
                  <c:v>46112</c:v>
                </c:pt>
                <c:pt idx="1063">
                  <c:v>46111</c:v>
                </c:pt>
                <c:pt idx="1064">
                  <c:v>46112</c:v>
                </c:pt>
                <c:pt idx="1065">
                  <c:v>46113</c:v>
                </c:pt>
                <c:pt idx="1066">
                  <c:v>46112</c:v>
                </c:pt>
                <c:pt idx="1067">
                  <c:v>46119</c:v>
                </c:pt>
                <c:pt idx="1068">
                  <c:v>46113</c:v>
                </c:pt>
                <c:pt idx="1069">
                  <c:v>46119</c:v>
                </c:pt>
                <c:pt idx="1070">
                  <c:v>46028</c:v>
                </c:pt>
                <c:pt idx="1071">
                  <c:v>46119</c:v>
                </c:pt>
                <c:pt idx="1072">
                  <c:v>46113</c:v>
                </c:pt>
                <c:pt idx="1073">
                  <c:v>46112</c:v>
                </c:pt>
                <c:pt idx="1074">
                  <c:v>46136</c:v>
                </c:pt>
                <c:pt idx="1075">
                  <c:v>46121</c:v>
                </c:pt>
                <c:pt idx="1076">
                  <c:v>46146</c:v>
                </c:pt>
                <c:pt idx="1077">
                  <c:v>46119</c:v>
                </c:pt>
                <c:pt idx="1078">
                  <c:v>46113</c:v>
                </c:pt>
                <c:pt idx="1079">
                  <c:v>46119</c:v>
                </c:pt>
                <c:pt idx="1080">
                  <c:v>46119</c:v>
                </c:pt>
                <c:pt idx="1081">
                  <c:v>46119</c:v>
                </c:pt>
                <c:pt idx="1082">
                  <c:v>46120</c:v>
                </c:pt>
                <c:pt idx="1083">
                  <c:v>46120</c:v>
                </c:pt>
                <c:pt idx="1084">
                  <c:v>46122</c:v>
                </c:pt>
                <c:pt idx="1085">
                  <c:v>46121</c:v>
                </c:pt>
                <c:pt idx="1086">
                  <c:v>46122</c:v>
                </c:pt>
                <c:pt idx="1087">
                  <c:v>46121</c:v>
                </c:pt>
                <c:pt idx="1088">
                  <c:v>46118</c:v>
                </c:pt>
                <c:pt idx="1089">
                  <c:v>46139</c:v>
                </c:pt>
                <c:pt idx="1090">
                  <c:v>46122</c:v>
                </c:pt>
                <c:pt idx="1091">
                  <c:v>46113</c:v>
                </c:pt>
                <c:pt idx="1092">
                  <c:v>46128</c:v>
                </c:pt>
                <c:pt idx="1093">
                  <c:v>46120</c:v>
                </c:pt>
                <c:pt idx="1094">
                  <c:v>46121</c:v>
                </c:pt>
                <c:pt idx="1095">
                  <c:v>46125</c:v>
                </c:pt>
                <c:pt idx="1096">
                  <c:v>46125</c:v>
                </c:pt>
                <c:pt idx="1097">
                  <c:v>46118</c:v>
                </c:pt>
                <c:pt idx="1098">
                  <c:v>46125</c:v>
                </c:pt>
                <c:pt idx="1099">
                  <c:v>46128</c:v>
                </c:pt>
                <c:pt idx="1100">
                  <c:v>46128</c:v>
                </c:pt>
                <c:pt idx="1101">
                  <c:v>46121</c:v>
                </c:pt>
                <c:pt idx="1102">
                  <c:v>46139</c:v>
                </c:pt>
                <c:pt idx="1103">
                  <c:v>46127</c:v>
                </c:pt>
                <c:pt idx="1104">
                  <c:v>46125</c:v>
                </c:pt>
                <c:pt idx="1105">
                  <c:v>46125</c:v>
                </c:pt>
                <c:pt idx="1106">
                  <c:v>46121</c:v>
                </c:pt>
                <c:pt idx="1107">
                  <c:v>46122</c:v>
                </c:pt>
                <c:pt idx="1108">
                  <c:v>46126</c:v>
                </c:pt>
                <c:pt idx="1109">
                  <c:v>46126</c:v>
                </c:pt>
                <c:pt idx="1110">
                  <c:v>46125</c:v>
                </c:pt>
                <c:pt idx="1111">
                  <c:v>46125</c:v>
                </c:pt>
                <c:pt idx="1112">
                  <c:v>46122</c:v>
                </c:pt>
                <c:pt idx="1113">
                  <c:v>46121</c:v>
                </c:pt>
                <c:pt idx="1114">
                  <c:v>46121</c:v>
                </c:pt>
                <c:pt idx="1115">
                  <c:v>46121</c:v>
                </c:pt>
                <c:pt idx="1116">
                  <c:v>46125</c:v>
                </c:pt>
                <c:pt idx="1117">
                  <c:v>46125</c:v>
                </c:pt>
                <c:pt idx="1118">
                  <c:v>46121</c:v>
                </c:pt>
                <c:pt idx="1119">
                  <c:v>46121</c:v>
                </c:pt>
                <c:pt idx="1120">
                  <c:v>46125</c:v>
                </c:pt>
                <c:pt idx="1121">
                  <c:v>46121</c:v>
                </c:pt>
                <c:pt idx="1122">
                  <c:v>46121</c:v>
                </c:pt>
                <c:pt idx="1123">
                  <c:v>46125</c:v>
                </c:pt>
                <c:pt idx="1124">
                  <c:v>46125</c:v>
                </c:pt>
                <c:pt idx="1125">
                  <c:v>46126</c:v>
                </c:pt>
                <c:pt idx="1126">
                  <c:v>46121</c:v>
                </c:pt>
                <c:pt idx="1127">
                  <c:v>46121</c:v>
                </c:pt>
                <c:pt idx="1128">
                  <c:v>46125</c:v>
                </c:pt>
                <c:pt idx="1129">
                  <c:v>46125</c:v>
                </c:pt>
                <c:pt idx="1130">
                  <c:v>46121</c:v>
                </c:pt>
                <c:pt idx="1131">
                  <c:v>46128</c:v>
                </c:pt>
                <c:pt idx="1132">
                  <c:v>46121</c:v>
                </c:pt>
                <c:pt idx="1133">
                  <c:v>46126</c:v>
                </c:pt>
                <c:pt idx="1134">
                  <c:v>46125</c:v>
                </c:pt>
                <c:pt idx="1135">
                  <c:v>46121</c:v>
                </c:pt>
                <c:pt idx="1136">
                  <c:v>46125</c:v>
                </c:pt>
                <c:pt idx="1137">
                  <c:v>46125</c:v>
                </c:pt>
                <c:pt idx="1138">
                  <c:v>46120</c:v>
                </c:pt>
                <c:pt idx="1139">
                  <c:v>46121</c:v>
                </c:pt>
                <c:pt idx="1140">
                  <c:v>46126</c:v>
                </c:pt>
                <c:pt idx="1141">
                  <c:v>46121</c:v>
                </c:pt>
                <c:pt idx="1142">
                  <c:v>46120</c:v>
                </c:pt>
                <c:pt idx="1143">
                  <c:v>46125</c:v>
                </c:pt>
                <c:pt idx="1144">
                  <c:v>46125</c:v>
                </c:pt>
                <c:pt idx="1145">
                  <c:v>46126</c:v>
                </c:pt>
                <c:pt idx="1146">
                  <c:v>46120</c:v>
                </c:pt>
                <c:pt idx="1147">
                  <c:v>46121</c:v>
                </c:pt>
                <c:pt idx="1149">
                  <c:v>46122</c:v>
                </c:pt>
                <c:pt idx="1150">
                  <c:v>46122</c:v>
                </c:pt>
                <c:pt idx="1151">
                  <c:v>46122</c:v>
                </c:pt>
                <c:pt idx="1152">
                  <c:v>46122</c:v>
                </c:pt>
                <c:pt idx="1153">
                  <c:v>46122</c:v>
                </c:pt>
                <c:pt idx="1154">
                  <c:v>46127</c:v>
                </c:pt>
                <c:pt idx="1155">
                  <c:v>46127</c:v>
                </c:pt>
                <c:pt idx="1156">
                  <c:v>46127</c:v>
                </c:pt>
                <c:pt idx="1157">
                  <c:v>46127</c:v>
                </c:pt>
                <c:pt idx="1158">
                  <c:v>46127</c:v>
                </c:pt>
                <c:pt idx="1159">
                  <c:v>46122</c:v>
                </c:pt>
                <c:pt idx="1160">
                  <c:v>46125</c:v>
                </c:pt>
                <c:pt idx="1161">
                  <c:v>46122</c:v>
                </c:pt>
                <c:pt idx="1162">
                  <c:v>46122</c:v>
                </c:pt>
                <c:pt idx="1163">
                  <c:v>46122</c:v>
                </c:pt>
                <c:pt idx="1164">
                  <c:v>46122</c:v>
                </c:pt>
                <c:pt idx="1165">
                  <c:v>46122</c:v>
                </c:pt>
                <c:pt idx="1166">
                  <c:v>46125</c:v>
                </c:pt>
                <c:pt idx="1167">
                  <c:v>46139</c:v>
                </c:pt>
                <c:pt idx="1168">
                  <c:v>46126</c:v>
                </c:pt>
                <c:pt idx="1169">
                  <c:v>46121</c:v>
                </c:pt>
                <c:pt idx="1170">
                  <c:v>46125</c:v>
                </c:pt>
                <c:pt idx="1171">
                  <c:v>46121</c:v>
                </c:pt>
                <c:pt idx="1172">
                  <c:v>46121</c:v>
                </c:pt>
                <c:pt idx="1173">
                  <c:v>46125</c:v>
                </c:pt>
                <c:pt idx="1174">
                  <c:v>46127</c:v>
                </c:pt>
                <c:pt idx="1175">
                  <c:v>46127</c:v>
                </c:pt>
                <c:pt idx="1176">
                  <c:v>46127</c:v>
                </c:pt>
                <c:pt idx="1177">
                  <c:v>46128</c:v>
                </c:pt>
                <c:pt idx="1178">
                  <c:v>46126</c:v>
                </c:pt>
                <c:pt idx="1179">
                  <c:v>46127</c:v>
                </c:pt>
                <c:pt idx="1180">
                  <c:v>46121</c:v>
                </c:pt>
                <c:pt idx="1181">
                  <c:v>46122</c:v>
                </c:pt>
                <c:pt idx="1182">
                  <c:v>46121</c:v>
                </c:pt>
                <c:pt idx="1183">
                  <c:v>46121</c:v>
                </c:pt>
                <c:pt idx="1184">
                  <c:v>46122</c:v>
                </c:pt>
                <c:pt idx="1185">
                  <c:v>46126</c:v>
                </c:pt>
                <c:pt idx="1186">
                  <c:v>46129</c:v>
                </c:pt>
                <c:pt idx="1187">
                  <c:v>46127</c:v>
                </c:pt>
                <c:pt idx="1188">
                  <c:v>46126</c:v>
                </c:pt>
                <c:pt idx="1189">
                  <c:v>46135</c:v>
                </c:pt>
                <c:pt idx="1190">
                  <c:v>46126</c:v>
                </c:pt>
                <c:pt idx="1191">
                  <c:v>46122</c:v>
                </c:pt>
                <c:pt idx="1192">
                  <c:v>46122</c:v>
                </c:pt>
                <c:pt idx="1193">
                  <c:v>46127</c:v>
                </c:pt>
                <c:pt idx="1194">
                  <c:v>46127</c:v>
                </c:pt>
                <c:pt idx="1195">
                  <c:v>46126</c:v>
                </c:pt>
                <c:pt idx="1196">
                  <c:v>46127</c:v>
                </c:pt>
                <c:pt idx="1197">
                  <c:v>46126</c:v>
                </c:pt>
                <c:pt idx="1198">
                  <c:v>46126</c:v>
                </c:pt>
                <c:pt idx="1199">
                  <c:v>46126</c:v>
                </c:pt>
                <c:pt idx="1200">
                  <c:v>46125</c:v>
                </c:pt>
                <c:pt idx="1201">
                  <c:v>46126</c:v>
                </c:pt>
                <c:pt idx="1202">
                  <c:v>46126</c:v>
                </c:pt>
                <c:pt idx="1203">
                  <c:v>46126</c:v>
                </c:pt>
                <c:pt idx="1204">
                  <c:v>46135</c:v>
                </c:pt>
                <c:pt idx="1205">
                  <c:v>46142</c:v>
                </c:pt>
                <c:pt idx="1206">
                  <c:v>46126</c:v>
                </c:pt>
                <c:pt idx="1207">
                  <c:v>46122</c:v>
                </c:pt>
                <c:pt idx="1208">
                  <c:v>46122</c:v>
                </c:pt>
                <c:pt idx="1209">
                  <c:v>46126</c:v>
                </c:pt>
                <c:pt idx="1210">
                  <c:v>46129</c:v>
                </c:pt>
                <c:pt idx="1211">
                  <c:v>46125</c:v>
                </c:pt>
                <c:pt idx="1212">
                  <c:v>46122</c:v>
                </c:pt>
                <c:pt idx="1213">
                  <c:v>46135</c:v>
                </c:pt>
                <c:pt idx="1214">
                  <c:v>46134</c:v>
                </c:pt>
                <c:pt idx="1215">
                  <c:v>46128</c:v>
                </c:pt>
                <c:pt idx="1216">
                  <c:v>46128</c:v>
                </c:pt>
                <c:pt idx="1217">
                  <c:v>46127</c:v>
                </c:pt>
                <c:pt idx="1218">
                  <c:v>46129</c:v>
                </c:pt>
                <c:pt idx="1219">
                  <c:v>46125</c:v>
                </c:pt>
                <c:pt idx="1220">
                  <c:v>46134</c:v>
                </c:pt>
                <c:pt idx="1221">
                  <c:v>46127</c:v>
                </c:pt>
                <c:pt idx="1222">
                  <c:v>46127</c:v>
                </c:pt>
                <c:pt idx="1223">
                  <c:v>46126</c:v>
                </c:pt>
                <c:pt idx="1224">
                  <c:v>46127</c:v>
                </c:pt>
                <c:pt idx="1225">
                  <c:v>46126</c:v>
                </c:pt>
                <c:pt idx="1226">
                  <c:v>46126</c:v>
                </c:pt>
                <c:pt idx="1227">
                  <c:v>46126</c:v>
                </c:pt>
                <c:pt idx="1228">
                  <c:v>46121</c:v>
                </c:pt>
                <c:pt idx="1229">
                  <c:v>46127</c:v>
                </c:pt>
                <c:pt idx="1230">
                  <c:v>46134</c:v>
                </c:pt>
                <c:pt idx="1231">
                  <c:v>46135</c:v>
                </c:pt>
                <c:pt idx="1232">
                  <c:v>46121</c:v>
                </c:pt>
                <c:pt idx="1233">
                  <c:v>46136</c:v>
                </c:pt>
                <c:pt idx="1234">
                  <c:v>46129</c:v>
                </c:pt>
                <c:pt idx="1235">
                  <c:v>46125</c:v>
                </c:pt>
                <c:pt idx="1236">
                  <c:v>46127</c:v>
                </c:pt>
                <c:pt idx="1237">
                  <c:v>46128</c:v>
                </c:pt>
                <c:pt idx="1238">
                  <c:v>46127</c:v>
                </c:pt>
                <c:pt idx="1239">
                  <c:v>46128</c:v>
                </c:pt>
                <c:pt idx="1240">
                  <c:v>46128</c:v>
                </c:pt>
                <c:pt idx="1241">
                  <c:v>46128</c:v>
                </c:pt>
                <c:pt idx="1242">
                  <c:v>46129</c:v>
                </c:pt>
                <c:pt idx="1243">
                  <c:v>46122</c:v>
                </c:pt>
                <c:pt idx="1244">
                  <c:v>46122</c:v>
                </c:pt>
                <c:pt idx="1245">
                  <c:v>46122</c:v>
                </c:pt>
                <c:pt idx="1246">
                  <c:v>46126</c:v>
                </c:pt>
                <c:pt idx="1247">
                  <c:v>46125</c:v>
                </c:pt>
                <c:pt idx="1248">
                  <c:v>46125</c:v>
                </c:pt>
                <c:pt idx="1249">
                  <c:v>46125</c:v>
                </c:pt>
                <c:pt idx="1250">
                  <c:v>46136</c:v>
                </c:pt>
                <c:pt idx="1251">
                  <c:v>46126</c:v>
                </c:pt>
                <c:pt idx="1252">
                  <c:v>46126</c:v>
                </c:pt>
                <c:pt idx="1253">
                  <c:v>46126</c:v>
                </c:pt>
                <c:pt idx="1254">
                  <c:v>46156</c:v>
                </c:pt>
                <c:pt idx="1255">
                  <c:v>46126</c:v>
                </c:pt>
                <c:pt idx="1256">
                  <c:v>46136</c:v>
                </c:pt>
                <c:pt idx="1257">
                  <c:v>46129</c:v>
                </c:pt>
                <c:pt idx="1258">
                  <c:v>46135</c:v>
                </c:pt>
                <c:pt idx="1259">
                  <c:v>46136</c:v>
                </c:pt>
                <c:pt idx="1260">
                  <c:v>46135</c:v>
                </c:pt>
                <c:pt idx="1261">
                  <c:v>46127</c:v>
                </c:pt>
                <c:pt idx="1262">
                  <c:v>46128</c:v>
                </c:pt>
                <c:pt idx="1263">
                  <c:v>46127</c:v>
                </c:pt>
                <c:pt idx="1264">
                  <c:v>46127</c:v>
                </c:pt>
                <c:pt idx="1265">
                  <c:v>46128</c:v>
                </c:pt>
                <c:pt idx="1266">
                  <c:v>46127</c:v>
                </c:pt>
                <c:pt idx="1267">
                  <c:v>46135</c:v>
                </c:pt>
                <c:pt idx="1268">
                  <c:v>46127</c:v>
                </c:pt>
                <c:pt idx="1269">
                  <c:v>46127</c:v>
                </c:pt>
                <c:pt idx="1270">
                  <c:v>46127</c:v>
                </c:pt>
                <c:pt idx="1271">
                  <c:v>46135</c:v>
                </c:pt>
                <c:pt idx="1272">
                  <c:v>46128</c:v>
                </c:pt>
                <c:pt idx="1273">
                  <c:v>46128</c:v>
                </c:pt>
                <c:pt idx="1274">
                  <c:v>46127</c:v>
                </c:pt>
                <c:pt idx="1275">
                  <c:v>46127</c:v>
                </c:pt>
                <c:pt idx="1276">
                  <c:v>46127</c:v>
                </c:pt>
                <c:pt idx="1277">
                  <c:v>46126</c:v>
                </c:pt>
                <c:pt idx="1278">
                  <c:v>46127</c:v>
                </c:pt>
                <c:pt idx="1279">
                  <c:v>46135</c:v>
                </c:pt>
                <c:pt idx="1280">
                  <c:v>46139</c:v>
                </c:pt>
                <c:pt idx="1281">
                  <c:v>46139</c:v>
                </c:pt>
                <c:pt idx="1282">
                  <c:v>46135</c:v>
                </c:pt>
                <c:pt idx="1283">
                  <c:v>46128</c:v>
                </c:pt>
                <c:pt idx="1284">
                  <c:v>46127</c:v>
                </c:pt>
                <c:pt idx="1285">
                  <c:v>46127</c:v>
                </c:pt>
                <c:pt idx="1286">
                  <c:v>46128</c:v>
                </c:pt>
                <c:pt idx="1287">
                  <c:v>46128</c:v>
                </c:pt>
                <c:pt idx="1288">
                  <c:v>46128</c:v>
                </c:pt>
                <c:pt idx="1289">
                  <c:v>46128</c:v>
                </c:pt>
                <c:pt idx="1290">
                  <c:v>46134</c:v>
                </c:pt>
                <c:pt idx="1291">
                  <c:v>46129</c:v>
                </c:pt>
                <c:pt idx="1292">
                  <c:v>46134</c:v>
                </c:pt>
                <c:pt idx="1293">
                  <c:v>46134</c:v>
                </c:pt>
                <c:pt idx="1294">
                  <c:v>46128</c:v>
                </c:pt>
                <c:pt idx="1295">
                  <c:v>46127</c:v>
                </c:pt>
                <c:pt idx="1296">
                  <c:v>46128</c:v>
                </c:pt>
                <c:pt idx="1297">
                  <c:v>46129</c:v>
                </c:pt>
                <c:pt idx="1298">
                  <c:v>46134</c:v>
                </c:pt>
                <c:pt idx="1299">
                  <c:v>46135</c:v>
                </c:pt>
                <c:pt idx="1300">
                  <c:v>46135</c:v>
                </c:pt>
                <c:pt idx="1301">
                  <c:v>46128</c:v>
                </c:pt>
                <c:pt idx="1302">
                  <c:v>46134</c:v>
                </c:pt>
                <c:pt idx="1303">
                  <c:v>46134</c:v>
                </c:pt>
                <c:pt idx="1304">
                  <c:v>46139</c:v>
                </c:pt>
                <c:pt idx="1305">
                  <c:v>46128</c:v>
                </c:pt>
                <c:pt idx="1306">
                  <c:v>46128</c:v>
                </c:pt>
                <c:pt idx="1307">
                  <c:v>46157</c:v>
                </c:pt>
                <c:pt idx="1308">
                  <c:v>46128</c:v>
                </c:pt>
                <c:pt idx="1309">
                  <c:v>46127</c:v>
                </c:pt>
                <c:pt idx="1310">
                  <c:v>46127</c:v>
                </c:pt>
                <c:pt idx="1311">
                  <c:v>46128</c:v>
                </c:pt>
                <c:pt idx="1312">
                  <c:v>46126</c:v>
                </c:pt>
                <c:pt idx="1313">
                  <c:v>46128</c:v>
                </c:pt>
                <c:pt idx="1314">
                  <c:v>46129</c:v>
                </c:pt>
                <c:pt idx="1315">
                  <c:v>46129</c:v>
                </c:pt>
                <c:pt idx="1316">
                  <c:v>46135</c:v>
                </c:pt>
                <c:pt idx="1318">
                  <c:v>46135</c:v>
                </c:pt>
                <c:pt idx="1319">
                  <c:v>46129</c:v>
                </c:pt>
                <c:pt idx="1320">
                  <c:v>46129</c:v>
                </c:pt>
                <c:pt idx="1321">
                  <c:v>46127</c:v>
                </c:pt>
                <c:pt idx="1322">
                  <c:v>46135</c:v>
                </c:pt>
                <c:pt idx="1323">
                  <c:v>46129</c:v>
                </c:pt>
                <c:pt idx="1324">
                  <c:v>46129</c:v>
                </c:pt>
                <c:pt idx="1325">
                  <c:v>46129</c:v>
                </c:pt>
                <c:pt idx="1326">
                  <c:v>46129</c:v>
                </c:pt>
                <c:pt idx="1327">
                  <c:v>46129</c:v>
                </c:pt>
                <c:pt idx="1328">
                  <c:v>46127</c:v>
                </c:pt>
                <c:pt idx="1329">
                  <c:v>46127</c:v>
                </c:pt>
                <c:pt idx="1330">
                  <c:v>46129</c:v>
                </c:pt>
                <c:pt idx="1331">
                  <c:v>46129</c:v>
                </c:pt>
                <c:pt idx="1332">
                  <c:v>46135</c:v>
                </c:pt>
                <c:pt idx="1333">
                  <c:v>46160</c:v>
                </c:pt>
                <c:pt idx="1334">
                  <c:v>46128</c:v>
                </c:pt>
                <c:pt idx="1335">
                  <c:v>46139</c:v>
                </c:pt>
                <c:pt idx="1336">
                  <c:v>46128</c:v>
                </c:pt>
                <c:pt idx="1337">
                  <c:v>46128</c:v>
                </c:pt>
                <c:pt idx="1338">
                  <c:v>46129</c:v>
                </c:pt>
                <c:pt idx="1339">
                  <c:v>46129</c:v>
                </c:pt>
                <c:pt idx="1340">
                  <c:v>46135</c:v>
                </c:pt>
                <c:pt idx="1341">
                  <c:v>46135</c:v>
                </c:pt>
                <c:pt idx="1342">
                  <c:v>46135</c:v>
                </c:pt>
                <c:pt idx="1343">
                  <c:v>46136</c:v>
                </c:pt>
                <c:pt idx="1344">
                  <c:v>46128</c:v>
                </c:pt>
                <c:pt idx="1345">
                  <c:v>46128</c:v>
                </c:pt>
                <c:pt idx="1346">
                  <c:v>46129</c:v>
                </c:pt>
                <c:pt idx="1347">
                  <c:v>46129</c:v>
                </c:pt>
                <c:pt idx="1348">
                  <c:v>46135</c:v>
                </c:pt>
                <c:pt idx="1349">
                  <c:v>46135</c:v>
                </c:pt>
                <c:pt idx="1350">
                  <c:v>46136</c:v>
                </c:pt>
                <c:pt idx="1351">
                  <c:v>46134</c:v>
                </c:pt>
                <c:pt idx="1352">
                  <c:v>46146</c:v>
                </c:pt>
                <c:pt idx="1353">
                  <c:v>46141</c:v>
                </c:pt>
                <c:pt idx="1354">
                  <c:v>46136</c:v>
                </c:pt>
                <c:pt idx="1356">
                  <c:v>46135</c:v>
                </c:pt>
                <c:pt idx="1357">
                  <c:v>46134</c:v>
                </c:pt>
                <c:pt idx="1358">
                  <c:v>46134</c:v>
                </c:pt>
                <c:pt idx="1359">
                  <c:v>46153</c:v>
                </c:pt>
                <c:pt idx="1360">
                  <c:v>46129</c:v>
                </c:pt>
                <c:pt idx="1361">
                  <c:v>46129</c:v>
                </c:pt>
                <c:pt idx="1362">
                  <c:v>46129</c:v>
                </c:pt>
                <c:pt idx="1363">
                  <c:v>46140</c:v>
                </c:pt>
                <c:pt idx="1364">
                  <c:v>46129</c:v>
                </c:pt>
                <c:pt idx="1365">
                  <c:v>46129</c:v>
                </c:pt>
                <c:pt idx="1366">
                  <c:v>46129</c:v>
                </c:pt>
                <c:pt idx="1367">
                  <c:v>46141</c:v>
                </c:pt>
                <c:pt idx="1368">
                  <c:v>46135</c:v>
                </c:pt>
                <c:pt idx="1369">
                  <c:v>46135</c:v>
                </c:pt>
                <c:pt idx="1370">
                  <c:v>46128</c:v>
                </c:pt>
                <c:pt idx="1371">
                  <c:v>46128</c:v>
                </c:pt>
                <c:pt idx="1372">
                  <c:v>46147</c:v>
                </c:pt>
                <c:pt idx="1373">
                  <c:v>46136</c:v>
                </c:pt>
                <c:pt idx="1374">
                  <c:v>46141</c:v>
                </c:pt>
                <c:pt idx="1375">
                  <c:v>46135</c:v>
                </c:pt>
                <c:pt idx="1376">
                  <c:v>46135</c:v>
                </c:pt>
                <c:pt idx="1377">
                  <c:v>46147</c:v>
                </c:pt>
                <c:pt idx="1378">
                  <c:v>46141</c:v>
                </c:pt>
                <c:pt idx="1379">
                  <c:v>46140</c:v>
                </c:pt>
                <c:pt idx="1381">
                  <c:v>46140</c:v>
                </c:pt>
                <c:pt idx="1382">
                  <c:v>46148</c:v>
                </c:pt>
                <c:pt idx="1383">
                  <c:v>46147</c:v>
                </c:pt>
                <c:pt idx="1384">
                  <c:v>46140</c:v>
                </c:pt>
                <c:pt idx="1385">
                  <c:v>46134</c:v>
                </c:pt>
                <c:pt idx="1386">
                  <c:v>46135</c:v>
                </c:pt>
                <c:pt idx="1387">
                  <c:v>46136</c:v>
                </c:pt>
                <c:pt idx="1388">
                  <c:v>46135</c:v>
                </c:pt>
                <c:pt idx="1389">
                  <c:v>46135</c:v>
                </c:pt>
                <c:pt idx="1390">
                  <c:v>46135</c:v>
                </c:pt>
                <c:pt idx="1391">
                  <c:v>46135</c:v>
                </c:pt>
                <c:pt idx="1392">
                  <c:v>46146</c:v>
                </c:pt>
                <c:pt idx="1393">
                  <c:v>46140</c:v>
                </c:pt>
                <c:pt idx="1394">
                  <c:v>46140</c:v>
                </c:pt>
                <c:pt idx="1395">
                  <c:v>46140</c:v>
                </c:pt>
                <c:pt idx="1396">
                  <c:v>46148</c:v>
                </c:pt>
                <c:pt idx="1397">
                  <c:v>46134</c:v>
                </c:pt>
                <c:pt idx="1398">
                  <c:v>46136</c:v>
                </c:pt>
                <c:pt idx="1399">
                  <c:v>46141</c:v>
                </c:pt>
                <c:pt idx="1400">
                  <c:v>46140</c:v>
                </c:pt>
                <c:pt idx="1401">
                  <c:v>46142</c:v>
                </c:pt>
                <c:pt idx="1402">
                  <c:v>46140</c:v>
                </c:pt>
                <c:pt idx="1403">
                  <c:v>46136</c:v>
                </c:pt>
                <c:pt idx="1404">
                  <c:v>46142</c:v>
                </c:pt>
                <c:pt idx="1405">
                  <c:v>46141</c:v>
                </c:pt>
                <c:pt idx="1406">
                  <c:v>46146</c:v>
                </c:pt>
                <c:pt idx="1407">
                  <c:v>46136</c:v>
                </c:pt>
                <c:pt idx="1408">
                  <c:v>46136</c:v>
                </c:pt>
                <c:pt idx="1409">
                  <c:v>46134</c:v>
                </c:pt>
                <c:pt idx="1410">
                  <c:v>46134</c:v>
                </c:pt>
                <c:pt idx="1411">
                  <c:v>46134</c:v>
                </c:pt>
                <c:pt idx="1412">
                  <c:v>46142</c:v>
                </c:pt>
                <c:pt idx="1413">
                  <c:v>46135</c:v>
                </c:pt>
                <c:pt idx="1414">
                  <c:v>46135</c:v>
                </c:pt>
                <c:pt idx="1415">
                  <c:v>46139</c:v>
                </c:pt>
                <c:pt idx="1416">
                  <c:v>46139</c:v>
                </c:pt>
                <c:pt idx="1417">
                  <c:v>46136</c:v>
                </c:pt>
                <c:pt idx="1418">
                  <c:v>46140</c:v>
                </c:pt>
                <c:pt idx="1419">
                  <c:v>46142</c:v>
                </c:pt>
                <c:pt idx="1420">
                  <c:v>46141</c:v>
                </c:pt>
                <c:pt idx="1421">
                  <c:v>46146</c:v>
                </c:pt>
                <c:pt idx="1422">
                  <c:v>46136</c:v>
                </c:pt>
                <c:pt idx="1423">
                  <c:v>46140</c:v>
                </c:pt>
                <c:pt idx="1424">
                  <c:v>46136</c:v>
                </c:pt>
                <c:pt idx="1425">
                  <c:v>46140</c:v>
                </c:pt>
                <c:pt idx="1426">
                  <c:v>46146</c:v>
                </c:pt>
                <c:pt idx="1427">
                  <c:v>46146</c:v>
                </c:pt>
                <c:pt idx="1428">
                  <c:v>46147</c:v>
                </c:pt>
                <c:pt idx="1429">
                  <c:v>46140</c:v>
                </c:pt>
                <c:pt idx="1430">
                  <c:v>46140</c:v>
                </c:pt>
                <c:pt idx="1431">
                  <c:v>46147</c:v>
                </c:pt>
                <c:pt idx="1432">
                  <c:v>46150</c:v>
                </c:pt>
                <c:pt idx="1433">
                  <c:v>46142</c:v>
                </c:pt>
                <c:pt idx="1434">
                  <c:v>46141</c:v>
                </c:pt>
                <c:pt idx="1435">
                  <c:v>46140</c:v>
                </c:pt>
                <c:pt idx="1436">
                  <c:v>46140</c:v>
                </c:pt>
                <c:pt idx="1437">
                  <c:v>46146</c:v>
                </c:pt>
                <c:pt idx="1438">
                  <c:v>46146</c:v>
                </c:pt>
                <c:pt idx="1439">
                  <c:v>46140</c:v>
                </c:pt>
                <c:pt idx="1440">
                  <c:v>46142</c:v>
                </c:pt>
                <c:pt idx="1441">
                  <c:v>46142</c:v>
                </c:pt>
                <c:pt idx="1442">
                  <c:v>46153</c:v>
                </c:pt>
                <c:pt idx="1443">
                  <c:v>46148</c:v>
                </c:pt>
                <c:pt idx="1444">
                  <c:v>46148</c:v>
                </c:pt>
                <c:pt idx="1445">
                  <c:v>46141</c:v>
                </c:pt>
                <c:pt idx="1446">
                  <c:v>46140</c:v>
                </c:pt>
                <c:pt idx="1447">
                  <c:v>46141</c:v>
                </c:pt>
                <c:pt idx="1448">
                  <c:v>46146</c:v>
                </c:pt>
                <c:pt idx="1449">
                  <c:v>46146</c:v>
                </c:pt>
                <c:pt idx="1450">
                  <c:v>46148</c:v>
                </c:pt>
                <c:pt idx="1451">
                  <c:v>46148</c:v>
                </c:pt>
                <c:pt idx="1452">
                  <c:v>46141</c:v>
                </c:pt>
                <c:pt idx="1453">
                  <c:v>46142</c:v>
                </c:pt>
                <c:pt idx="1454">
                  <c:v>46140</c:v>
                </c:pt>
                <c:pt idx="1455">
                  <c:v>46141</c:v>
                </c:pt>
                <c:pt idx="1456">
                  <c:v>46146</c:v>
                </c:pt>
                <c:pt idx="1457">
                  <c:v>46141</c:v>
                </c:pt>
                <c:pt idx="1458">
                  <c:v>46141</c:v>
                </c:pt>
                <c:pt idx="1459">
                  <c:v>46141</c:v>
                </c:pt>
                <c:pt idx="1460">
                  <c:v>46141</c:v>
                </c:pt>
                <c:pt idx="1461">
                  <c:v>46141</c:v>
                </c:pt>
                <c:pt idx="1462">
                  <c:v>46146</c:v>
                </c:pt>
                <c:pt idx="1463">
                  <c:v>46146</c:v>
                </c:pt>
                <c:pt idx="1464">
                  <c:v>46146</c:v>
                </c:pt>
                <c:pt idx="1465">
                  <c:v>46146</c:v>
                </c:pt>
                <c:pt idx="1466">
                  <c:v>46146</c:v>
                </c:pt>
                <c:pt idx="1467">
                  <c:v>46141</c:v>
                </c:pt>
                <c:pt idx="1468">
                  <c:v>46142</c:v>
                </c:pt>
                <c:pt idx="1469">
                  <c:v>46141</c:v>
                </c:pt>
                <c:pt idx="1470">
                  <c:v>46139</c:v>
                </c:pt>
                <c:pt idx="1471">
                  <c:v>46139</c:v>
                </c:pt>
                <c:pt idx="1472">
                  <c:v>46139</c:v>
                </c:pt>
                <c:pt idx="1473">
                  <c:v>46142</c:v>
                </c:pt>
                <c:pt idx="1474">
                  <c:v>46140</c:v>
                </c:pt>
                <c:pt idx="1475">
                  <c:v>46141</c:v>
                </c:pt>
                <c:pt idx="1476">
                  <c:v>46141</c:v>
                </c:pt>
                <c:pt idx="1477">
                  <c:v>46141</c:v>
                </c:pt>
                <c:pt idx="1478">
                  <c:v>46142</c:v>
                </c:pt>
                <c:pt idx="1479">
                  <c:v>46148</c:v>
                </c:pt>
                <c:pt idx="1480">
                  <c:v>46146</c:v>
                </c:pt>
                <c:pt idx="1481">
                  <c:v>46146</c:v>
                </c:pt>
                <c:pt idx="1482">
                  <c:v>46142</c:v>
                </c:pt>
                <c:pt idx="1483">
                  <c:v>46155</c:v>
                </c:pt>
                <c:pt idx="1484">
                  <c:v>46156</c:v>
                </c:pt>
                <c:pt idx="1485">
                  <c:v>46142</c:v>
                </c:pt>
                <c:pt idx="1486">
                  <c:v>46161</c:v>
                </c:pt>
                <c:pt idx="1487">
                  <c:v>46141</c:v>
                </c:pt>
                <c:pt idx="1489">
                  <c:v>46149</c:v>
                </c:pt>
                <c:pt idx="1490">
                  <c:v>46141</c:v>
                </c:pt>
                <c:pt idx="1491">
                  <c:v>46148</c:v>
                </c:pt>
                <c:pt idx="1492">
                  <c:v>46147</c:v>
                </c:pt>
                <c:pt idx="1493">
                  <c:v>46146</c:v>
                </c:pt>
                <c:pt idx="1494">
                  <c:v>46142</c:v>
                </c:pt>
                <c:pt idx="1495">
                  <c:v>46146</c:v>
                </c:pt>
                <c:pt idx="1496">
                  <c:v>46146</c:v>
                </c:pt>
                <c:pt idx="1497">
                  <c:v>46146</c:v>
                </c:pt>
                <c:pt idx="1498">
                  <c:v>46146</c:v>
                </c:pt>
                <c:pt idx="1499">
                  <c:v>46147</c:v>
                </c:pt>
                <c:pt idx="1500">
                  <c:v>46141</c:v>
                </c:pt>
                <c:pt idx="1501">
                  <c:v>46141</c:v>
                </c:pt>
                <c:pt idx="1502">
                  <c:v>46141</c:v>
                </c:pt>
                <c:pt idx="1503">
                  <c:v>46156</c:v>
                </c:pt>
                <c:pt idx="1504">
                  <c:v>46150</c:v>
                </c:pt>
                <c:pt idx="1505">
                  <c:v>46146</c:v>
                </c:pt>
                <c:pt idx="1506">
                  <c:v>46147</c:v>
                </c:pt>
                <c:pt idx="1507">
                  <c:v>46148</c:v>
                </c:pt>
                <c:pt idx="1508">
                  <c:v>46148</c:v>
                </c:pt>
                <c:pt idx="1509">
                  <c:v>46147</c:v>
                </c:pt>
                <c:pt idx="1510">
                  <c:v>46147</c:v>
                </c:pt>
                <c:pt idx="1511">
                  <c:v>46142</c:v>
                </c:pt>
                <c:pt idx="1512">
                  <c:v>46142</c:v>
                </c:pt>
                <c:pt idx="1513">
                  <c:v>46153</c:v>
                </c:pt>
                <c:pt idx="1514">
                  <c:v>46142</c:v>
                </c:pt>
                <c:pt idx="1515">
                  <c:v>46149</c:v>
                </c:pt>
                <c:pt idx="1516">
                  <c:v>46142</c:v>
                </c:pt>
                <c:pt idx="1517">
                  <c:v>46142</c:v>
                </c:pt>
                <c:pt idx="1518">
                  <c:v>46149</c:v>
                </c:pt>
                <c:pt idx="1519">
                  <c:v>46153</c:v>
                </c:pt>
                <c:pt idx="1520">
                  <c:v>46150</c:v>
                </c:pt>
                <c:pt idx="1521">
                  <c:v>46148</c:v>
                </c:pt>
                <c:pt idx="1522">
                  <c:v>46149</c:v>
                </c:pt>
                <c:pt idx="1523">
                  <c:v>46153</c:v>
                </c:pt>
                <c:pt idx="1524">
                  <c:v>46180</c:v>
                </c:pt>
                <c:pt idx="1526">
                  <c:v>46150</c:v>
                </c:pt>
                <c:pt idx="1527">
                  <c:v>46150</c:v>
                </c:pt>
                <c:pt idx="1528">
                  <c:v>46148</c:v>
                </c:pt>
                <c:pt idx="1529">
                  <c:v>46147</c:v>
                </c:pt>
                <c:pt idx="1530">
                  <c:v>46148</c:v>
                </c:pt>
                <c:pt idx="1531">
                  <c:v>46147</c:v>
                </c:pt>
                <c:pt idx="1532">
                  <c:v>46147</c:v>
                </c:pt>
                <c:pt idx="1533">
                  <c:v>46147</c:v>
                </c:pt>
                <c:pt idx="1534">
                  <c:v>46147</c:v>
                </c:pt>
                <c:pt idx="1535">
                  <c:v>46148</c:v>
                </c:pt>
                <c:pt idx="1536">
                  <c:v>46147</c:v>
                </c:pt>
                <c:pt idx="1537">
                  <c:v>46154</c:v>
                </c:pt>
                <c:pt idx="1538">
                  <c:v>46154</c:v>
                </c:pt>
                <c:pt idx="1539">
                  <c:v>46154</c:v>
                </c:pt>
                <c:pt idx="1540">
                  <c:v>46154</c:v>
                </c:pt>
                <c:pt idx="1541">
                  <c:v>46153</c:v>
                </c:pt>
                <c:pt idx="1542">
                  <c:v>46150</c:v>
                </c:pt>
                <c:pt idx="1543">
                  <c:v>46154</c:v>
                </c:pt>
                <c:pt idx="1544">
                  <c:v>46153</c:v>
                </c:pt>
                <c:pt idx="1545">
                  <c:v>46149</c:v>
                </c:pt>
                <c:pt idx="1546">
                  <c:v>46150</c:v>
                </c:pt>
                <c:pt idx="1547">
                  <c:v>46149</c:v>
                </c:pt>
                <c:pt idx="1548">
                  <c:v>46150</c:v>
                </c:pt>
                <c:pt idx="1549">
                  <c:v>46148</c:v>
                </c:pt>
                <c:pt idx="1550">
                  <c:v>46149</c:v>
                </c:pt>
                <c:pt idx="1551">
                  <c:v>46148</c:v>
                </c:pt>
                <c:pt idx="1552">
                  <c:v>46150</c:v>
                </c:pt>
                <c:pt idx="1553">
                  <c:v>46155</c:v>
                </c:pt>
                <c:pt idx="1554">
                  <c:v>46150</c:v>
                </c:pt>
                <c:pt idx="1555">
                  <c:v>46154</c:v>
                </c:pt>
                <c:pt idx="1556">
                  <c:v>46150</c:v>
                </c:pt>
                <c:pt idx="1557">
                  <c:v>46150</c:v>
                </c:pt>
                <c:pt idx="1558">
                  <c:v>46155</c:v>
                </c:pt>
                <c:pt idx="1559">
                  <c:v>46148</c:v>
                </c:pt>
                <c:pt idx="1560">
                  <c:v>46149</c:v>
                </c:pt>
                <c:pt idx="1561">
                  <c:v>46148</c:v>
                </c:pt>
                <c:pt idx="1562">
                  <c:v>46153</c:v>
                </c:pt>
                <c:pt idx="1563">
                  <c:v>46153</c:v>
                </c:pt>
                <c:pt idx="1564">
                  <c:v>46153</c:v>
                </c:pt>
                <c:pt idx="1565">
                  <c:v>46153</c:v>
                </c:pt>
                <c:pt idx="1566">
                  <c:v>46153</c:v>
                </c:pt>
                <c:pt idx="1567">
                  <c:v>46153</c:v>
                </c:pt>
                <c:pt idx="1568">
                  <c:v>46153</c:v>
                </c:pt>
                <c:pt idx="1569">
                  <c:v>46149</c:v>
                </c:pt>
                <c:pt idx="1570">
                  <c:v>46148</c:v>
                </c:pt>
                <c:pt idx="1571">
                  <c:v>46149</c:v>
                </c:pt>
                <c:pt idx="1572">
                  <c:v>46150</c:v>
                </c:pt>
                <c:pt idx="1573">
                  <c:v>46149</c:v>
                </c:pt>
                <c:pt idx="1574">
                  <c:v>46153</c:v>
                </c:pt>
                <c:pt idx="1575">
                  <c:v>46150</c:v>
                </c:pt>
                <c:pt idx="1576">
                  <c:v>46149</c:v>
                </c:pt>
                <c:pt idx="1577">
                  <c:v>46153</c:v>
                </c:pt>
                <c:pt idx="1578">
                  <c:v>46154</c:v>
                </c:pt>
                <c:pt idx="1579">
                  <c:v>46149</c:v>
                </c:pt>
                <c:pt idx="1580">
                  <c:v>46154</c:v>
                </c:pt>
                <c:pt idx="1581">
                  <c:v>46149</c:v>
                </c:pt>
                <c:pt idx="1582">
                  <c:v>46150</c:v>
                </c:pt>
                <c:pt idx="1583">
                  <c:v>46149</c:v>
                </c:pt>
                <c:pt idx="1584">
                  <c:v>46153</c:v>
                </c:pt>
                <c:pt idx="1585">
                  <c:v>46153</c:v>
                </c:pt>
                <c:pt idx="1586">
                  <c:v>46149</c:v>
                </c:pt>
                <c:pt idx="1587">
                  <c:v>46149</c:v>
                </c:pt>
                <c:pt idx="1588">
                  <c:v>46149</c:v>
                </c:pt>
                <c:pt idx="1589">
                  <c:v>46149</c:v>
                </c:pt>
                <c:pt idx="1590">
                  <c:v>46150</c:v>
                </c:pt>
                <c:pt idx="1591">
                  <c:v>46149</c:v>
                </c:pt>
                <c:pt idx="1592">
                  <c:v>46149</c:v>
                </c:pt>
                <c:pt idx="1593">
                  <c:v>46149</c:v>
                </c:pt>
                <c:pt idx="1594">
                  <c:v>46149</c:v>
                </c:pt>
                <c:pt idx="1595">
                  <c:v>46149</c:v>
                </c:pt>
                <c:pt idx="1596">
                  <c:v>46148</c:v>
                </c:pt>
                <c:pt idx="1597">
                  <c:v>46149</c:v>
                </c:pt>
                <c:pt idx="1598">
                  <c:v>46149</c:v>
                </c:pt>
                <c:pt idx="1599">
                  <c:v>46149</c:v>
                </c:pt>
                <c:pt idx="1600">
                  <c:v>46154</c:v>
                </c:pt>
                <c:pt idx="1601">
                  <c:v>46154</c:v>
                </c:pt>
                <c:pt idx="1602">
                  <c:v>46149</c:v>
                </c:pt>
                <c:pt idx="1603">
                  <c:v>46149</c:v>
                </c:pt>
                <c:pt idx="1604">
                  <c:v>46149</c:v>
                </c:pt>
                <c:pt idx="1605">
                  <c:v>46150</c:v>
                </c:pt>
                <c:pt idx="1606">
                  <c:v>46154</c:v>
                </c:pt>
                <c:pt idx="1607">
                  <c:v>46150</c:v>
                </c:pt>
                <c:pt idx="1608">
                  <c:v>46150</c:v>
                </c:pt>
                <c:pt idx="1609">
                  <c:v>46150</c:v>
                </c:pt>
                <c:pt idx="1610">
                  <c:v>46149</c:v>
                </c:pt>
                <c:pt idx="1611">
                  <c:v>46150</c:v>
                </c:pt>
                <c:pt idx="1612">
                  <c:v>46149</c:v>
                </c:pt>
                <c:pt idx="1613">
                  <c:v>46153</c:v>
                </c:pt>
                <c:pt idx="1614">
                  <c:v>46153</c:v>
                </c:pt>
                <c:pt idx="1615">
                  <c:v>46149</c:v>
                </c:pt>
                <c:pt idx="1616">
                  <c:v>46150</c:v>
                </c:pt>
                <c:pt idx="1617">
                  <c:v>46160</c:v>
                </c:pt>
                <c:pt idx="1618">
                  <c:v>46153</c:v>
                </c:pt>
                <c:pt idx="1619">
                  <c:v>46153</c:v>
                </c:pt>
                <c:pt idx="1620">
                  <c:v>46149</c:v>
                </c:pt>
                <c:pt idx="1621">
                  <c:v>46149</c:v>
                </c:pt>
                <c:pt idx="1622">
                  <c:v>46153</c:v>
                </c:pt>
                <c:pt idx="1623">
                  <c:v>46154</c:v>
                </c:pt>
                <c:pt idx="1624">
                  <c:v>46149</c:v>
                </c:pt>
                <c:pt idx="1625">
                  <c:v>46149</c:v>
                </c:pt>
                <c:pt idx="1626">
                  <c:v>46149</c:v>
                </c:pt>
                <c:pt idx="1627">
                  <c:v>46149</c:v>
                </c:pt>
                <c:pt idx="1628">
                  <c:v>46160</c:v>
                </c:pt>
                <c:pt idx="1629">
                  <c:v>46153</c:v>
                </c:pt>
                <c:pt idx="1630">
                  <c:v>46149</c:v>
                </c:pt>
                <c:pt idx="1631">
                  <c:v>46153</c:v>
                </c:pt>
                <c:pt idx="1632">
                  <c:v>46149</c:v>
                </c:pt>
                <c:pt idx="1633">
                  <c:v>46153</c:v>
                </c:pt>
                <c:pt idx="1634">
                  <c:v>46149</c:v>
                </c:pt>
                <c:pt idx="1635">
                  <c:v>46149</c:v>
                </c:pt>
                <c:pt idx="1636">
                  <c:v>46149</c:v>
                </c:pt>
                <c:pt idx="1637">
                  <c:v>46150</c:v>
                </c:pt>
                <c:pt idx="1638">
                  <c:v>46154</c:v>
                </c:pt>
                <c:pt idx="1639">
                  <c:v>46154</c:v>
                </c:pt>
                <c:pt idx="1640">
                  <c:v>46149</c:v>
                </c:pt>
                <c:pt idx="1641">
                  <c:v>46149</c:v>
                </c:pt>
                <c:pt idx="1642">
                  <c:v>46149</c:v>
                </c:pt>
                <c:pt idx="1643">
                  <c:v>46153</c:v>
                </c:pt>
                <c:pt idx="1644">
                  <c:v>46154</c:v>
                </c:pt>
                <c:pt idx="1645">
                  <c:v>46153</c:v>
                </c:pt>
                <c:pt idx="1646">
                  <c:v>46154</c:v>
                </c:pt>
                <c:pt idx="1647">
                  <c:v>46154</c:v>
                </c:pt>
                <c:pt idx="1648">
                  <c:v>46154</c:v>
                </c:pt>
                <c:pt idx="1649">
                  <c:v>46155</c:v>
                </c:pt>
                <c:pt idx="1650">
                  <c:v>46154</c:v>
                </c:pt>
                <c:pt idx="1651">
                  <c:v>46155</c:v>
                </c:pt>
                <c:pt idx="1652">
                  <c:v>46155</c:v>
                </c:pt>
                <c:pt idx="1653">
                  <c:v>46154</c:v>
                </c:pt>
                <c:pt idx="1654">
                  <c:v>46154</c:v>
                </c:pt>
                <c:pt idx="1655">
                  <c:v>46154</c:v>
                </c:pt>
                <c:pt idx="1656">
                  <c:v>46153</c:v>
                </c:pt>
                <c:pt idx="1657">
                  <c:v>46153</c:v>
                </c:pt>
                <c:pt idx="1658">
                  <c:v>46153</c:v>
                </c:pt>
                <c:pt idx="1659">
                  <c:v>46153</c:v>
                </c:pt>
                <c:pt idx="1660">
                  <c:v>46153</c:v>
                </c:pt>
                <c:pt idx="1661">
                  <c:v>46153</c:v>
                </c:pt>
                <c:pt idx="1662">
                  <c:v>46153</c:v>
                </c:pt>
                <c:pt idx="1663">
                  <c:v>46155</c:v>
                </c:pt>
                <c:pt idx="1664">
                  <c:v>46154</c:v>
                </c:pt>
                <c:pt idx="1665">
                  <c:v>46154</c:v>
                </c:pt>
                <c:pt idx="1666">
                  <c:v>46153</c:v>
                </c:pt>
                <c:pt idx="1667">
                  <c:v>46154</c:v>
                </c:pt>
                <c:pt idx="1668">
                  <c:v>46153</c:v>
                </c:pt>
                <c:pt idx="1669">
                  <c:v>46153</c:v>
                </c:pt>
                <c:pt idx="1670">
                  <c:v>46154</c:v>
                </c:pt>
                <c:pt idx="1671">
                  <c:v>46154</c:v>
                </c:pt>
                <c:pt idx="1672">
                  <c:v>46154</c:v>
                </c:pt>
                <c:pt idx="1673">
                  <c:v>46154</c:v>
                </c:pt>
                <c:pt idx="1674">
                  <c:v>46160</c:v>
                </c:pt>
                <c:pt idx="1675">
                  <c:v>46154</c:v>
                </c:pt>
                <c:pt idx="1676">
                  <c:v>46154</c:v>
                </c:pt>
                <c:pt idx="1677">
                  <c:v>46154</c:v>
                </c:pt>
                <c:pt idx="1678">
                  <c:v>46154</c:v>
                </c:pt>
                <c:pt idx="1679">
                  <c:v>46156</c:v>
                </c:pt>
                <c:pt idx="1680">
                  <c:v>46161</c:v>
                </c:pt>
                <c:pt idx="1681">
                  <c:v>46161</c:v>
                </c:pt>
                <c:pt idx="1682">
                  <c:v>46156</c:v>
                </c:pt>
                <c:pt idx="1683">
                  <c:v>46156</c:v>
                </c:pt>
                <c:pt idx="1684">
                  <c:v>46154</c:v>
                </c:pt>
                <c:pt idx="1685">
                  <c:v>46155</c:v>
                </c:pt>
                <c:pt idx="1686">
                  <c:v>46154</c:v>
                </c:pt>
                <c:pt idx="1687">
                  <c:v>46153</c:v>
                </c:pt>
                <c:pt idx="1688">
                  <c:v>46154</c:v>
                </c:pt>
                <c:pt idx="1689">
                  <c:v>46154</c:v>
                </c:pt>
                <c:pt idx="1690">
                  <c:v>46154</c:v>
                </c:pt>
                <c:pt idx="1691">
                  <c:v>46155</c:v>
                </c:pt>
                <c:pt idx="1692">
                  <c:v>46155</c:v>
                </c:pt>
                <c:pt idx="1693">
                  <c:v>46156</c:v>
                </c:pt>
                <c:pt idx="1694">
                  <c:v>46154</c:v>
                </c:pt>
                <c:pt idx="1695">
                  <c:v>46156</c:v>
                </c:pt>
                <c:pt idx="1696">
                  <c:v>46157</c:v>
                </c:pt>
                <c:pt idx="1697">
                  <c:v>46156</c:v>
                </c:pt>
                <c:pt idx="1698">
                  <c:v>46155</c:v>
                </c:pt>
                <c:pt idx="1699">
                  <c:v>46155</c:v>
                </c:pt>
                <c:pt idx="1700">
                  <c:v>46155</c:v>
                </c:pt>
                <c:pt idx="1701">
                  <c:v>46157</c:v>
                </c:pt>
                <c:pt idx="1702">
                  <c:v>46155</c:v>
                </c:pt>
                <c:pt idx="1703">
                  <c:v>46156</c:v>
                </c:pt>
                <c:pt idx="1704">
                  <c:v>46155</c:v>
                </c:pt>
                <c:pt idx="1705">
                  <c:v>46155</c:v>
                </c:pt>
                <c:pt idx="1706">
                  <c:v>46156</c:v>
                </c:pt>
                <c:pt idx="1707">
                  <c:v>46155</c:v>
                </c:pt>
                <c:pt idx="1708">
                  <c:v>46156</c:v>
                </c:pt>
                <c:pt idx="1709">
                  <c:v>46156</c:v>
                </c:pt>
                <c:pt idx="1710">
                  <c:v>46157</c:v>
                </c:pt>
                <c:pt idx="1711">
                  <c:v>46156</c:v>
                </c:pt>
                <c:pt idx="1712">
                  <c:v>46156</c:v>
                </c:pt>
                <c:pt idx="1713">
                  <c:v>46156</c:v>
                </c:pt>
                <c:pt idx="1714">
                  <c:v>46160</c:v>
                </c:pt>
                <c:pt idx="1715">
                  <c:v>46160</c:v>
                </c:pt>
                <c:pt idx="1716">
                  <c:v>46157</c:v>
                </c:pt>
                <c:pt idx="1717">
                  <c:v>46156</c:v>
                </c:pt>
                <c:pt idx="1718">
                  <c:v>46160</c:v>
                </c:pt>
                <c:pt idx="1719">
                  <c:v>46160</c:v>
                </c:pt>
                <c:pt idx="1720">
                  <c:v>46160</c:v>
                </c:pt>
                <c:pt idx="1721">
                  <c:v>46160</c:v>
                </c:pt>
                <c:pt idx="1722">
                  <c:v>46161</c:v>
                </c:pt>
                <c:pt idx="1723">
                  <c:v>46156</c:v>
                </c:pt>
                <c:pt idx="1724">
                  <c:v>46161</c:v>
                </c:pt>
                <c:pt idx="1725">
                  <c:v>46156</c:v>
                </c:pt>
                <c:pt idx="1726">
                  <c:v>46160</c:v>
                </c:pt>
                <c:pt idx="1727">
                  <c:v>46161</c:v>
                </c:pt>
                <c:pt idx="1728">
                  <c:v>46161</c:v>
                </c:pt>
                <c:pt idx="1729">
                  <c:v>46156</c:v>
                </c:pt>
                <c:pt idx="1730">
                  <c:v>46156</c:v>
                </c:pt>
                <c:pt idx="1731">
                  <c:v>46157</c:v>
                </c:pt>
                <c:pt idx="1732">
                  <c:v>46155</c:v>
                </c:pt>
                <c:pt idx="1733">
                  <c:v>46157</c:v>
                </c:pt>
                <c:pt idx="1734">
                  <c:v>46155</c:v>
                </c:pt>
                <c:pt idx="1735">
                  <c:v>46155</c:v>
                </c:pt>
                <c:pt idx="1736">
                  <c:v>46156</c:v>
                </c:pt>
                <c:pt idx="1737">
                  <c:v>46156</c:v>
                </c:pt>
                <c:pt idx="1738">
                  <c:v>46155</c:v>
                </c:pt>
                <c:pt idx="1739">
                  <c:v>46161</c:v>
                </c:pt>
                <c:pt idx="1740">
                  <c:v>46160</c:v>
                </c:pt>
                <c:pt idx="1741">
                  <c:v>46157</c:v>
                </c:pt>
                <c:pt idx="1742">
                  <c:v>46160</c:v>
                </c:pt>
                <c:pt idx="1743">
                  <c:v>46157</c:v>
                </c:pt>
                <c:pt idx="1744">
                  <c:v>46160</c:v>
                </c:pt>
                <c:pt idx="1745">
                  <c:v>46161</c:v>
                </c:pt>
                <c:pt idx="1746">
                  <c:v>46157</c:v>
                </c:pt>
                <c:pt idx="1747">
                  <c:v>46157</c:v>
                </c:pt>
                <c:pt idx="1748">
                  <c:v>46157</c:v>
                </c:pt>
                <c:pt idx="1749">
                  <c:v>46155</c:v>
                </c:pt>
                <c:pt idx="1750">
                  <c:v>46156</c:v>
                </c:pt>
                <c:pt idx="1751">
                  <c:v>46161</c:v>
                </c:pt>
                <c:pt idx="1753">
                  <c:v>46157</c:v>
                </c:pt>
                <c:pt idx="1754">
                  <c:v>46157</c:v>
                </c:pt>
                <c:pt idx="1755">
                  <c:v>46157</c:v>
                </c:pt>
                <c:pt idx="1756">
                  <c:v>46157</c:v>
                </c:pt>
                <c:pt idx="1757">
                  <c:v>46157</c:v>
                </c:pt>
                <c:pt idx="1759">
                  <c:v>46161</c:v>
                </c:pt>
                <c:pt idx="1760">
                  <c:v>46157</c:v>
                </c:pt>
                <c:pt idx="1761">
                  <c:v>46160</c:v>
                </c:pt>
                <c:pt idx="1762">
                  <c:v>46160</c:v>
                </c:pt>
                <c:pt idx="1763">
                  <c:v>46161</c:v>
                </c:pt>
                <c:pt idx="1764">
                  <c:v>46161</c:v>
                </c:pt>
                <c:pt idx="1765">
                  <c:v>46157</c:v>
                </c:pt>
                <c:pt idx="1766">
                  <c:v>46157</c:v>
                </c:pt>
                <c:pt idx="1767">
                  <c:v>46161</c:v>
                </c:pt>
                <c:pt idx="1768">
                  <c:v>46160</c:v>
                </c:pt>
                <c:pt idx="1769">
                  <c:v>46160</c:v>
                </c:pt>
                <c:pt idx="1770">
                  <c:v>46157</c:v>
                </c:pt>
                <c:pt idx="1771">
                  <c:v>46157</c:v>
                </c:pt>
                <c:pt idx="1772">
                  <c:v>46157</c:v>
                </c:pt>
                <c:pt idx="1773">
                  <c:v>46157</c:v>
                </c:pt>
                <c:pt idx="1774">
                  <c:v>46160</c:v>
                </c:pt>
                <c:pt idx="1775">
                  <c:v>46161</c:v>
                </c:pt>
                <c:pt idx="1776">
                  <c:v>46161</c:v>
                </c:pt>
                <c:pt idx="1777">
                  <c:v>46157</c:v>
                </c:pt>
                <c:pt idx="1778">
                  <c:v>46160</c:v>
                </c:pt>
                <c:pt idx="1779">
                  <c:v>46160</c:v>
                </c:pt>
                <c:pt idx="1780">
                  <c:v>46161</c:v>
                </c:pt>
                <c:pt idx="1781">
                  <c:v>46161</c:v>
                </c:pt>
                <c:pt idx="1782">
                  <c:v>46161</c:v>
                </c:pt>
                <c:pt idx="1783">
                  <c:v>46156</c:v>
                </c:pt>
                <c:pt idx="1784">
                  <c:v>46162</c:v>
                </c:pt>
                <c:pt idx="1785">
                  <c:v>46157</c:v>
                </c:pt>
                <c:pt idx="1786">
                  <c:v>46161</c:v>
                </c:pt>
                <c:pt idx="1787">
                  <c:v>46157</c:v>
                </c:pt>
                <c:pt idx="1788">
                  <c:v>46161</c:v>
                </c:pt>
                <c:pt idx="1789">
                  <c:v>46162</c:v>
                </c:pt>
                <c:pt idx="1790">
                  <c:v>46162</c:v>
                </c:pt>
                <c:pt idx="1791">
                  <c:v>46161</c:v>
                </c:pt>
                <c:pt idx="1792">
                  <c:v>46160</c:v>
                </c:pt>
                <c:pt idx="1793">
                  <c:v>46161</c:v>
                </c:pt>
                <c:pt idx="1794">
                  <c:v>46160</c:v>
                </c:pt>
                <c:pt idx="1795">
                  <c:v>46162</c:v>
                </c:pt>
                <c:pt idx="1796">
                  <c:v>46161</c:v>
                </c:pt>
                <c:pt idx="1797">
                  <c:v>46161</c:v>
                </c:pt>
                <c:pt idx="1798">
                  <c:v>46161</c:v>
                </c:pt>
                <c:pt idx="1799">
                  <c:v>46161</c:v>
                </c:pt>
                <c:pt idx="1800">
                  <c:v>46162</c:v>
                </c:pt>
                <c:pt idx="1801">
                  <c:v>46161</c:v>
                </c:pt>
                <c:pt idx="1802">
                  <c:v>46161</c:v>
                </c:pt>
                <c:pt idx="1803">
                  <c:v>46157</c:v>
                </c:pt>
                <c:pt idx="1804">
                  <c:v>46160</c:v>
                </c:pt>
                <c:pt idx="1805">
                  <c:v>46161</c:v>
                </c:pt>
                <c:pt idx="1806">
                  <c:v>46162</c:v>
                </c:pt>
                <c:pt idx="1807">
                  <c:v>46161</c:v>
                </c:pt>
                <c:pt idx="1808">
                  <c:v>46161</c:v>
                </c:pt>
                <c:pt idx="1809">
                  <c:v>46161</c:v>
                </c:pt>
                <c:pt idx="1811">
                  <c:v>46161</c:v>
                </c:pt>
                <c:pt idx="1812">
                  <c:v>46161</c:v>
                </c:pt>
                <c:pt idx="1813">
                  <c:v>46161</c:v>
                </c:pt>
                <c:pt idx="1815">
                  <c:v>46162</c:v>
                </c:pt>
                <c:pt idx="1816">
                  <c:v>46162</c:v>
                </c:pt>
                <c:pt idx="1817">
                  <c:v>46162</c:v>
                </c:pt>
                <c:pt idx="1818">
                  <c:v>46162</c:v>
                </c:pt>
                <c:pt idx="1836">
                  <c:v>46162</c:v>
                </c:pt>
                <c:pt idx="1837">
                  <c:v>46162</c:v>
                </c:pt>
                <c:pt idx="1838">
                  <c:v>46162</c:v>
                </c:pt>
                <c:pt idx="1840">
                  <c:v>46162</c:v>
                </c:pt>
                <c:pt idx="1841">
                  <c:v>46162</c:v>
                </c:pt>
                <c:pt idx="1842">
                  <c:v>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EA-4783-A855-9FF601EC7E11}"/>
            </c:ext>
          </c:extLst>
        </c:ser>
        <c:ser>
          <c:idx val="14"/>
          <c:order val="14"/>
          <c:tx>
            <c:strRef>
              <c:f>'INVENTÁRIO 2026'!$N$2</c:f>
              <c:strCache>
                <c:ptCount val="1"/>
                <c:pt idx="0">
                  <c:v>ANALISTA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2026'!$N$3:$N$11811</c:f>
              <c:numCache>
                <c:formatCode>General</c:formatCode>
                <c:ptCount val="11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4">
                  <c:v>0</c:v>
                </c:pt>
                <c:pt idx="435">
                  <c:v>0</c:v>
                </c:pt>
                <c:pt idx="437">
                  <c:v>0</c:v>
                </c:pt>
                <c:pt idx="438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 formatCode="m/d/yyyy">
                  <c:v>0</c:v>
                </c:pt>
                <c:pt idx="511" formatCode="m/d/yyyy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 formatCode="m/d/yyyy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4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 formatCode="m/d/yyyy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3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4">
                  <c:v>0</c:v>
                </c:pt>
                <c:pt idx="1295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 formatCode="m/d/yyyy">
                  <c:v>0</c:v>
                </c:pt>
                <c:pt idx="1436" formatCode="m/d/yyyy">
                  <c:v>0</c:v>
                </c:pt>
                <c:pt idx="1437" formatCode="m/d/yyyy">
                  <c:v>0</c:v>
                </c:pt>
                <c:pt idx="1438" formatCode="m/d/yyyy">
                  <c:v>0</c:v>
                </c:pt>
                <c:pt idx="1439" formatCode="m/d/yyyy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EA-4783-A855-9FF601EC7E11}"/>
            </c:ext>
          </c:extLst>
        </c:ser>
        <c:ser>
          <c:idx val="15"/>
          <c:order val="15"/>
          <c:tx>
            <c:strRef>
              <c:f>'INVENTÁRIO 2026'!$O$2</c:f>
              <c:strCache>
                <c:ptCount val="1"/>
                <c:pt idx="0">
                  <c:v>OBS: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2026'!$O$3:$O$11811</c:f>
              <c:numCache>
                <c:formatCode>General</c:formatCode>
                <c:ptCount val="11809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66">
                  <c:v>0</c:v>
                </c:pt>
                <c:pt idx="157">
                  <c:v>0</c:v>
                </c:pt>
                <c:pt idx="158">
                  <c:v>0</c:v>
                </c:pt>
                <c:pt idx="189">
                  <c:v>0</c:v>
                </c:pt>
                <c:pt idx="207">
                  <c:v>0</c:v>
                </c:pt>
                <c:pt idx="238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89">
                  <c:v>0</c:v>
                </c:pt>
                <c:pt idx="326">
                  <c:v>0</c:v>
                </c:pt>
                <c:pt idx="329">
                  <c:v>0</c:v>
                </c:pt>
                <c:pt idx="556">
                  <c:v>0</c:v>
                </c:pt>
                <c:pt idx="562">
                  <c:v>0</c:v>
                </c:pt>
                <c:pt idx="571">
                  <c:v>0</c:v>
                </c:pt>
                <c:pt idx="728">
                  <c:v>0</c:v>
                </c:pt>
                <c:pt idx="729">
                  <c:v>0</c:v>
                </c:pt>
                <c:pt idx="780">
                  <c:v>0</c:v>
                </c:pt>
                <c:pt idx="782">
                  <c:v>0</c:v>
                </c:pt>
                <c:pt idx="804">
                  <c:v>0</c:v>
                </c:pt>
                <c:pt idx="818">
                  <c:v>0</c:v>
                </c:pt>
                <c:pt idx="851">
                  <c:v>0</c:v>
                </c:pt>
                <c:pt idx="919">
                  <c:v>0</c:v>
                </c:pt>
                <c:pt idx="1022">
                  <c:v>0</c:v>
                </c:pt>
                <c:pt idx="1064">
                  <c:v>0</c:v>
                </c:pt>
                <c:pt idx="1078">
                  <c:v>0</c:v>
                </c:pt>
                <c:pt idx="1094">
                  <c:v>0</c:v>
                </c:pt>
                <c:pt idx="1148">
                  <c:v>0</c:v>
                </c:pt>
                <c:pt idx="1315">
                  <c:v>0</c:v>
                </c:pt>
                <c:pt idx="1422">
                  <c:v>0</c:v>
                </c:pt>
                <c:pt idx="1484">
                  <c:v>0</c:v>
                </c:pt>
                <c:pt idx="1499">
                  <c:v>0</c:v>
                </c:pt>
                <c:pt idx="1515">
                  <c:v>0</c:v>
                </c:pt>
                <c:pt idx="1553">
                  <c:v>0</c:v>
                </c:pt>
                <c:pt idx="1558">
                  <c:v>0</c:v>
                </c:pt>
                <c:pt idx="1578">
                  <c:v>0</c:v>
                </c:pt>
                <c:pt idx="1733">
                  <c:v>0</c:v>
                </c:pt>
                <c:pt idx="17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EA-4783-A855-9FF601EC7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804928"/>
        <c:axId val="1480807008"/>
      </c:barChart>
      <c:catAx>
        <c:axId val="148080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0807008"/>
        <c:crosses val="autoZero"/>
        <c:auto val="1"/>
        <c:lblAlgn val="ctr"/>
        <c:lblOffset val="100"/>
        <c:noMultiLvlLbl val="0"/>
      </c:catAx>
      <c:valAx>
        <c:axId val="14808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08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'INVENTÁRIO 2026'!$A$2</c:f>
              <c:strCache>
                <c:ptCount val="1"/>
                <c:pt idx="0">
                  <c:v>CREDOR/OBJETO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'INVENTÁRIO 2026'!$A$3:$A$11861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5839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3-4085-A09B-B89DD00D11D6}"/>
            </c:ext>
          </c:extLst>
        </c:ser>
        <c:ser>
          <c:idx val="1"/>
          <c:order val="1"/>
          <c:tx>
            <c:strRef>
              <c:f>'INVENTÁRIO 2026'!$B$2</c:f>
              <c:strCache>
                <c:ptCount val="1"/>
                <c:pt idx="0">
                  <c:v>QUANT. ENTRADA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'INVENTÁRIO 2026'!$B$3:$B$11861</c:f>
              <c:numCache>
                <c:formatCode>General</c:formatCode>
                <c:ptCount val="1185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3</c:v>
                </c:pt>
                <c:pt idx="190">
                  <c:v>2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3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2</c:v>
                </c:pt>
                <c:pt idx="228">
                  <c:v>2</c:v>
                </c:pt>
                <c:pt idx="229">
                  <c:v>3</c:v>
                </c:pt>
                <c:pt idx="230">
                  <c:v>1</c:v>
                </c:pt>
                <c:pt idx="231">
                  <c:v>2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2</c:v>
                </c:pt>
                <c:pt idx="238">
                  <c:v>4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3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1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4</c:v>
                </c:pt>
                <c:pt idx="287">
                  <c:v>1</c:v>
                </c:pt>
                <c:pt idx="288">
                  <c:v>1</c:v>
                </c:pt>
                <c:pt idx="289">
                  <c:v>2</c:v>
                </c:pt>
                <c:pt idx="290">
                  <c:v>2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2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1</c:v>
                </c:pt>
                <c:pt idx="343">
                  <c:v>3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3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3</c:v>
                </c:pt>
                <c:pt idx="368">
                  <c:v>2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1</c:v>
                </c:pt>
                <c:pt idx="410">
                  <c:v>1</c:v>
                </c:pt>
                <c:pt idx="411">
                  <c:v>2</c:v>
                </c:pt>
                <c:pt idx="412">
                  <c:v>3</c:v>
                </c:pt>
                <c:pt idx="413">
                  <c:v>1</c:v>
                </c:pt>
                <c:pt idx="414">
                  <c:v>3</c:v>
                </c:pt>
                <c:pt idx="415">
                  <c:v>2</c:v>
                </c:pt>
                <c:pt idx="416">
                  <c:v>2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3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1</c:v>
                </c:pt>
                <c:pt idx="427">
                  <c:v>1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3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3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1</c:v>
                </c:pt>
                <c:pt idx="485">
                  <c:v>3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1</c:v>
                </c:pt>
                <c:pt idx="494">
                  <c:v>3</c:v>
                </c:pt>
                <c:pt idx="495">
                  <c:v>2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3</c:v>
                </c:pt>
                <c:pt idx="507">
                  <c:v>1</c:v>
                </c:pt>
                <c:pt idx="508">
                  <c:v>3</c:v>
                </c:pt>
                <c:pt idx="509">
                  <c:v>2</c:v>
                </c:pt>
                <c:pt idx="510">
                  <c:v>2</c:v>
                </c:pt>
                <c:pt idx="511">
                  <c:v>1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1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1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1</c:v>
                </c:pt>
                <c:pt idx="556">
                  <c:v>2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2</c:v>
                </c:pt>
                <c:pt idx="563">
                  <c:v>1</c:v>
                </c:pt>
                <c:pt idx="564">
                  <c:v>2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2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2</c:v>
                </c:pt>
                <c:pt idx="581">
                  <c:v>2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2</c:v>
                </c:pt>
                <c:pt idx="587">
                  <c:v>1</c:v>
                </c:pt>
                <c:pt idx="588">
                  <c:v>1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2</c:v>
                </c:pt>
                <c:pt idx="664">
                  <c:v>3</c:v>
                </c:pt>
                <c:pt idx="665">
                  <c:v>2</c:v>
                </c:pt>
                <c:pt idx="666">
                  <c:v>1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2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2</c:v>
                </c:pt>
                <c:pt idx="714">
                  <c:v>3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2</c:v>
                </c:pt>
                <c:pt idx="726">
                  <c:v>2</c:v>
                </c:pt>
                <c:pt idx="727">
                  <c:v>1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2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2</c:v>
                </c:pt>
                <c:pt idx="771">
                  <c:v>1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2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2</c:v>
                </c:pt>
                <c:pt idx="807">
                  <c:v>2</c:v>
                </c:pt>
                <c:pt idx="808">
                  <c:v>1</c:v>
                </c:pt>
                <c:pt idx="809">
                  <c:v>3</c:v>
                </c:pt>
                <c:pt idx="810">
                  <c:v>2</c:v>
                </c:pt>
                <c:pt idx="811">
                  <c:v>2</c:v>
                </c:pt>
                <c:pt idx="812">
                  <c:v>1</c:v>
                </c:pt>
                <c:pt idx="813">
                  <c:v>2</c:v>
                </c:pt>
                <c:pt idx="814">
                  <c:v>1</c:v>
                </c:pt>
                <c:pt idx="815">
                  <c:v>1</c:v>
                </c:pt>
                <c:pt idx="816">
                  <c:v>3</c:v>
                </c:pt>
                <c:pt idx="817">
                  <c:v>1</c:v>
                </c:pt>
                <c:pt idx="818">
                  <c:v>2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2</c:v>
                </c:pt>
                <c:pt idx="823">
                  <c:v>2</c:v>
                </c:pt>
                <c:pt idx="824">
                  <c:v>1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1</c:v>
                </c:pt>
                <c:pt idx="844">
                  <c:v>1</c:v>
                </c:pt>
                <c:pt idx="845">
                  <c:v>2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3</c:v>
                </c:pt>
                <c:pt idx="852">
                  <c:v>1</c:v>
                </c:pt>
                <c:pt idx="853">
                  <c:v>1</c:v>
                </c:pt>
                <c:pt idx="854">
                  <c:v>2</c:v>
                </c:pt>
                <c:pt idx="855">
                  <c:v>1</c:v>
                </c:pt>
                <c:pt idx="856">
                  <c:v>1</c:v>
                </c:pt>
                <c:pt idx="857">
                  <c:v>2</c:v>
                </c:pt>
                <c:pt idx="858">
                  <c:v>2</c:v>
                </c:pt>
                <c:pt idx="859">
                  <c:v>3</c:v>
                </c:pt>
                <c:pt idx="860">
                  <c:v>3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2</c:v>
                </c:pt>
                <c:pt idx="885">
                  <c:v>1</c:v>
                </c:pt>
                <c:pt idx="886">
                  <c:v>2</c:v>
                </c:pt>
                <c:pt idx="887">
                  <c:v>1</c:v>
                </c:pt>
                <c:pt idx="888">
                  <c:v>2</c:v>
                </c:pt>
                <c:pt idx="889">
                  <c:v>1</c:v>
                </c:pt>
                <c:pt idx="890">
                  <c:v>1</c:v>
                </c:pt>
                <c:pt idx="891">
                  <c:v>2</c:v>
                </c:pt>
                <c:pt idx="892">
                  <c:v>2</c:v>
                </c:pt>
                <c:pt idx="893">
                  <c:v>1</c:v>
                </c:pt>
                <c:pt idx="894">
                  <c:v>1</c:v>
                </c:pt>
                <c:pt idx="895">
                  <c:v>2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2</c:v>
                </c:pt>
                <c:pt idx="906">
                  <c:v>3</c:v>
                </c:pt>
                <c:pt idx="907">
                  <c:v>2</c:v>
                </c:pt>
                <c:pt idx="908">
                  <c:v>2</c:v>
                </c:pt>
                <c:pt idx="909">
                  <c:v>3</c:v>
                </c:pt>
                <c:pt idx="910">
                  <c:v>1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1</c:v>
                </c:pt>
                <c:pt idx="915">
                  <c:v>2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1</c:v>
                </c:pt>
                <c:pt idx="924">
                  <c:v>1</c:v>
                </c:pt>
                <c:pt idx="925">
                  <c:v>2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3</c:v>
                </c:pt>
                <c:pt idx="941">
                  <c:v>1</c:v>
                </c:pt>
                <c:pt idx="942">
                  <c:v>2</c:v>
                </c:pt>
                <c:pt idx="943">
                  <c:v>3</c:v>
                </c:pt>
                <c:pt idx="944">
                  <c:v>4</c:v>
                </c:pt>
                <c:pt idx="945">
                  <c:v>3</c:v>
                </c:pt>
                <c:pt idx="946">
                  <c:v>1</c:v>
                </c:pt>
                <c:pt idx="947">
                  <c:v>2</c:v>
                </c:pt>
                <c:pt idx="948">
                  <c:v>1</c:v>
                </c:pt>
                <c:pt idx="949">
                  <c:v>5</c:v>
                </c:pt>
                <c:pt idx="950">
                  <c:v>2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3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2</c:v>
                </c:pt>
                <c:pt idx="968">
                  <c:v>2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2</c:v>
                </c:pt>
                <c:pt idx="973">
                  <c:v>1</c:v>
                </c:pt>
                <c:pt idx="974">
                  <c:v>2</c:v>
                </c:pt>
                <c:pt idx="975">
                  <c:v>1</c:v>
                </c:pt>
                <c:pt idx="976">
                  <c:v>1</c:v>
                </c:pt>
                <c:pt idx="977">
                  <c:v>2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2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2</c:v>
                </c:pt>
                <c:pt idx="991">
                  <c:v>1</c:v>
                </c:pt>
                <c:pt idx="992">
                  <c:v>1</c:v>
                </c:pt>
                <c:pt idx="993">
                  <c:v>2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1</c:v>
                </c:pt>
                <c:pt idx="1001">
                  <c:v>1</c:v>
                </c:pt>
                <c:pt idx="1002">
                  <c:v>2</c:v>
                </c:pt>
                <c:pt idx="1003">
                  <c:v>1</c:v>
                </c:pt>
                <c:pt idx="1004">
                  <c:v>1</c:v>
                </c:pt>
                <c:pt idx="1005">
                  <c:v>3</c:v>
                </c:pt>
                <c:pt idx="1006">
                  <c:v>1</c:v>
                </c:pt>
                <c:pt idx="1007">
                  <c:v>2</c:v>
                </c:pt>
                <c:pt idx="1008">
                  <c:v>1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2</c:v>
                </c:pt>
                <c:pt idx="1018">
                  <c:v>1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1</c:v>
                </c:pt>
                <c:pt idx="1024">
                  <c:v>2</c:v>
                </c:pt>
                <c:pt idx="1025">
                  <c:v>2</c:v>
                </c:pt>
                <c:pt idx="1026">
                  <c:v>1</c:v>
                </c:pt>
                <c:pt idx="1027">
                  <c:v>2</c:v>
                </c:pt>
                <c:pt idx="1028">
                  <c:v>2</c:v>
                </c:pt>
                <c:pt idx="1029">
                  <c:v>3</c:v>
                </c:pt>
                <c:pt idx="1030">
                  <c:v>2</c:v>
                </c:pt>
                <c:pt idx="1031">
                  <c:v>1</c:v>
                </c:pt>
                <c:pt idx="1032">
                  <c:v>2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2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2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2</c:v>
                </c:pt>
                <c:pt idx="1054">
                  <c:v>2</c:v>
                </c:pt>
                <c:pt idx="1055">
                  <c:v>1</c:v>
                </c:pt>
                <c:pt idx="1056">
                  <c:v>1</c:v>
                </c:pt>
                <c:pt idx="1057">
                  <c:v>2</c:v>
                </c:pt>
                <c:pt idx="1058">
                  <c:v>2</c:v>
                </c:pt>
                <c:pt idx="1059">
                  <c:v>1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2</c:v>
                </c:pt>
                <c:pt idx="1071">
                  <c:v>2</c:v>
                </c:pt>
                <c:pt idx="1072">
                  <c:v>1</c:v>
                </c:pt>
                <c:pt idx="1073">
                  <c:v>2</c:v>
                </c:pt>
                <c:pt idx="1074">
                  <c:v>1</c:v>
                </c:pt>
                <c:pt idx="1075">
                  <c:v>2</c:v>
                </c:pt>
                <c:pt idx="1076">
                  <c:v>3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3</c:v>
                </c:pt>
                <c:pt idx="1084">
                  <c:v>1</c:v>
                </c:pt>
                <c:pt idx="1085">
                  <c:v>2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2</c:v>
                </c:pt>
                <c:pt idx="1090">
                  <c:v>1</c:v>
                </c:pt>
                <c:pt idx="1091">
                  <c:v>1</c:v>
                </c:pt>
                <c:pt idx="1092">
                  <c:v>3</c:v>
                </c:pt>
                <c:pt idx="1093">
                  <c:v>1</c:v>
                </c:pt>
                <c:pt idx="1094">
                  <c:v>3</c:v>
                </c:pt>
                <c:pt idx="1095">
                  <c:v>1</c:v>
                </c:pt>
                <c:pt idx="1096">
                  <c:v>1</c:v>
                </c:pt>
                <c:pt idx="1097">
                  <c:v>2</c:v>
                </c:pt>
                <c:pt idx="1098">
                  <c:v>1</c:v>
                </c:pt>
                <c:pt idx="1099">
                  <c:v>2</c:v>
                </c:pt>
                <c:pt idx="1100">
                  <c:v>1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2</c:v>
                </c:pt>
                <c:pt idx="1107">
                  <c:v>1</c:v>
                </c:pt>
                <c:pt idx="1108">
                  <c:v>2</c:v>
                </c:pt>
                <c:pt idx="1109">
                  <c:v>2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2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2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2</c:v>
                </c:pt>
                <c:pt idx="1146">
                  <c:v>1</c:v>
                </c:pt>
                <c:pt idx="1147">
                  <c:v>1</c:v>
                </c:pt>
                <c:pt idx="1148">
                  <c:v>2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2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1</c:v>
                </c:pt>
                <c:pt idx="1179">
                  <c:v>2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1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2</c:v>
                </c:pt>
                <c:pt idx="1201">
                  <c:v>1</c:v>
                </c:pt>
                <c:pt idx="1202">
                  <c:v>2</c:v>
                </c:pt>
                <c:pt idx="1203">
                  <c:v>1</c:v>
                </c:pt>
                <c:pt idx="1204">
                  <c:v>1</c:v>
                </c:pt>
                <c:pt idx="1205">
                  <c:v>2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2</c:v>
                </c:pt>
                <c:pt idx="1217">
                  <c:v>1</c:v>
                </c:pt>
                <c:pt idx="1218">
                  <c:v>2</c:v>
                </c:pt>
                <c:pt idx="1219">
                  <c:v>1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1</c:v>
                </c:pt>
                <c:pt idx="1224">
                  <c:v>2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2</c:v>
                </c:pt>
                <c:pt idx="1230">
                  <c:v>2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2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2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2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2</c:v>
                </c:pt>
                <c:pt idx="1267">
                  <c:v>2</c:v>
                </c:pt>
                <c:pt idx="1268">
                  <c:v>1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2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2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2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4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2</c:v>
                </c:pt>
                <c:pt idx="1316">
                  <c:v>1</c:v>
                </c:pt>
                <c:pt idx="1318">
                  <c:v>2</c:v>
                </c:pt>
                <c:pt idx="1319">
                  <c:v>1</c:v>
                </c:pt>
                <c:pt idx="1320">
                  <c:v>2</c:v>
                </c:pt>
                <c:pt idx="1321">
                  <c:v>1</c:v>
                </c:pt>
                <c:pt idx="1322">
                  <c:v>2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2</c:v>
                </c:pt>
                <c:pt idx="1328">
                  <c:v>2</c:v>
                </c:pt>
                <c:pt idx="1329">
                  <c:v>1</c:v>
                </c:pt>
                <c:pt idx="1330">
                  <c:v>1</c:v>
                </c:pt>
                <c:pt idx="1331">
                  <c:v>2</c:v>
                </c:pt>
                <c:pt idx="1332">
                  <c:v>1</c:v>
                </c:pt>
                <c:pt idx="1333">
                  <c:v>2</c:v>
                </c:pt>
                <c:pt idx="1334">
                  <c:v>1</c:v>
                </c:pt>
                <c:pt idx="1335">
                  <c:v>2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2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2</c:v>
                </c:pt>
                <c:pt idx="1357">
                  <c:v>1</c:v>
                </c:pt>
                <c:pt idx="1358">
                  <c:v>1</c:v>
                </c:pt>
                <c:pt idx="1359">
                  <c:v>3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2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2</c:v>
                </c:pt>
                <c:pt idx="1373">
                  <c:v>1</c:v>
                </c:pt>
                <c:pt idx="1374">
                  <c:v>2</c:v>
                </c:pt>
                <c:pt idx="1375">
                  <c:v>1</c:v>
                </c:pt>
                <c:pt idx="1376">
                  <c:v>1</c:v>
                </c:pt>
                <c:pt idx="1377">
                  <c:v>2</c:v>
                </c:pt>
                <c:pt idx="1378">
                  <c:v>2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4</c:v>
                </c:pt>
                <c:pt idx="1383">
                  <c:v>1</c:v>
                </c:pt>
                <c:pt idx="1384">
                  <c:v>2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2</c:v>
                </c:pt>
                <c:pt idx="1394">
                  <c:v>1</c:v>
                </c:pt>
                <c:pt idx="1395">
                  <c:v>1</c:v>
                </c:pt>
                <c:pt idx="1396">
                  <c:v>3</c:v>
                </c:pt>
                <c:pt idx="1397">
                  <c:v>2</c:v>
                </c:pt>
                <c:pt idx="1398">
                  <c:v>1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1</c:v>
                </c:pt>
                <c:pt idx="1404">
                  <c:v>2</c:v>
                </c:pt>
                <c:pt idx="1405">
                  <c:v>2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2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1</c:v>
                </c:pt>
                <c:pt idx="1424">
                  <c:v>1</c:v>
                </c:pt>
                <c:pt idx="1425">
                  <c:v>2</c:v>
                </c:pt>
                <c:pt idx="1426">
                  <c:v>2</c:v>
                </c:pt>
                <c:pt idx="1427">
                  <c:v>1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2</c:v>
                </c:pt>
                <c:pt idx="1432">
                  <c:v>2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1</c:v>
                </c:pt>
                <c:pt idx="1437">
                  <c:v>2</c:v>
                </c:pt>
                <c:pt idx="1438">
                  <c:v>2</c:v>
                </c:pt>
                <c:pt idx="1439">
                  <c:v>1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3</c:v>
                </c:pt>
                <c:pt idx="1447">
                  <c:v>2</c:v>
                </c:pt>
                <c:pt idx="1448">
                  <c:v>2</c:v>
                </c:pt>
                <c:pt idx="1449">
                  <c:v>3</c:v>
                </c:pt>
                <c:pt idx="1450">
                  <c:v>2</c:v>
                </c:pt>
                <c:pt idx="1451">
                  <c:v>2</c:v>
                </c:pt>
                <c:pt idx="1452">
                  <c:v>1</c:v>
                </c:pt>
                <c:pt idx="1453">
                  <c:v>2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1</c:v>
                </c:pt>
                <c:pt idx="1469">
                  <c:v>1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3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3</c:v>
                </c:pt>
                <c:pt idx="1493">
                  <c:v>1</c:v>
                </c:pt>
                <c:pt idx="1494">
                  <c:v>2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2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2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2</c:v>
                </c:pt>
                <c:pt idx="1510">
                  <c:v>2</c:v>
                </c:pt>
                <c:pt idx="1511">
                  <c:v>1</c:v>
                </c:pt>
                <c:pt idx="1512">
                  <c:v>1</c:v>
                </c:pt>
                <c:pt idx="1513">
                  <c:v>2</c:v>
                </c:pt>
                <c:pt idx="1514">
                  <c:v>1</c:v>
                </c:pt>
                <c:pt idx="1515">
                  <c:v>2</c:v>
                </c:pt>
                <c:pt idx="1516">
                  <c:v>1</c:v>
                </c:pt>
                <c:pt idx="1517">
                  <c:v>1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1</c:v>
                </c:pt>
                <c:pt idx="1523">
                  <c:v>2</c:v>
                </c:pt>
                <c:pt idx="1524">
                  <c:v>2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2</c:v>
                </c:pt>
                <c:pt idx="1529">
                  <c:v>1</c:v>
                </c:pt>
                <c:pt idx="1530">
                  <c:v>2</c:v>
                </c:pt>
                <c:pt idx="1531">
                  <c:v>1</c:v>
                </c:pt>
                <c:pt idx="1532">
                  <c:v>2</c:v>
                </c:pt>
                <c:pt idx="1533">
                  <c:v>1</c:v>
                </c:pt>
                <c:pt idx="1534">
                  <c:v>1</c:v>
                </c:pt>
                <c:pt idx="1535">
                  <c:v>2</c:v>
                </c:pt>
                <c:pt idx="1536">
                  <c:v>1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1</c:v>
                </c:pt>
                <c:pt idx="1542">
                  <c:v>2</c:v>
                </c:pt>
                <c:pt idx="1543">
                  <c:v>2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2</c:v>
                </c:pt>
                <c:pt idx="1548">
                  <c:v>2</c:v>
                </c:pt>
                <c:pt idx="1549">
                  <c:v>1</c:v>
                </c:pt>
                <c:pt idx="1550">
                  <c:v>2</c:v>
                </c:pt>
                <c:pt idx="1551">
                  <c:v>1</c:v>
                </c:pt>
                <c:pt idx="1552">
                  <c:v>3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2</c:v>
                </c:pt>
                <c:pt idx="1575">
                  <c:v>1</c:v>
                </c:pt>
                <c:pt idx="1576">
                  <c:v>1</c:v>
                </c:pt>
                <c:pt idx="1577">
                  <c:v>2</c:v>
                </c:pt>
                <c:pt idx="1578">
                  <c:v>3</c:v>
                </c:pt>
                <c:pt idx="1579">
                  <c:v>1</c:v>
                </c:pt>
                <c:pt idx="1580">
                  <c:v>2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2</c:v>
                </c:pt>
                <c:pt idx="1585">
                  <c:v>2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2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3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2</c:v>
                </c:pt>
                <c:pt idx="1612">
                  <c:v>1</c:v>
                </c:pt>
                <c:pt idx="1613">
                  <c:v>2</c:v>
                </c:pt>
                <c:pt idx="1614">
                  <c:v>2</c:v>
                </c:pt>
                <c:pt idx="1615">
                  <c:v>1</c:v>
                </c:pt>
                <c:pt idx="1616">
                  <c:v>2</c:v>
                </c:pt>
                <c:pt idx="1617">
                  <c:v>1</c:v>
                </c:pt>
                <c:pt idx="1618">
                  <c:v>2</c:v>
                </c:pt>
                <c:pt idx="1619">
                  <c:v>2</c:v>
                </c:pt>
                <c:pt idx="1620">
                  <c:v>1</c:v>
                </c:pt>
                <c:pt idx="1621">
                  <c:v>1</c:v>
                </c:pt>
                <c:pt idx="1622">
                  <c:v>2</c:v>
                </c:pt>
                <c:pt idx="1623">
                  <c:v>2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2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2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2</c:v>
                </c:pt>
                <c:pt idx="1639">
                  <c:v>2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2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2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2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2</c:v>
                </c:pt>
                <c:pt idx="1667">
                  <c:v>2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1</c:v>
                </c:pt>
                <c:pt idx="1685">
                  <c:v>1</c:v>
                </c:pt>
                <c:pt idx="1686">
                  <c:v>3</c:v>
                </c:pt>
                <c:pt idx="1687">
                  <c:v>2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2</c:v>
                </c:pt>
                <c:pt idx="1692">
                  <c:v>2</c:v>
                </c:pt>
                <c:pt idx="1693">
                  <c:v>3</c:v>
                </c:pt>
                <c:pt idx="1694">
                  <c:v>1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2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2</c:v>
                </c:pt>
                <c:pt idx="1707">
                  <c:v>1</c:v>
                </c:pt>
                <c:pt idx="1708">
                  <c:v>2</c:v>
                </c:pt>
                <c:pt idx="1709">
                  <c:v>1</c:v>
                </c:pt>
                <c:pt idx="1710">
                  <c:v>2</c:v>
                </c:pt>
                <c:pt idx="1711">
                  <c:v>2</c:v>
                </c:pt>
                <c:pt idx="1712">
                  <c:v>1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1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1</c:v>
                </c:pt>
                <c:pt idx="1724">
                  <c:v>2</c:v>
                </c:pt>
                <c:pt idx="1725">
                  <c:v>2</c:v>
                </c:pt>
                <c:pt idx="1726">
                  <c:v>1</c:v>
                </c:pt>
                <c:pt idx="1727">
                  <c:v>2</c:v>
                </c:pt>
                <c:pt idx="1728">
                  <c:v>2</c:v>
                </c:pt>
                <c:pt idx="1729">
                  <c:v>1</c:v>
                </c:pt>
                <c:pt idx="1730">
                  <c:v>1</c:v>
                </c:pt>
                <c:pt idx="1731">
                  <c:v>2</c:v>
                </c:pt>
                <c:pt idx="1732">
                  <c:v>1</c:v>
                </c:pt>
                <c:pt idx="1733">
                  <c:v>2</c:v>
                </c:pt>
                <c:pt idx="1734">
                  <c:v>1</c:v>
                </c:pt>
                <c:pt idx="1735">
                  <c:v>1</c:v>
                </c:pt>
                <c:pt idx="1736">
                  <c:v>2</c:v>
                </c:pt>
                <c:pt idx="1737">
                  <c:v>1</c:v>
                </c:pt>
                <c:pt idx="1738">
                  <c:v>1</c:v>
                </c:pt>
                <c:pt idx="1739">
                  <c:v>2</c:v>
                </c:pt>
                <c:pt idx="1740">
                  <c:v>2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2</c:v>
                </c:pt>
                <c:pt idx="1751">
                  <c:v>2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</c:v>
                </c:pt>
                <c:pt idx="1761">
                  <c:v>2</c:v>
                </c:pt>
                <c:pt idx="1762">
                  <c:v>1</c:v>
                </c:pt>
                <c:pt idx="1763">
                  <c:v>2</c:v>
                </c:pt>
                <c:pt idx="1764">
                  <c:v>2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1</c:v>
                </c:pt>
                <c:pt idx="1774">
                  <c:v>1</c:v>
                </c:pt>
                <c:pt idx="1775">
                  <c:v>2</c:v>
                </c:pt>
                <c:pt idx="1776">
                  <c:v>1</c:v>
                </c:pt>
                <c:pt idx="1777">
                  <c:v>2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2</c:v>
                </c:pt>
                <c:pt idx="1784">
                  <c:v>2</c:v>
                </c:pt>
                <c:pt idx="1785">
                  <c:v>1</c:v>
                </c:pt>
                <c:pt idx="1786">
                  <c:v>1</c:v>
                </c:pt>
                <c:pt idx="1787">
                  <c:v>3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2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3-4085-A09B-B89DD00D11D6}"/>
            </c:ext>
          </c:extLst>
        </c:ser>
        <c:ser>
          <c:idx val="2"/>
          <c:order val="2"/>
          <c:tx>
            <c:strRef>
              <c:f>'INVENTÁRIO 2026'!$C$2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'INVENTÁRIO 2026'!$C$3:$C$11861</c:f>
              <c:numCache>
                <c:formatCode>m/d/yyyy</c:formatCode>
                <c:ptCount val="11859"/>
                <c:pt idx="0">
                  <c:v>45665</c:v>
                </c:pt>
                <c:pt idx="1">
                  <c:v>45663</c:v>
                </c:pt>
                <c:pt idx="2">
                  <c:v>45663</c:v>
                </c:pt>
                <c:pt idx="3">
                  <c:v>45663</c:v>
                </c:pt>
                <c:pt idx="4">
                  <c:v>45663</c:v>
                </c:pt>
                <c:pt idx="5">
                  <c:v>45664</c:v>
                </c:pt>
                <c:pt idx="6">
                  <c:v>45664</c:v>
                </c:pt>
                <c:pt idx="7">
                  <c:v>45671</c:v>
                </c:pt>
                <c:pt idx="8">
                  <c:v>45664</c:v>
                </c:pt>
                <c:pt idx="9">
                  <c:v>45974</c:v>
                </c:pt>
                <c:pt idx="10">
                  <c:v>45665</c:v>
                </c:pt>
                <c:pt idx="11">
                  <c:v>45662</c:v>
                </c:pt>
                <c:pt idx="12">
                  <c:v>45666</c:v>
                </c:pt>
                <c:pt idx="13">
                  <c:v>45666</c:v>
                </c:pt>
                <c:pt idx="15">
                  <c:v>45670</c:v>
                </c:pt>
                <c:pt idx="16">
                  <c:v>45973</c:v>
                </c:pt>
                <c:pt idx="17">
                  <c:v>45670</c:v>
                </c:pt>
                <c:pt idx="18">
                  <c:v>45973</c:v>
                </c:pt>
                <c:pt idx="19">
                  <c:v>45973</c:v>
                </c:pt>
                <c:pt idx="20">
                  <c:v>45670</c:v>
                </c:pt>
                <c:pt idx="21">
                  <c:v>45973</c:v>
                </c:pt>
                <c:pt idx="22">
                  <c:v>45973</c:v>
                </c:pt>
                <c:pt idx="23">
                  <c:v>45973</c:v>
                </c:pt>
                <c:pt idx="24">
                  <c:v>45973</c:v>
                </c:pt>
                <c:pt idx="25">
                  <c:v>45973</c:v>
                </c:pt>
                <c:pt idx="26">
                  <c:v>45973</c:v>
                </c:pt>
                <c:pt idx="27">
                  <c:v>45671</c:v>
                </c:pt>
                <c:pt idx="28">
                  <c:v>46042</c:v>
                </c:pt>
                <c:pt idx="29">
                  <c:v>45973</c:v>
                </c:pt>
                <c:pt idx="30">
                  <c:v>45973</c:v>
                </c:pt>
                <c:pt idx="31">
                  <c:v>45973</c:v>
                </c:pt>
                <c:pt idx="32">
                  <c:v>45973</c:v>
                </c:pt>
                <c:pt idx="33">
                  <c:v>45671</c:v>
                </c:pt>
                <c:pt idx="34">
                  <c:v>45973</c:v>
                </c:pt>
                <c:pt idx="35">
                  <c:v>45973</c:v>
                </c:pt>
                <c:pt idx="36">
                  <c:v>45973</c:v>
                </c:pt>
                <c:pt idx="37">
                  <c:v>45973</c:v>
                </c:pt>
                <c:pt idx="38">
                  <c:v>45973</c:v>
                </c:pt>
                <c:pt idx="39">
                  <c:v>45973</c:v>
                </c:pt>
                <c:pt idx="40">
                  <c:v>45973</c:v>
                </c:pt>
                <c:pt idx="41">
                  <c:v>46036</c:v>
                </c:pt>
                <c:pt idx="42">
                  <c:v>45973</c:v>
                </c:pt>
                <c:pt idx="43">
                  <c:v>45973</c:v>
                </c:pt>
                <c:pt idx="44">
                  <c:v>45973</c:v>
                </c:pt>
                <c:pt idx="45">
                  <c:v>45973</c:v>
                </c:pt>
                <c:pt idx="46">
                  <c:v>45973</c:v>
                </c:pt>
                <c:pt idx="47">
                  <c:v>46036</c:v>
                </c:pt>
                <c:pt idx="48">
                  <c:v>45973</c:v>
                </c:pt>
                <c:pt idx="49">
                  <c:v>45973</c:v>
                </c:pt>
                <c:pt idx="50">
                  <c:v>45973</c:v>
                </c:pt>
                <c:pt idx="51">
                  <c:v>45973</c:v>
                </c:pt>
                <c:pt idx="52">
                  <c:v>45973</c:v>
                </c:pt>
                <c:pt idx="53">
                  <c:v>45973</c:v>
                </c:pt>
                <c:pt idx="54">
                  <c:v>46041</c:v>
                </c:pt>
                <c:pt idx="55">
                  <c:v>46036</c:v>
                </c:pt>
                <c:pt idx="56">
                  <c:v>46036</c:v>
                </c:pt>
                <c:pt idx="57">
                  <c:v>45669</c:v>
                </c:pt>
                <c:pt idx="58">
                  <c:v>45670</c:v>
                </c:pt>
                <c:pt idx="59">
                  <c:v>45669</c:v>
                </c:pt>
                <c:pt idx="60">
                  <c:v>46057</c:v>
                </c:pt>
                <c:pt idx="61">
                  <c:v>46059</c:v>
                </c:pt>
                <c:pt idx="62">
                  <c:v>45974</c:v>
                </c:pt>
                <c:pt idx="63">
                  <c:v>45974</c:v>
                </c:pt>
                <c:pt idx="64">
                  <c:v>46141</c:v>
                </c:pt>
                <c:pt idx="65">
                  <c:v>46036</c:v>
                </c:pt>
                <c:pt idx="66">
                  <c:v>46037</c:v>
                </c:pt>
                <c:pt idx="67">
                  <c:v>45974</c:v>
                </c:pt>
                <c:pt idx="68">
                  <c:v>46037</c:v>
                </c:pt>
                <c:pt idx="69">
                  <c:v>46037</c:v>
                </c:pt>
                <c:pt idx="70">
                  <c:v>45671</c:v>
                </c:pt>
                <c:pt idx="71">
                  <c:v>46042</c:v>
                </c:pt>
                <c:pt idx="72">
                  <c:v>46036</c:v>
                </c:pt>
                <c:pt idx="73">
                  <c:v>46041</c:v>
                </c:pt>
                <c:pt idx="74">
                  <c:v>46036</c:v>
                </c:pt>
                <c:pt idx="75">
                  <c:v>46036</c:v>
                </c:pt>
                <c:pt idx="76">
                  <c:v>46036</c:v>
                </c:pt>
                <c:pt idx="77">
                  <c:v>46036</c:v>
                </c:pt>
                <c:pt idx="78">
                  <c:v>46036</c:v>
                </c:pt>
                <c:pt idx="79">
                  <c:v>46036</c:v>
                </c:pt>
                <c:pt idx="80">
                  <c:v>46036</c:v>
                </c:pt>
                <c:pt idx="81">
                  <c:v>46036</c:v>
                </c:pt>
                <c:pt idx="82">
                  <c:v>46036</c:v>
                </c:pt>
                <c:pt idx="83">
                  <c:v>46036</c:v>
                </c:pt>
                <c:pt idx="84">
                  <c:v>46036</c:v>
                </c:pt>
                <c:pt idx="85">
                  <c:v>46036</c:v>
                </c:pt>
                <c:pt idx="86">
                  <c:v>46036</c:v>
                </c:pt>
                <c:pt idx="87">
                  <c:v>46041</c:v>
                </c:pt>
                <c:pt idx="88">
                  <c:v>46036</c:v>
                </c:pt>
                <c:pt idx="89">
                  <c:v>46036</c:v>
                </c:pt>
                <c:pt idx="90">
                  <c:v>46036</c:v>
                </c:pt>
                <c:pt idx="91">
                  <c:v>46041</c:v>
                </c:pt>
                <c:pt idx="92">
                  <c:v>46036</c:v>
                </c:pt>
                <c:pt idx="93">
                  <c:v>46036</c:v>
                </c:pt>
                <c:pt idx="94">
                  <c:v>46036</c:v>
                </c:pt>
                <c:pt idx="95">
                  <c:v>46036</c:v>
                </c:pt>
                <c:pt idx="96">
                  <c:v>46041</c:v>
                </c:pt>
                <c:pt idx="97">
                  <c:v>46036</c:v>
                </c:pt>
                <c:pt idx="98">
                  <c:v>46036</c:v>
                </c:pt>
                <c:pt idx="99">
                  <c:v>46036</c:v>
                </c:pt>
                <c:pt idx="100">
                  <c:v>46041</c:v>
                </c:pt>
                <c:pt idx="101">
                  <c:v>46041</c:v>
                </c:pt>
                <c:pt idx="102">
                  <c:v>46042</c:v>
                </c:pt>
                <c:pt idx="103">
                  <c:v>46036</c:v>
                </c:pt>
                <c:pt idx="104">
                  <c:v>46036</c:v>
                </c:pt>
                <c:pt idx="105">
                  <c:v>46036</c:v>
                </c:pt>
                <c:pt idx="106">
                  <c:v>46036</c:v>
                </c:pt>
                <c:pt idx="107">
                  <c:v>46036</c:v>
                </c:pt>
                <c:pt idx="108">
                  <c:v>46036</c:v>
                </c:pt>
                <c:pt idx="109">
                  <c:v>46041</c:v>
                </c:pt>
                <c:pt idx="110">
                  <c:v>46036</c:v>
                </c:pt>
                <c:pt idx="111">
                  <c:v>46036</c:v>
                </c:pt>
                <c:pt idx="112">
                  <c:v>46036</c:v>
                </c:pt>
                <c:pt idx="113">
                  <c:v>46036</c:v>
                </c:pt>
                <c:pt idx="114">
                  <c:v>46036</c:v>
                </c:pt>
                <c:pt idx="115">
                  <c:v>46036</c:v>
                </c:pt>
                <c:pt idx="116">
                  <c:v>46036</c:v>
                </c:pt>
                <c:pt idx="117">
                  <c:v>46036</c:v>
                </c:pt>
                <c:pt idx="118">
                  <c:v>46036</c:v>
                </c:pt>
                <c:pt idx="119">
                  <c:v>46036</c:v>
                </c:pt>
                <c:pt idx="120">
                  <c:v>46041</c:v>
                </c:pt>
                <c:pt idx="121">
                  <c:v>46036</c:v>
                </c:pt>
                <c:pt idx="122">
                  <c:v>46036</c:v>
                </c:pt>
                <c:pt idx="123">
                  <c:v>46036</c:v>
                </c:pt>
                <c:pt idx="124">
                  <c:v>46036</c:v>
                </c:pt>
                <c:pt idx="125">
                  <c:v>46041</c:v>
                </c:pt>
                <c:pt idx="126">
                  <c:v>46036</c:v>
                </c:pt>
                <c:pt idx="127">
                  <c:v>46036</c:v>
                </c:pt>
                <c:pt idx="128">
                  <c:v>46036</c:v>
                </c:pt>
                <c:pt idx="129">
                  <c:v>46036</c:v>
                </c:pt>
                <c:pt idx="130">
                  <c:v>46036</c:v>
                </c:pt>
                <c:pt idx="131">
                  <c:v>46036</c:v>
                </c:pt>
                <c:pt idx="132">
                  <c:v>46036</c:v>
                </c:pt>
                <c:pt idx="133">
                  <c:v>46036</c:v>
                </c:pt>
                <c:pt idx="134">
                  <c:v>46036</c:v>
                </c:pt>
                <c:pt idx="135">
                  <c:v>46036</c:v>
                </c:pt>
                <c:pt idx="136">
                  <c:v>46036</c:v>
                </c:pt>
                <c:pt idx="137">
                  <c:v>46041</c:v>
                </c:pt>
                <c:pt idx="138">
                  <c:v>46036</c:v>
                </c:pt>
                <c:pt idx="139">
                  <c:v>46036</c:v>
                </c:pt>
                <c:pt idx="140">
                  <c:v>46036</c:v>
                </c:pt>
                <c:pt idx="141">
                  <c:v>46036</c:v>
                </c:pt>
                <c:pt idx="142">
                  <c:v>46036</c:v>
                </c:pt>
                <c:pt idx="143">
                  <c:v>46036</c:v>
                </c:pt>
                <c:pt idx="144">
                  <c:v>46044</c:v>
                </c:pt>
                <c:pt idx="145">
                  <c:v>46036</c:v>
                </c:pt>
                <c:pt idx="146">
                  <c:v>46036</c:v>
                </c:pt>
                <c:pt idx="147">
                  <c:v>46036</c:v>
                </c:pt>
                <c:pt idx="148">
                  <c:v>46036</c:v>
                </c:pt>
                <c:pt idx="149">
                  <c:v>46042</c:v>
                </c:pt>
                <c:pt idx="150">
                  <c:v>46036</c:v>
                </c:pt>
                <c:pt idx="151">
                  <c:v>46037</c:v>
                </c:pt>
                <c:pt idx="152">
                  <c:v>46037</c:v>
                </c:pt>
                <c:pt idx="153">
                  <c:v>46037</c:v>
                </c:pt>
                <c:pt idx="154">
                  <c:v>46037</c:v>
                </c:pt>
                <c:pt idx="155">
                  <c:v>46041</c:v>
                </c:pt>
                <c:pt idx="156">
                  <c:v>46038</c:v>
                </c:pt>
                <c:pt idx="157">
                  <c:v>46041</c:v>
                </c:pt>
                <c:pt idx="158">
                  <c:v>46059</c:v>
                </c:pt>
                <c:pt idx="159">
                  <c:v>46038</c:v>
                </c:pt>
                <c:pt idx="160">
                  <c:v>46044</c:v>
                </c:pt>
                <c:pt idx="161">
                  <c:v>46044</c:v>
                </c:pt>
                <c:pt idx="162">
                  <c:v>46043</c:v>
                </c:pt>
                <c:pt idx="163">
                  <c:v>46044</c:v>
                </c:pt>
                <c:pt idx="164">
                  <c:v>46048</c:v>
                </c:pt>
                <c:pt idx="165">
                  <c:v>46041</c:v>
                </c:pt>
                <c:pt idx="166">
                  <c:v>46041</c:v>
                </c:pt>
                <c:pt idx="167">
                  <c:v>46041</c:v>
                </c:pt>
                <c:pt idx="168">
                  <c:v>46041</c:v>
                </c:pt>
                <c:pt idx="169">
                  <c:v>46041</c:v>
                </c:pt>
                <c:pt idx="170">
                  <c:v>46059</c:v>
                </c:pt>
                <c:pt idx="171">
                  <c:v>46049</c:v>
                </c:pt>
                <c:pt idx="172">
                  <c:v>46048</c:v>
                </c:pt>
                <c:pt idx="173">
                  <c:v>46043</c:v>
                </c:pt>
                <c:pt idx="174">
                  <c:v>46042</c:v>
                </c:pt>
                <c:pt idx="175">
                  <c:v>46043</c:v>
                </c:pt>
                <c:pt idx="176">
                  <c:v>46042</c:v>
                </c:pt>
                <c:pt idx="177">
                  <c:v>46044</c:v>
                </c:pt>
                <c:pt idx="178">
                  <c:v>46044</c:v>
                </c:pt>
                <c:pt idx="179">
                  <c:v>46042</c:v>
                </c:pt>
                <c:pt idx="180">
                  <c:v>46042</c:v>
                </c:pt>
                <c:pt idx="181">
                  <c:v>46042</c:v>
                </c:pt>
                <c:pt idx="182">
                  <c:v>46042</c:v>
                </c:pt>
                <c:pt idx="183">
                  <c:v>46042</c:v>
                </c:pt>
                <c:pt idx="184">
                  <c:v>46042</c:v>
                </c:pt>
                <c:pt idx="185">
                  <c:v>46043</c:v>
                </c:pt>
                <c:pt idx="186">
                  <c:v>46044</c:v>
                </c:pt>
                <c:pt idx="187">
                  <c:v>46043</c:v>
                </c:pt>
                <c:pt idx="188">
                  <c:v>46043</c:v>
                </c:pt>
                <c:pt idx="189">
                  <c:v>46049</c:v>
                </c:pt>
                <c:pt idx="190">
                  <c:v>46043</c:v>
                </c:pt>
                <c:pt idx="191">
                  <c:v>46044</c:v>
                </c:pt>
                <c:pt idx="192">
                  <c:v>46043</c:v>
                </c:pt>
                <c:pt idx="193">
                  <c:v>46043</c:v>
                </c:pt>
                <c:pt idx="194">
                  <c:v>46044</c:v>
                </c:pt>
                <c:pt idx="195">
                  <c:v>46044</c:v>
                </c:pt>
                <c:pt idx="196">
                  <c:v>46045</c:v>
                </c:pt>
                <c:pt idx="197">
                  <c:v>46049</c:v>
                </c:pt>
                <c:pt idx="198">
                  <c:v>46043</c:v>
                </c:pt>
                <c:pt idx="199">
                  <c:v>46056</c:v>
                </c:pt>
                <c:pt idx="200">
                  <c:v>46043</c:v>
                </c:pt>
                <c:pt idx="201">
                  <c:v>46043</c:v>
                </c:pt>
                <c:pt idx="202">
                  <c:v>46048</c:v>
                </c:pt>
                <c:pt idx="203">
                  <c:v>46045</c:v>
                </c:pt>
                <c:pt idx="204">
                  <c:v>46043</c:v>
                </c:pt>
                <c:pt idx="205">
                  <c:v>46045</c:v>
                </c:pt>
                <c:pt idx="206">
                  <c:v>46045</c:v>
                </c:pt>
                <c:pt idx="207">
                  <c:v>46045</c:v>
                </c:pt>
                <c:pt idx="208">
                  <c:v>46045</c:v>
                </c:pt>
                <c:pt idx="209">
                  <c:v>46050</c:v>
                </c:pt>
                <c:pt idx="210">
                  <c:v>46048</c:v>
                </c:pt>
                <c:pt idx="211">
                  <c:v>46043</c:v>
                </c:pt>
                <c:pt idx="212">
                  <c:v>46048</c:v>
                </c:pt>
                <c:pt idx="213">
                  <c:v>46043</c:v>
                </c:pt>
                <c:pt idx="214">
                  <c:v>46048</c:v>
                </c:pt>
                <c:pt idx="215">
                  <c:v>46043</c:v>
                </c:pt>
                <c:pt idx="216">
                  <c:v>46043</c:v>
                </c:pt>
                <c:pt idx="217">
                  <c:v>46043</c:v>
                </c:pt>
                <c:pt idx="218">
                  <c:v>46048</c:v>
                </c:pt>
                <c:pt idx="219">
                  <c:v>46045</c:v>
                </c:pt>
                <c:pt idx="220">
                  <c:v>46043</c:v>
                </c:pt>
                <c:pt idx="221">
                  <c:v>46043</c:v>
                </c:pt>
                <c:pt idx="222">
                  <c:v>46043</c:v>
                </c:pt>
                <c:pt idx="223">
                  <c:v>46048</c:v>
                </c:pt>
                <c:pt idx="224">
                  <c:v>46051</c:v>
                </c:pt>
                <c:pt idx="225">
                  <c:v>46048</c:v>
                </c:pt>
                <c:pt idx="226">
                  <c:v>46043</c:v>
                </c:pt>
                <c:pt idx="227">
                  <c:v>46045</c:v>
                </c:pt>
                <c:pt idx="228">
                  <c:v>46048</c:v>
                </c:pt>
                <c:pt idx="229">
                  <c:v>46044</c:v>
                </c:pt>
                <c:pt idx="230">
                  <c:v>46044</c:v>
                </c:pt>
                <c:pt idx="231">
                  <c:v>46049</c:v>
                </c:pt>
                <c:pt idx="232">
                  <c:v>46051</c:v>
                </c:pt>
                <c:pt idx="233">
                  <c:v>46049</c:v>
                </c:pt>
                <c:pt idx="234">
                  <c:v>46055</c:v>
                </c:pt>
                <c:pt idx="235">
                  <c:v>46052</c:v>
                </c:pt>
                <c:pt idx="236">
                  <c:v>46056</c:v>
                </c:pt>
                <c:pt idx="237">
                  <c:v>46049</c:v>
                </c:pt>
                <c:pt idx="238">
                  <c:v>46072</c:v>
                </c:pt>
                <c:pt idx="239">
                  <c:v>46049</c:v>
                </c:pt>
                <c:pt idx="240">
                  <c:v>46044</c:v>
                </c:pt>
                <c:pt idx="241">
                  <c:v>46044</c:v>
                </c:pt>
                <c:pt idx="242">
                  <c:v>46059</c:v>
                </c:pt>
                <c:pt idx="243">
                  <c:v>46062</c:v>
                </c:pt>
                <c:pt idx="244">
                  <c:v>46062</c:v>
                </c:pt>
                <c:pt idx="245">
                  <c:v>46044</c:v>
                </c:pt>
                <c:pt idx="246">
                  <c:v>46048</c:v>
                </c:pt>
                <c:pt idx="247">
                  <c:v>46059</c:v>
                </c:pt>
                <c:pt idx="248">
                  <c:v>46049</c:v>
                </c:pt>
                <c:pt idx="249">
                  <c:v>46050</c:v>
                </c:pt>
                <c:pt idx="250">
                  <c:v>46045</c:v>
                </c:pt>
                <c:pt idx="251">
                  <c:v>46045</c:v>
                </c:pt>
                <c:pt idx="252">
                  <c:v>46045</c:v>
                </c:pt>
                <c:pt idx="253">
                  <c:v>46045</c:v>
                </c:pt>
                <c:pt idx="254">
                  <c:v>46045</c:v>
                </c:pt>
                <c:pt idx="255">
                  <c:v>46045</c:v>
                </c:pt>
                <c:pt idx="256">
                  <c:v>46045</c:v>
                </c:pt>
                <c:pt idx="257">
                  <c:v>46045</c:v>
                </c:pt>
                <c:pt idx="258">
                  <c:v>46055</c:v>
                </c:pt>
                <c:pt idx="259">
                  <c:v>46055</c:v>
                </c:pt>
                <c:pt idx="260">
                  <c:v>46052</c:v>
                </c:pt>
                <c:pt idx="261">
                  <c:v>46073</c:v>
                </c:pt>
                <c:pt idx="262">
                  <c:v>46045</c:v>
                </c:pt>
                <c:pt idx="263">
                  <c:v>46055</c:v>
                </c:pt>
                <c:pt idx="264">
                  <c:v>46045</c:v>
                </c:pt>
                <c:pt idx="265">
                  <c:v>46045</c:v>
                </c:pt>
                <c:pt idx="266">
                  <c:v>46045</c:v>
                </c:pt>
                <c:pt idx="267">
                  <c:v>46045</c:v>
                </c:pt>
                <c:pt idx="268">
                  <c:v>46045</c:v>
                </c:pt>
                <c:pt idx="269">
                  <c:v>46051</c:v>
                </c:pt>
                <c:pt idx="270">
                  <c:v>46051</c:v>
                </c:pt>
                <c:pt idx="271">
                  <c:v>46045</c:v>
                </c:pt>
                <c:pt idx="272">
                  <c:v>46050</c:v>
                </c:pt>
                <c:pt idx="273">
                  <c:v>46051</c:v>
                </c:pt>
                <c:pt idx="274">
                  <c:v>46048</c:v>
                </c:pt>
                <c:pt idx="275">
                  <c:v>46048</c:v>
                </c:pt>
                <c:pt idx="276">
                  <c:v>46048</c:v>
                </c:pt>
                <c:pt idx="277">
                  <c:v>46055</c:v>
                </c:pt>
                <c:pt idx="278">
                  <c:v>46062</c:v>
                </c:pt>
                <c:pt idx="279">
                  <c:v>46048</c:v>
                </c:pt>
                <c:pt idx="280">
                  <c:v>46048</c:v>
                </c:pt>
                <c:pt idx="281">
                  <c:v>46052</c:v>
                </c:pt>
                <c:pt idx="282">
                  <c:v>46049</c:v>
                </c:pt>
                <c:pt idx="283">
                  <c:v>46049</c:v>
                </c:pt>
                <c:pt idx="284">
                  <c:v>46050</c:v>
                </c:pt>
                <c:pt idx="285">
                  <c:v>46049</c:v>
                </c:pt>
                <c:pt idx="286">
                  <c:v>46063</c:v>
                </c:pt>
                <c:pt idx="287">
                  <c:v>46050</c:v>
                </c:pt>
                <c:pt idx="288">
                  <c:v>46050</c:v>
                </c:pt>
                <c:pt idx="289">
                  <c:v>46056</c:v>
                </c:pt>
                <c:pt idx="290">
                  <c:v>46052</c:v>
                </c:pt>
                <c:pt idx="291">
                  <c:v>46050</c:v>
                </c:pt>
                <c:pt idx="292">
                  <c:v>46050</c:v>
                </c:pt>
                <c:pt idx="293">
                  <c:v>46050</c:v>
                </c:pt>
                <c:pt idx="294">
                  <c:v>46057</c:v>
                </c:pt>
                <c:pt idx="295">
                  <c:v>46057</c:v>
                </c:pt>
                <c:pt idx="296">
                  <c:v>46051</c:v>
                </c:pt>
                <c:pt idx="297">
                  <c:v>46051</c:v>
                </c:pt>
                <c:pt idx="298">
                  <c:v>46051</c:v>
                </c:pt>
                <c:pt idx="299">
                  <c:v>46051</c:v>
                </c:pt>
                <c:pt idx="300">
                  <c:v>46056</c:v>
                </c:pt>
                <c:pt idx="301">
                  <c:v>46051</c:v>
                </c:pt>
                <c:pt idx="302">
                  <c:v>46056</c:v>
                </c:pt>
                <c:pt idx="303">
                  <c:v>46055</c:v>
                </c:pt>
                <c:pt idx="304">
                  <c:v>46055</c:v>
                </c:pt>
                <c:pt idx="305">
                  <c:v>46055</c:v>
                </c:pt>
                <c:pt idx="306">
                  <c:v>46055</c:v>
                </c:pt>
                <c:pt idx="307">
                  <c:v>46055</c:v>
                </c:pt>
                <c:pt idx="308">
                  <c:v>46056</c:v>
                </c:pt>
                <c:pt idx="309">
                  <c:v>46055</c:v>
                </c:pt>
                <c:pt idx="310">
                  <c:v>46057</c:v>
                </c:pt>
                <c:pt idx="311">
                  <c:v>46056</c:v>
                </c:pt>
                <c:pt idx="312">
                  <c:v>46056</c:v>
                </c:pt>
                <c:pt idx="313">
                  <c:v>46058</c:v>
                </c:pt>
                <c:pt idx="314">
                  <c:v>46056</c:v>
                </c:pt>
                <c:pt idx="315">
                  <c:v>46056</c:v>
                </c:pt>
                <c:pt idx="316">
                  <c:v>46057</c:v>
                </c:pt>
                <c:pt idx="317">
                  <c:v>46057</c:v>
                </c:pt>
                <c:pt idx="318">
                  <c:v>46057</c:v>
                </c:pt>
                <c:pt idx="319">
                  <c:v>46059</c:v>
                </c:pt>
                <c:pt idx="320">
                  <c:v>46057</c:v>
                </c:pt>
                <c:pt idx="321">
                  <c:v>46076</c:v>
                </c:pt>
                <c:pt idx="322">
                  <c:v>46058</c:v>
                </c:pt>
                <c:pt idx="323">
                  <c:v>46083</c:v>
                </c:pt>
                <c:pt idx="324">
                  <c:v>46057</c:v>
                </c:pt>
                <c:pt idx="325">
                  <c:v>46093</c:v>
                </c:pt>
                <c:pt idx="326">
                  <c:v>46057</c:v>
                </c:pt>
                <c:pt idx="327">
                  <c:v>46057</c:v>
                </c:pt>
                <c:pt idx="328">
                  <c:v>46057</c:v>
                </c:pt>
                <c:pt idx="329">
                  <c:v>46058</c:v>
                </c:pt>
                <c:pt idx="330">
                  <c:v>46058</c:v>
                </c:pt>
                <c:pt idx="331">
                  <c:v>46058</c:v>
                </c:pt>
                <c:pt idx="332">
                  <c:v>46058</c:v>
                </c:pt>
                <c:pt idx="333">
                  <c:v>46063</c:v>
                </c:pt>
                <c:pt idx="334">
                  <c:v>46058</c:v>
                </c:pt>
                <c:pt idx="335">
                  <c:v>46058</c:v>
                </c:pt>
                <c:pt idx="336">
                  <c:v>46058</c:v>
                </c:pt>
                <c:pt idx="337">
                  <c:v>46058</c:v>
                </c:pt>
                <c:pt idx="338">
                  <c:v>46062</c:v>
                </c:pt>
                <c:pt idx="339">
                  <c:v>46063</c:v>
                </c:pt>
                <c:pt idx="340">
                  <c:v>46063</c:v>
                </c:pt>
                <c:pt idx="341">
                  <c:v>46062</c:v>
                </c:pt>
                <c:pt idx="342">
                  <c:v>46058</c:v>
                </c:pt>
                <c:pt idx="343">
                  <c:v>46063</c:v>
                </c:pt>
                <c:pt idx="344">
                  <c:v>46058</c:v>
                </c:pt>
                <c:pt idx="345">
                  <c:v>46058</c:v>
                </c:pt>
                <c:pt idx="346">
                  <c:v>46058</c:v>
                </c:pt>
                <c:pt idx="347">
                  <c:v>46058</c:v>
                </c:pt>
                <c:pt idx="348">
                  <c:v>46066</c:v>
                </c:pt>
                <c:pt idx="349">
                  <c:v>46076</c:v>
                </c:pt>
                <c:pt idx="350">
                  <c:v>46063</c:v>
                </c:pt>
                <c:pt idx="351">
                  <c:v>46059</c:v>
                </c:pt>
                <c:pt idx="352">
                  <c:v>46059</c:v>
                </c:pt>
                <c:pt idx="353">
                  <c:v>46059</c:v>
                </c:pt>
                <c:pt idx="354">
                  <c:v>46059</c:v>
                </c:pt>
                <c:pt idx="355">
                  <c:v>46059</c:v>
                </c:pt>
                <c:pt idx="356">
                  <c:v>46065</c:v>
                </c:pt>
                <c:pt idx="357">
                  <c:v>46059</c:v>
                </c:pt>
                <c:pt idx="358">
                  <c:v>46059</c:v>
                </c:pt>
                <c:pt idx="359">
                  <c:v>46065</c:v>
                </c:pt>
                <c:pt idx="360">
                  <c:v>46059</c:v>
                </c:pt>
                <c:pt idx="361">
                  <c:v>46059</c:v>
                </c:pt>
                <c:pt idx="362">
                  <c:v>46059</c:v>
                </c:pt>
                <c:pt idx="363">
                  <c:v>46059</c:v>
                </c:pt>
                <c:pt idx="364">
                  <c:v>46059</c:v>
                </c:pt>
                <c:pt idx="365">
                  <c:v>46065</c:v>
                </c:pt>
                <c:pt idx="366">
                  <c:v>46059</c:v>
                </c:pt>
                <c:pt idx="367">
                  <c:v>46063</c:v>
                </c:pt>
                <c:pt idx="368">
                  <c:v>46062</c:v>
                </c:pt>
                <c:pt idx="369">
                  <c:v>46063</c:v>
                </c:pt>
                <c:pt idx="370">
                  <c:v>46059</c:v>
                </c:pt>
                <c:pt idx="371">
                  <c:v>46059</c:v>
                </c:pt>
                <c:pt idx="372">
                  <c:v>46066</c:v>
                </c:pt>
                <c:pt idx="373">
                  <c:v>46059</c:v>
                </c:pt>
                <c:pt idx="374">
                  <c:v>46066</c:v>
                </c:pt>
                <c:pt idx="375">
                  <c:v>46059</c:v>
                </c:pt>
                <c:pt idx="376">
                  <c:v>46059</c:v>
                </c:pt>
                <c:pt idx="377">
                  <c:v>46059</c:v>
                </c:pt>
                <c:pt idx="378">
                  <c:v>46059</c:v>
                </c:pt>
                <c:pt idx="379">
                  <c:v>46059</c:v>
                </c:pt>
                <c:pt idx="380">
                  <c:v>46059</c:v>
                </c:pt>
                <c:pt idx="381">
                  <c:v>46059</c:v>
                </c:pt>
                <c:pt idx="382">
                  <c:v>46059</c:v>
                </c:pt>
                <c:pt idx="383">
                  <c:v>46059</c:v>
                </c:pt>
                <c:pt idx="384">
                  <c:v>46059</c:v>
                </c:pt>
                <c:pt idx="385">
                  <c:v>46059</c:v>
                </c:pt>
                <c:pt idx="386">
                  <c:v>46059</c:v>
                </c:pt>
                <c:pt idx="387">
                  <c:v>46059</c:v>
                </c:pt>
                <c:pt idx="388">
                  <c:v>46059</c:v>
                </c:pt>
                <c:pt idx="389">
                  <c:v>46059</c:v>
                </c:pt>
                <c:pt idx="390">
                  <c:v>46059</c:v>
                </c:pt>
                <c:pt idx="391">
                  <c:v>46059</c:v>
                </c:pt>
                <c:pt idx="392">
                  <c:v>46059</c:v>
                </c:pt>
                <c:pt idx="393">
                  <c:v>46059</c:v>
                </c:pt>
                <c:pt idx="394">
                  <c:v>46059</c:v>
                </c:pt>
                <c:pt idx="395">
                  <c:v>46065</c:v>
                </c:pt>
                <c:pt idx="396">
                  <c:v>46066</c:v>
                </c:pt>
                <c:pt idx="397">
                  <c:v>46059</c:v>
                </c:pt>
                <c:pt idx="398">
                  <c:v>46059</c:v>
                </c:pt>
                <c:pt idx="399">
                  <c:v>46063</c:v>
                </c:pt>
                <c:pt idx="400">
                  <c:v>46063</c:v>
                </c:pt>
                <c:pt idx="401">
                  <c:v>46080</c:v>
                </c:pt>
                <c:pt idx="402">
                  <c:v>46059</c:v>
                </c:pt>
                <c:pt idx="403">
                  <c:v>46080</c:v>
                </c:pt>
                <c:pt idx="404">
                  <c:v>46064</c:v>
                </c:pt>
                <c:pt idx="405">
                  <c:v>46062</c:v>
                </c:pt>
                <c:pt idx="406">
                  <c:v>46062</c:v>
                </c:pt>
                <c:pt idx="407">
                  <c:v>46062</c:v>
                </c:pt>
                <c:pt idx="408">
                  <c:v>46065</c:v>
                </c:pt>
                <c:pt idx="409">
                  <c:v>46062</c:v>
                </c:pt>
                <c:pt idx="410">
                  <c:v>46062</c:v>
                </c:pt>
                <c:pt idx="411">
                  <c:v>46072</c:v>
                </c:pt>
                <c:pt idx="412">
                  <c:v>46065</c:v>
                </c:pt>
                <c:pt idx="413">
                  <c:v>46062</c:v>
                </c:pt>
                <c:pt idx="414">
                  <c:v>46135</c:v>
                </c:pt>
                <c:pt idx="415">
                  <c:v>46092</c:v>
                </c:pt>
                <c:pt idx="416">
                  <c:v>46077</c:v>
                </c:pt>
                <c:pt idx="417">
                  <c:v>46063</c:v>
                </c:pt>
                <c:pt idx="418">
                  <c:v>46063</c:v>
                </c:pt>
                <c:pt idx="419">
                  <c:v>46066</c:v>
                </c:pt>
                <c:pt idx="420">
                  <c:v>46072</c:v>
                </c:pt>
                <c:pt idx="421">
                  <c:v>46063</c:v>
                </c:pt>
                <c:pt idx="422">
                  <c:v>46064</c:v>
                </c:pt>
                <c:pt idx="423">
                  <c:v>46063</c:v>
                </c:pt>
                <c:pt idx="424">
                  <c:v>46064</c:v>
                </c:pt>
                <c:pt idx="425">
                  <c:v>46072</c:v>
                </c:pt>
                <c:pt idx="426">
                  <c:v>46064</c:v>
                </c:pt>
                <c:pt idx="427">
                  <c:v>46064</c:v>
                </c:pt>
                <c:pt idx="428">
                  <c:v>46066</c:v>
                </c:pt>
                <c:pt idx="429">
                  <c:v>46064</c:v>
                </c:pt>
                <c:pt idx="430">
                  <c:v>46064</c:v>
                </c:pt>
                <c:pt idx="431">
                  <c:v>46065</c:v>
                </c:pt>
                <c:pt idx="432">
                  <c:v>46073</c:v>
                </c:pt>
                <c:pt idx="433">
                  <c:v>46064</c:v>
                </c:pt>
                <c:pt idx="434">
                  <c:v>46064</c:v>
                </c:pt>
                <c:pt idx="435">
                  <c:v>46064</c:v>
                </c:pt>
                <c:pt idx="436">
                  <c:v>46064</c:v>
                </c:pt>
                <c:pt idx="437">
                  <c:v>46072</c:v>
                </c:pt>
                <c:pt idx="438">
                  <c:v>46079</c:v>
                </c:pt>
                <c:pt idx="439">
                  <c:v>46064</c:v>
                </c:pt>
                <c:pt idx="440">
                  <c:v>46064</c:v>
                </c:pt>
                <c:pt idx="441">
                  <c:v>46064</c:v>
                </c:pt>
                <c:pt idx="442">
                  <c:v>46058</c:v>
                </c:pt>
                <c:pt idx="443">
                  <c:v>46065</c:v>
                </c:pt>
                <c:pt idx="444">
                  <c:v>46064</c:v>
                </c:pt>
                <c:pt idx="445">
                  <c:v>46064</c:v>
                </c:pt>
                <c:pt idx="446">
                  <c:v>46064</c:v>
                </c:pt>
                <c:pt idx="447">
                  <c:v>46079</c:v>
                </c:pt>
                <c:pt idx="448">
                  <c:v>46072</c:v>
                </c:pt>
                <c:pt idx="449">
                  <c:v>46079</c:v>
                </c:pt>
                <c:pt idx="450">
                  <c:v>46079</c:v>
                </c:pt>
                <c:pt idx="451">
                  <c:v>46079</c:v>
                </c:pt>
                <c:pt idx="452">
                  <c:v>46079</c:v>
                </c:pt>
                <c:pt idx="453">
                  <c:v>46079</c:v>
                </c:pt>
                <c:pt idx="454">
                  <c:v>46066</c:v>
                </c:pt>
                <c:pt idx="455">
                  <c:v>46065</c:v>
                </c:pt>
                <c:pt idx="456">
                  <c:v>46065</c:v>
                </c:pt>
                <c:pt idx="457">
                  <c:v>46065</c:v>
                </c:pt>
                <c:pt idx="458">
                  <c:v>46065</c:v>
                </c:pt>
                <c:pt idx="459">
                  <c:v>46065</c:v>
                </c:pt>
                <c:pt idx="460">
                  <c:v>46073</c:v>
                </c:pt>
                <c:pt idx="461">
                  <c:v>46072</c:v>
                </c:pt>
                <c:pt idx="462">
                  <c:v>46160</c:v>
                </c:pt>
                <c:pt idx="463">
                  <c:v>46065</c:v>
                </c:pt>
                <c:pt idx="464">
                  <c:v>46065</c:v>
                </c:pt>
                <c:pt idx="465">
                  <c:v>46065</c:v>
                </c:pt>
                <c:pt idx="466">
                  <c:v>46065</c:v>
                </c:pt>
                <c:pt idx="467">
                  <c:v>46079</c:v>
                </c:pt>
                <c:pt idx="468">
                  <c:v>46079</c:v>
                </c:pt>
                <c:pt idx="469">
                  <c:v>46079</c:v>
                </c:pt>
                <c:pt idx="470">
                  <c:v>46079</c:v>
                </c:pt>
                <c:pt idx="471">
                  <c:v>46065</c:v>
                </c:pt>
                <c:pt idx="472">
                  <c:v>46065</c:v>
                </c:pt>
                <c:pt idx="473">
                  <c:v>46065</c:v>
                </c:pt>
                <c:pt idx="474">
                  <c:v>46065</c:v>
                </c:pt>
                <c:pt idx="475">
                  <c:v>46065</c:v>
                </c:pt>
                <c:pt idx="476">
                  <c:v>46065</c:v>
                </c:pt>
                <c:pt idx="477">
                  <c:v>46065</c:v>
                </c:pt>
                <c:pt idx="478">
                  <c:v>46079</c:v>
                </c:pt>
                <c:pt idx="479">
                  <c:v>46066</c:v>
                </c:pt>
                <c:pt idx="480">
                  <c:v>46066</c:v>
                </c:pt>
                <c:pt idx="481">
                  <c:v>46091</c:v>
                </c:pt>
                <c:pt idx="482">
                  <c:v>46072</c:v>
                </c:pt>
                <c:pt idx="483">
                  <c:v>46083</c:v>
                </c:pt>
                <c:pt idx="484">
                  <c:v>46072</c:v>
                </c:pt>
                <c:pt idx="485">
                  <c:v>46076</c:v>
                </c:pt>
                <c:pt idx="486">
                  <c:v>46073</c:v>
                </c:pt>
                <c:pt idx="487">
                  <c:v>46072</c:v>
                </c:pt>
                <c:pt idx="488">
                  <c:v>46072</c:v>
                </c:pt>
                <c:pt idx="489">
                  <c:v>46072</c:v>
                </c:pt>
                <c:pt idx="490">
                  <c:v>46080</c:v>
                </c:pt>
                <c:pt idx="491">
                  <c:v>46080</c:v>
                </c:pt>
                <c:pt idx="492">
                  <c:v>46077</c:v>
                </c:pt>
                <c:pt idx="493">
                  <c:v>46072</c:v>
                </c:pt>
                <c:pt idx="494">
                  <c:v>46076</c:v>
                </c:pt>
                <c:pt idx="495">
                  <c:v>46077</c:v>
                </c:pt>
                <c:pt idx="496">
                  <c:v>46077</c:v>
                </c:pt>
                <c:pt idx="497">
                  <c:v>46073</c:v>
                </c:pt>
                <c:pt idx="498">
                  <c:v>46073</c:v>
                </c:pt>
                <c:pt idx="499">
                  <c:v>46073</c:v>
                </c:pt>
                <c:pt idx="500">
                  <c:v>46073</c:v>
                </c:pt>
                <c:pt idx="501">
                  <c:v>46073</c:v>
                </c:pt>
                <c:pt idx="502">
                  <c:v>46076</c:v>
                </c:pt>
                <c:pt idx="503">
                  <c:v>46076</c:v>
                </c:pt>
                <c:pt idx="504">
                  <c:v>46076</c:v>
                </c:pt>
                <c:pt idx="505">
                  <c:v>46076</c:v>
                </c:pt>
                <c:pt idx="506">
                  <c:v>46080</c:v>
                </c:pt>
                <c:pt idx="507">
                  <c:v>46073</c:v>
                </c:pt>
                <c:pt idx="508">
                  <c:v>46087</c:v>
                </c:pt>
                <c:pt idx="509">
                  <c:v>46073</c:v>
                </c:pt>
                <c:pt idx="510">
                  <c:v>46073</c:v>
                </c:pt>
                <c:pt idx="511">
                  <c:v>46073</c:v>
                </c:pt>
                <c:pt idx="512">
                  <c:v>46080</c:v>
                </c:pt>
                <c:pt idx="513">
                  <c:v>46080</c:v>
                </c:pt>
                <c:pt idx="514">
                  <c:v>46076</c:v>
                </c:pt>
                <c:pt idx="515">
                  <c:v>46076</c:v>
                </c:pt>
                <c:pt idx="516">
                  <c:v>46076</c:v>
                </c:pt>
                <c:pt idx="517">
                  <c:v>46076</c:v>
                </c:pt>
                <c:pt idx="518">
                  <c:v>46076</c:v>
                </c:pt>
                <c:pt idx="519">
                  <c:v>46079</c:v>
                </c:pt>
                <c:pt idx="520">
                  <c:v>46076</c:v>
                </c:pt>
                <c:pt idx="521">
                  <c:v>46098</c:v>
                </c:pt>
                <c:pt idx="522">
                  <c:v>46076</c:v>
                </c:pt>
                <c:pt idx="523">
                  <c:v>46076</c:v>
                </c:pt>
                <c:pt idx="524">
                  <c:v>46080</c:v>
                </c:pt>
                <c:pt idx="525">
                  <c:v>46080</c:v>
                </c:pt>
                <c:pt idx="526">
                  <c:v>46080</c:v>
                </c:pt>
                <c:pt idx="527">
                  <c:v>46080</c:v>
                </c:pt>
                <c:pt idx="528">
                  <c:v>46079</c:v>
                </c:pt>
                <c:pt idx="529">
                  <c:v>46076</c:v>
                </c:pt>
                <c:pt idx="530">
                  <c:v>46076</c:v>
                </c:pt>
                <c:pt idx="531">
                  <c:v>46076</c:v>
                </c:pt>
                <c:pt idx="532">
                  <c:v>46076</c:v>
                </c:pt>
                <c:pt idx="533">
                  <c:v>46076</c:v>
                </c:pt>
                <c:pt idx="534">
                  <c:v>46080</c:v>
                </c:pt>
                <c:pt idx="535">
                  <c:v>46077</c:v>
                </c:pt>
                <c:pt idx="536">
                  <c:v>46077</c:v>
                </c:pt>
                <c:pt idx="537">
                  <c:v>46077</c:v>
                </c:pt>
                <c:pt idx="538">
                  <c:v>46077</c:v>
                </c:pt>
                <c:pt idx="539">
                  <c:v>46077</c:v>
                </c:pt>
                <c:pt idx="540">
                  <c:v>46077</c:v>
                </c:pt>
                <c:pt idx="541">
                  <c:v>46083</c:v>
                </c:pt>
                <c:pt idx="542">
                  <c:v>46077</c:v>
                </c:pt>
                <c:pt idx="543">
                  <c:v>46083</c:v>
                </c:pt>
                <c:pt idx="544">
                  <c:v>46077</c:v>
                </c:pt>
                <c:pt idx="545">
                  <c:v>46077</c:v>
                </c:pt>
                <c:pt idx="546">
                  <c:v>46077</c:v>
                </c:pt>
                <c:pt idx="547">
                  <c:v>46077</c:v>
                </c:pt>
                <c:pt idx="548">
                  <c:v>46077</c:v>
                </c:pt>
                <c:pt idx="549">
                  <c:v>46083</c:v>
                </c:pt>
                <c:pt idx="550">
                  <c:v>46077</c:v>
                </c:pt>
                <c:pt idx="551">
                  <c:v>46077</c:v>
                </c:pt>
                <c:pt idx="552">
                  <c:v>46083</c:v>
                </c:pt>
                <c:pt idx="553">
                  <c:v>46079</c:v>
                </c:pt>
                <c:pt idx="554">
                  <c:v>46077</c:v>
                </c:pt>
                <c:pt idx="555">
                  <c:v>46077</c:v>
                </c:pt>
                <c:pt idx="556">
                  <c:v>46084</c:v>
                </c:pt>
                <c:pt idx="557">
                  <c:v>46079</c:v>
                </c:pt>
                <c:pt idx="558">
                  <c:v>46079</c:v>
                </c:pt>
                <c:pt idx="559">
                  <c:v>46079</c:v>
                </c:pt>
                <c:pt idx="560">
                  <c:v>46079</c:v>
                </c:pt>
                <c:pt idx="561">
                  <c:v>46079</c:v>
                </c:pt>
                <c:pt idx="562">
                  <c:v>46084</c:v>
                </c:pt>
                <c:pt idx="563">
                  <c:v>46079</c:v>
                </c:pt>
                <c:pt idx="564">
                  <c:v>46084</c:v>
                </c:pt>
                <c:pt idx="565">
                  <c:v>46079</c:v>
                </c:pt>
                <c:pt idx="566">
                  <c:v>46079</c:v>
                </c:pt>
                <c:pt idx="567">
                  <c:v>46079</c:v>
                </c:pt>
                <c:pt idx="568">
                  <c:v>46079</c:v>
                </c:pt>
                <c:pt idx="569">
                  <c:v>46079</c:v>
                </c:pt>
                <c:pt idx="570">
                  <c:v>46079</c:v>
                </c:pt>
                <c:pt idx="571">
                  <c:v>46079</c:v>
                </c:pt>
                <c:pt idx="572">
                  <c:v>46079</c:v>
                </c:pt>
                <c:pt idx="573">
                  <c:v>46083</c:v>
                </c:pt>
                <c:pt idx="574">
                  <c:v>46079</c:v>
                </c:pt>
                <c:pt idx="575">
                  <c:v>46083</c:v>
                </c:pt>
                <c:pt idx="576">
                  <c:v>46079</c:v>
                </c:pt>
                <c:pt idx="577">
                  <c:v>46079</c:v>
                </c:pt>
                <c:pt idx="578">
                  <c:v>46079</c:v>
                </c:pt>
                <c:pt idx="579">
                  <c:v>46080</c:v>
                </c:pt>
                <c:pt idx="580">
                  <c:v>46084</c:v>
                </c:pt>
                <c:pt idx="581">
                  <c:v>46085</c:v>
                </c:pt>
                <c:pt idx="582">
                  <c:v>46080</c:v>
                </c:pt>
                <c:pt idx="583">
                  <c:v>46080</c:v>
                </c:pt>
                <c:pt idx="584">
                  <c:v>46080</c:v>
                </c:pt>
                <c:pt idx="585">
                  <c:v>46080</c:v>
                </c:pt>
                <c:pt idx="586">
                  <c:v>46083</c:v>
                </c:pt>
                <c:pt idx="587">
                  <c:v>46080</c:v>
                </c:pt>
                <c:pt idx="588">
                  <c:v>46080</c:v>
                </c:pt>
                <c:pt idx="589">
                  <c:v>46080</c:v>
                </c:pt>
                <c:pt idx="590">
                  <c:v>46083</c:v>
                </c:pt>
                <c:pt idx="591">
                  <c:v>46080</c:v>
                </c:pt>
                <c:pt idx="592">
                  <c:v>46080</c:v>
                </c:pt>
                <c:pt idx="593">
                  <c:v>46080</c:v>
                </c:pt>
                <c:pt idx="594">
                  <c:v>46080</c:v>
                </c:pt>
                <c:pt idx="595">
                  <c:v>46080</c:v>
                </c:pt>
                <c:pt idx="596">
                  <c:v>46080</c:v>
                </c:pt>
                <c:pt idx="597">
                  <c:v>46080</c:v>
                </c:pt>
                <c:pt idx="598">
                  <c:v>46080</c:v>
                </c:pt>
                <c:pt idx="599">
                  <c:v>46080</c:v>
                </c:pt>
                <c:pt idx="600">
                  <c:v>46080</c:v>
                </c:pt>
                <c:pt idx="601">
                  <c:v>46080</c:v>
                </c:pt>
                <c:pt idx="602">
                  <c:v>46080</c:v>
                </c:pt>
                <c:pt idx="603">
                  <c:v>46080</c:v>
                </c:pt>
                <c:pt idx="604">
                  <c:v>46080</c:v>
                </c:pt>
                <c:pt idx="605">
                  <c:v>46085</c:v>
                </c:pt>
                <c:pt idx="606">
                  <c:v>46085</c:v>
                </c:pt>
                <c:pt idx="607">
                  <c:v>46085</c:v>
                </c:pt>
                <c:pt idx="608">
                  <c:v>46084</c:v>
                </c:pt>
                <c:pt idx="609">
                  <c:v>46084</c:v>
                </c:pt>
                <c:pt idx="610">
                  <c:v>46083</c:v>
                </c:pt>
                <c:pt idx="611">
                  <c:v>46083</c:v>
                </c:pt>
                <c:pt idx="612">
                  <c:v>46091</c:v>
                </c:pt>
                <c:pt idx="613">
                  <c:v>46083</c:v>
                </c:pt>
                <c:pt idx="614">
                  <c:v>46083</c:v>
                </c:pt>
                <c:pt idx="615">
                  <c:v>46083</c:v>
                </c:pt>
                <c:pt idx="616">
                  <c:v>46083</c:v>
                </c:pt>
                <c:pt idx="617">
                  <c:v>46085</c:v>
                </c:pt>
                <c:pt idx="618">
                  <c:v>46085</c:v>
                </c:pt>
                <c:pt idx="619">
                  <c:v>46085</c:v>
                </c:pt>
                <c:pt idx="620">
                  <c:v>46083</c:v>
                </c:pt>
                <c:pt idx="621">
                  <c:v>46083</c:v>
                </c:pt>
                <c:pt idx="622">
                  <c:v>46083</c:v>
                </c:pt>
                <c:pt idx="623">
                  <c:v>46083</c:v>
                </c:pt>
                <c:pt idx="624">
                  <c:v>46083</c:v>
                </c:pt>
                <c:pt idx="625">
                  <c:v>46083</c:v>
                </c:pt>
                <c:pt idx="626">
                  <c:v>46085</c:v>
                </c:pt>
                <c:pt idx="627">
                  <c:v>46084</c:v>
                </c:pt>
                <c:pt idx="628">
                  <c:v>46085</c:v>
                </c:pt>
                <c:pt idx="629">
                  <c:v>46084</c:v>
                </c:pt>
                <c:pt idx="630">
                  <c:v>46084</c:v>
                </c:pt>
                <c:pt idx="631">
                  <c:v>46084</c:v>
                </c:pt>
                <c:pt idx="632">
                  <c:v>46084</c:v>
                </c:pt>
                <c:pt idx="633">
                  <c:v>46084</c:v>
                </c:pt>
                <c:pt idx="634">
                  <c:v>46084</c:v>
                </c:pt>
                <c:pt idx="635">
                  <c:v>46084</c:v>
                </c:pt>
                <c:pt idx="636">
                  <c:v>46084</c:v>
                </c:pt>
                <c:pt idx="637">
                  <c:v>46084</c:v>
                </c:pt>
                <c:pt idx="638">
                  <c:v>46084</c:v>
                </c:pt>
                <c:pt idx="639">
                  <c:v>46084</c:v>
                </c:pt>
                <c:pt idx="640">
                  <c:v>46084</c:v>
                </c:pt>
                <c:pt idx="641">
                  <c:v>46084</c:v>
                </c:pt>
                <c:pt idx="642">
                  <c:v>46084</c:v>
                </c:pt>
                <c:pt idx="643">
                  <c:v>46084</c:v>
                </c:pt>
                <c:pt idx="644">
                  <c:v>46086</c:v>
                </c:pt>
                <c:pt idx="645">
                  <c:v>46084</c:v>
                </c:pt>
                <c:pt idx="646">
                  <c:v>46084</c:v>
                </c:pt>
                <c:pt idx="647">
                  <c:v>46084</c:v>
                </c:pt>
                <c:pt idx="648">
                  <c:v>46084</c:v>
                </c:pt>
                <c:pt idx="649">
                  <c:v>46084</c:v>
                </c:pt>
                <c:pt idx="650">
                  <c:v>46084</c:v>
                </c:pt>
                <c:pt idx="651">
                  <c:v>46084</c:v>
                </c:pt>
                <c:pt idx="652">
                  <c:v>46084</c:v>
                </c:pt>
                <c:pt idx="653">
                  <c:v>46084</c:v>
                </c:pt>
                <c:pt idx="654">
                  <c:v>46091</c:v>
                </c:pt>
                <c:pt idx="655">
                  <c:v>46107</c:v>
                </c:pt>
                <c:pt idx="656">
                  <c:v>46087</c:v>
                </c:pt>
                <c:pt idx="657">
                  <c:v>46090</c:v>
                </c:pt>
                <c:pt idx="658">
                  <c:v>46084</c:v>
                </c:pt>
                <c:pt idx="659">
                  <c:v>46084</c:v>
                </c:pt>
                <c:pt idx="660">
                  <c:v>46087</c:v>
                </c:pt>
                <c:pt idx="661">
                  <c:v>46084</c:v>
                </c:pt>
                <c:pt idx="662">
                  <c:v>46084</c:v>
                </c:pt>
                <c:pt idx="663">
                  <c:v>46090</c:v>
                </c:pt>
                <c:pt idx="664">
                  <c:v>46091</c:v>
                </c:pt>
                <c:pt idx="665">
                  <c:v>46085</c:v>
                </c:pt>
                <c:pt idx="666">
                  <c:v>46085</c:v>
                </c:pt>
                <c:pt idx="667">
                  <c:v>46086</c:v>
                </c:pt>
                <c:pt idx="668">
                  <c:v>46085</c:v>
                </c:pt>
                <c:pt idx="669">
                  <c:v>46085</c:v>
                </c:pt>
                <c:pt idx="670">
                  <c:v>46085</c:v>
                </c:pt>
                <c:pt idx="671">
                  <c:v>46085</c:v>
                </c:pt>
                <c:pt idx="672">
                  <c:v>46085</c:v>
                </c:pt>
                <c:pt idx="673">
                  <c:v>46085</c:v>
                </c:pt>
                <c:pt idx="674">
                  <c:v>46085</c:v>
                </c:pt>
                <c:pt idx="675">
                  <c:v>46087</c:v>
                </c:pt>
                <c:pt idx="676">
                  <c:v>46085</c:v>
                </c:pt>
                <c:pt idx="677">
                  <c:v>46090</c:v>
                </c:pt>
                <c:pt idx="678">
                  <c:v>46090</c:v>
                </c:pt>
                <c:pt idx="679">
                  <c:v>46085</c:v>
                </c:pt>
                <c:pt idx="680">
                  <c:v>46086</c:v>
                </c:pt>
                <c:pt idx="681">
                  <c:v>46085</c:v>
                </c:pt>
                <c:pt idx="682">
                  <c:v>46085</c:v>
                </c:pt>
                <c:pt idx="683">
                  <c:v>46085</c:v>
                </c:pt>
                <c:pt idx="684">
                  <c:v>46085</c:v>
                </c:pt>
                <c:pt idx="685">
                  <c:v>46085</c:v>
                </c:pt>
                <c:pt idx="686">
                  <c:v>46085</c:v>
                </c:pt>
                <c:pt idx="687">
                  <c:v>46085</c:v>
                </c:pt>
                <c:pt idx="688">
                  <c:v>46085</c:v>
                </c:pt>
                <c:pt idx="689">
                  <c:v>46085</c:v>
                </c:pt>
                <c:pt idx="690">
                  <c:v>46085</c:v>
                </c:pt>
                <c:pt idx="691">
                  <c:v>46085</c:v>
                </c:pt>
                <c:pt idx="692">
                  <c:v>46085</c:v>
                </c:pt>
                <c:pt idx="693">
                  <c:v>46085</c:v>
                </c:pt>
                <c:pt idx="694">
                  <c:v>46085</c:v>
                </c:pt>
                <c:pt idx="695">
                  <c:v>46085</c:v>
                </c:pt>
                <c:pt idx="696">
                  <c:v>46097</c:v>
                </c:pt>
                <c:pt idx="697">
                  <c:v>46097</c:v>
                </c:pt>
                <c:pt idx="698">
                  <c:v>46094</c:v>
                </c:pt>
                <c:pt idx="699">
                  <c:v>46085</c:v>
                </c:pt>
                <c:pt idx="700">
                  <c:v>46085</c:v>
                </c:pt>
                <c:pt idx="701">
                  <c:v>46094</c:v>
                </c:pt>
                <c:pt idx="702">
                  <c:v>46085</c:v>
                </c:pt>
                <c:pt idx="703">
                  <c:v>46085</c:v>
                </c:pt>
                <c:pt idx="704">
                  <c:v>46085</c:v>
                </c:pt>
                <c:pt idx="705">
                  <c:v>46090</c:v>
                </c:pt>
                <c:pt idx="706">
                  <c:v>46085</c:v>
                </c:pt>
                <c:pt idx="707">
                  <c:v>46086</c:v>
                </c:pt>
                <c:pt idx="708">
                  <c:v>46086</c:v>
                </c:pt>
                <c:pt idx="709">
                  <c:v>46086</c:v>
                </c:pt>
                <c:pt idx="710">
                  <c:v>46086</c:v>
                </c:pt>
                <c:pt idx="711">
                  <c:v>46087</c:v>
                </c:pt>
                <c:pt idx="712">
                  <c:v>46086</c:v>
                </c:pt>
                <c:pt idx="713">
                  <c:v>46091</c:v>
                </c:pt>
                <c:pt idx="714">
                  <c:v>46094</c:v>
                </c:pt>
                <c:pt idx="715">
                  <c:v>46086</c:v>
                </c:pt>
                <c:pt idx="716">
                  <c:v>46097</c:v>
                </c:pt>
                <c:pt idx="717">
                  <c:v>46086</c:v>
                </c:pt>
                <c:pt idx="718">
                  <c:v>46097</c:v>
                </c:pt>
                <c:pt idx="719">
                  <c:v>46097</c:v>
                </c:pt>
                <c:pt idx="720">
                  <c:v>46086</c:v>
                </c:pt>
                <c:pt idx="721">
                  <c:v>46086</c:v>
                </c:pt>
                <c:pt idx="722">
                  <c:v>46086</c:v>
                </c:pt>
                <c:pt idx="723">
                  <c:v>46086</c:v>
                </c:pt>
                <c:pt idx="724">
                  <c:v>46086</c:v>
                </c:pt>
                <c:pt idx="725">
                  <c:v>46090</c:v>
                </c:pt>
                <c:pt idx="726">
                  <c:v>46087</c:v>
                </c:pt>
                <c:pt idx="727">
                  <c:v>46086</c:v>
                </c:pt>
                <c:pt idx="728">
                  <c:v>46090</c:v>
                </c:pt>
                <c:pt idx="729">
                  <c:v>46090</c:v>
                </c:pt>
                <c:pt idx="730">
                  <c:v>46092</c:v>
                </c:pt>
                <c:pt idx="731">
                  <c:v>46091</c:v>
                </c:pt>
                <c:pt idx="732">
                  <c:v>46086</c:v>
                </c:pt>
                <c:pt idx="733">
                  <c:v>46086</c:v>
                </c:pt>
                <c:pt idx="734">
                  <c:v>46086</c:v>
                </c:pt>
                <c:pt idx="735">
                  <c:v>46087</c:v>
                </c:pt>
                <c:pt idx="736">
                  <c:v>46087</c:v>
                </c:pt>
                <c:pt idx="737">
                  <c:v>46087</c:v>
                </c:pt>
                <c:pt idx="738">
                  <c:v>46087</c:v>
                </c:pt>
                <c:pt idx="739">
                  <c:v>46087</c:v>
                </c:pt>
                <c:pt idx="740">
                  <c:v>46087</c:v>
                </c:pt>
                <c:pt idx="741">
                  <c:v>46092</c:v>
                </c:pt>
                <c:pt idx="742">
                  <c:v>46087</c:v>
                </c:pt>
                <c:pt idx="743">
                  <c:v>46090</c:v>
                </c:pt>
                <c:pt idx="744">
                  <c:v>46092</c:v>
                </c:pt>
                <c:pt idx="745">
                  <c:v>46108</c:v>
                </c:pt>
                <c:pt idx="746">
                  <c:v>46105</c:v>
                </c:pt>
                <c:pt idx="747">
                  <c:v>46092</c:v>
                </c:pt>
                <c:pt idx="748">
                  <c:v>46087</c:v>
                </c:pt>
                <c:pt idx="749">
                  <c:v>46092</c:v>
                </c:pt>
                <c:pt idx="750">
                  <c:v>46087</c:v>
                </c:pt>
                <c:pt idx="751">
                  <c:v>46087</c:v>
                </c:pt>
                <c:pt idx="752">
                  <c:v>46092</c:v>
                </c:pt>
                <c:pt idx="753">
                  <c:v>46092</c:v>
                </c:pt>
                <c:pt idx="754">
                  <c:v>46091</c:v>
                </c:pt>
                <c:pt idx="755">
                  <c:v>46087</c:v>
                </c:pt>
                <c:pt idx="756">
                  <c:v>46087</c:v>
                </c:pt>
                <c:pt idx="757">
                  <c:v>46087</c:v>
                </c:pt>
                <c:pt idx="758">
                  <c:v>46111</c:v>
                </c:pt>
                <c:pt idx="759">
                  <c:v>46128</c:v>
                </c:pt>
                <c:pt idx="760">
                  <c:v>46111</c:v>
                </c:pt>
                <c:pt idx="761">
                  <c:v>46128</c:v>
                </c:pt>
                <c:pt idx="762">
                  <c:v>46111</c:v>
                </c:pt>
                <c:pt idx="763">
                  <c:v>46090</c:v>
                </c:pt>
                <c:pt idx="764">
                  <c:v>46090</c:v>
                </c:pt>
                <c:pt idx="765">
                  <c:v>46092</c:v>
                </c:pt>
                <c:pt idx="766">
                  <c:v>46090</c:v>
                </c:pt>
                <c:pt idx="767">
                  <c:v>46090</c:v>
                </c:pt>
                <c:pt idx="768">
                  <c:v>46090</c:v>
                </c:pt>
                <c:pt idx="769">
                  <c:v>46090</c:v>
                </c:pt>
                <c:pt idx="770">
                  <c:v>46092</c:v>
                </c:pt>
                <c:pt idx="771">
                  <c:v>46090</c:v>
                </c:pt>
                <c:pt idx="772">
                  <c:v>46090</c:v>
                </c:pt>
                <c:pt idx="773">
                  <c:v>46091</c:v>
                </c:pt>
                <c:pt idx="774">
                  <c:v>46090</c:v>
                </c:pt>
                <c:pt idx="775">
                  <c:v>46094</c:v>
                </c:pt>
                <c:pt idx="776">
                  <c:v>46094</c:v>
                </c:pt>
                <c:pt idx="777">
                  <c:v>46090</c:v>
                </c:pt>
                <c:pt idx="778">
                  <c:v>46090</c:v>
                </c:pt>
                <c:pt idx="779">
                  <c:v>46108</c:v>
                </c:pt>
                <c:pt idx="780">
                  <c:v>46098</c:v>
                </c:pt>
                <c:pt idx="781">
                  <c:v>46127</c:v>
                </c:pt>
                <c:pt idx="782">
                  <c:v>46100</c:v>
                </c:pt>
                <c:pt idx="783">
                  <c:v>46090</c:v>
                </c:pt>
                <c:pt idx="784">
                  <c:v>46090</c:v>
                </c:pt>
                <c:pt idx="785">
                  <c:v>46098</c:v>
                </c:pt>
                <c:pt idx="786">
                  <c:v>46090</c:v>
                </c:pt>
                <c:pt idx="787">
                  <c:v>46090</c:v>
                </c:pt>
                <c:pt idx="788">
                  <c:v>46090</c:v>
                </c:pt>
                <c:pt idx="789">
                  <c:v>46091</c:v>
                </c:pt>
                <c:pt idx="790">
                  <c:v>46091</c:v>
                </c:pt>
                <c:pt idx="791">
                  <c:v>46091</c:v>
                </c:pt>
                <c:pt idx="792">
                  <c:v>46091</c:v>
                </c:pt>
                <c:pt idx="793">
                  <c:v>46091</c:v>
                </c:pt>
                <c:pt idx="794">
                  <c:v>46091</c:v>
                </c:pt>
                <c:pt idx="795">
                  <c:v>46098</c:v>
                </c:pt>
                <c:pt idx="796">
                  <c:v>46098</c:v>
                </c:pt>
                <c:pt idx="797">
                  <c:v>46091</c:v>
                </c:pt>
                <c:pt idx="798">
                  <c:v>46091</c:v>
                </c:pt>
                <c:pt idx="799">
                  <c:v>46091</c:v>
                </c:pt>
                <c:pt idx="800">
                  <c:v>46094</c:v>
                </c:pt>
                <c:pt idx="801">
                  <c:v>46091</c:v>
                </c:pt>
                <c:pt idx="802">
                  <c:v>46107</c:v>
                </c:pt>
                <c:pt idx="803">
                  <c:v>46091</c:v>
                </c:pt>
                <c:pt idx="804">
                  <c:v>46091</c:v>
                </c:pt>
                <c:pt idx="805">
                  <c:v>46091</c:v>
                </c:pt>
                <c:pt idx="806">
                  <c:v>46094</c:v>
                </c:pt>
                <c:pt idx="807">
                  <c:v>46094</c:v>
                </c:pt>
                <c:pt idx="808">
                  <c:v>46097</c:v>
                </c:pt>
                <c:pt idx="809">
                  <c:v>46097</c:v>
                </c:pt>
                <c:pt idx="810">
                  <c:v>46094</c:v>
                </c:pt>
                <c:pt idx="811">
                  <c:v>46097</c:v>
                </c:pt>
                <c:pt idx="812">
                  <c:v>46092</c:v>
                </c:pt>
                <c:pt idx="813">
                  <c:v>46097</c:v>
                </c:pt>
                <c:pt idx="814">
                  <c:v>46092</c:v>
                </c:pt>
                <c:pt idx="815">
                  <c:v>46092</c:v>
                </c:pt>
                <c:pt idx="816">
                  <c:v>46107</c:v>
                </c:pt>
                <c:pt idx="817">
                  <c:v>46092</c:v>
                </c:pt>
                <c:pt idx="818">
                  <c:v>46092</c:v>
                </c:pt>
                <c:pt idx="819">
                  <c:v>46092</c:v>
                </c:pt>
                <c:pt idx="820">
                  <c:v>46092</c:v>
                </c:pt>
                <c:pt idx="821">
                  <c:v>46092</c:v>
                </c:pt>
                <c:pt idx="822">
                  <c:v>46097</c:v>
                </c:pt>
                <c:pt idx="823">
                  <c:v>46097</c:v>
                </c:pt>
                <c:pt idx="824">
                  <c:v>46092</c:v>
                </c:pt>
                <c:pt idx="825">
                  <c:v>46097</c:v>
                </c:pt>
                <c:pt idx="826">
                  <c:v>46097</c:v>
                </c:pt>
                <c:pt idx="827">
                  <c:v>46092</c:v>
                </c:pt>
                <c:pt idx="828">
                  <c:v>46092</c:v>
                </c:pt>
                <c:pt idx="829">
                  <c:v>46094</c:v>
                </c:pt>
                <c:pt idx="830">
                  <c:v>46097</c:v>
                </c:pt>
                <c:pt idx="831">
                  <c:v>46092</c:v>
                </c:pt>
                <c:pt idx="832">
                  <c:v>46092</c:v>
                </c:pt>
                <c:pt idx="833">
                  <c:v>46092</c:v>
                </c:pt>
                <c:pt idx="834">
                  <c:v>46092</c:v>
                </c:pt>
                <c:pt idx="835">
                  <c:v>46092</c:v>
                </c:pt>
                <c:pt idx="836">
                  <c:v>46092</c:v>
                </c:pt>
                <c:pt idx="837">
                  <c:v>46093</c:v>
                </c:pt>
                <c:pt idx="838">
                  <c:v>46094</c:v>
                </c:pt>
                <c:pt idx="839">
                  <c:v>46093</c:v>
                </c:pt>
                <c:pt idx="840">
                  <c:v>46093</c:v>
                </c:pt>
                <c:pt idx="841">
                  <c:v>46098</c:v>
                </c:pt>
                <c:pt idx="842">
                  <c:v>46098</c:v>
                </c:pt>
                <c:pt idx="843">
                  <c:v>46093</c:v>
                </c:pt>
                <c:pt idx="844">
                  <c:v>46093</c:v>
                </c:pt>
                <c:pt idx="845">
                  <c:v>46094</c:v>
                </c:pt>
                <c:pt idx="846">
                  <c:v>46093</c:v>
                </c:pt>
                <c:pt idx="847">
                  <c:v>46094</c:v>
                </c:pt>
                <c:pt idx="848">
                  <c:v>46093</c:v>
                </c:pt>
                <c:pt idx="849">
                  <c:v>46093</c:v>
                </c:pt>
                <c:pt idx="850">
                  <c:v>46093</c:v>
                </c:pt>
                <c:pt idx="851">
                  <c:v>46093</c:v>
                </c:pt>
                <c:pt idx="852">
                  <c:v>46093</c:v>
                </c:pt>
                <c:pt idx="853">
                  <c:v>46093</c:v>
                </c:pt>
                <c:pt idx="854">
                  <c:v>46099</c:v>
                </c:pt>
                <c:pt idx="855">
                  <c:v>46093</c:v>
                </c:pt>
                <c:pt idx="856">
                  <c:v>46093</c:v>
                </c:pt>
                <c:pt idx="857">
                  <c:v>46108</c:v>
                </c:pt>
                <c:pt idx="858">
                  <c:v>46097</c:v>
                </c:pt>
                <c:pt idx="859">
                  <c:v>46094</c:v>
                </c:pt>
                <c:pt idx="860">
                  <c:v>46099</c:v>
                </c:pt>
                <c:pt idx="861">
                  <c:v>46094</c:v>
                </c:pt>
                <c:pt idx="862">
                  <c:v>46094</c:v>
                </c:pt>
                <c:pt idx="863">
                  <c:v>46094</c:v>
                </c:pt>
                <c:pt idx="864">
                  <c:v>46094</c:v>
                </c:pt>
                <c:pt idx="865">
                  <c:v>46094</c:v>
                </c:pt>
                <c:pt idx="866">
                  <c:v>46099</c:v>
                </c:pt>
                <c:pt idx="867">
                  <c:v>46094</c:v>
                </c:pt>
                <c:pt idx="868">
                  <c:v>46094</c:v>
                </c:pt>
                <c:pt idx="869">
                  <c:v>46094</c:v>
                </c:pt>
                <c:pt idx="870">
                  <c:v>46094</c:v>
                </c:pt>
                <c:pt idx="871">
                  <c:v>46094</c:v>
                </c:pt>
                <c:pt idx="872">
                  <c:v>46094</c:v>
                </c:pt>
                <c:pt idx="873">
                  <c:v>46094</c:v>
                </c:pt>
                <c:pt idx="874">
                  <c:v>46094</c:v>
                </c:pt>
                <c:pt idx="875">
                  <c:v>46094</c:v>
                </c:pt>
                <c:pt idx="876">
                  <c:v>46094</c:v>
                </c:pt>
                <c:pt idx="877">
                  <c:v>46094</c:v>
                </c:pt>
                <c:pt idx="878">
                  <c:v>46094</c:v>
                </c:pt>
                <c:pt idx="879">
                  <c:v>46094</c:v>
                </c:pt>
                <c:pt idx="880">
                  <c:v>46119</c:v>
                </c:pt>
                <c:pt idx="881">
                  <c:v>46094</c:v>
                </c:pt>
                <c:pt idx="882">
                  <c:v>46094</c:v>
                </c:pt>
                <c:pt idx="883">
                  <c:v>46094</c:v>
                </c:pt>
                <c:pt idx="884">
                  <c:v>46097</c:v>
                </c:pt>
                <c:pt idx="885">
                  <c:v>46097</c:v>
                </c:pt>
                <c:pt idx="886">
                  <c:v>46097</c:v>
                </c:pt>
                <c:pt idx="887">
                  <c:v>46097</c:v>
                </c:pt>
                <c:pt idx="888">
                  <c:v>46160</c:v>
                </c:pt>
                <c:pt idx="889">
                  <c:v>46097</c:v>
                </c:pt>
                <c:pt idx="890">
                  <c:v>46097</c:v>
                </c:pt>
                <c:pt idx="891">
                  <c:v>46108</c:v>
                </c:pt>
                <c:pt idx="892">
                  <c:v>46100</c:v>
                </c:pt>
                <c:pt idx="893">
                  <c:v>46097</c:v>
                </c:pt>
                <c:pt idx="894">
                  <c:v>46097</c:v>
                </c:pt>
                <c:pt idx="895">
                  <c:v>46099</c:v>
                </c:pt>
                <c:pt idx="896">
                  <c:v>46097</c:v>
                </c:pt>
                <c:pt idx="897">
                  <c:v>46097</c:v>
                </c:pt>
                <c:pt idx="898">
                  <c:v>46098</c:v>
                </c:pt>
                <c:pt idx="899">
                  <c:v>46098</c:v>
                </c:pt>
                <c:pt idx="900">
                  <c:v>46098</c:v>
                </c:pt>
                <c:pt idx="901">
                  <c:v>46098</c:v>
                </c:pt>
                <c:pt idx="902">
                  <c:v>46098</c:v>
                </c:pt>
                <c:pt idx="903">
                  <c:v>46098</c:v>
                </c:pt>
                <c:pt idx="904">
                  <c:v>46098</c:v>
                </c:pt>
                <c:pt idx="905">
                  <c:v>46098</c:v>
                </c:pt>
                <c:pt idx="906">
                  <c:v>46100</c:v>
                </c:pt>
                <c:pt idx="907">
                  <c:v>46098</c:v>
                </c:pt>
                <c:pt idx="908">
                  <c:v>46098</c:v>
                </c:pt>
                <c:pt idx="909">
                  <c:v>46098</c:v>
                </c:pt>
                <c:pt idx="910">
                  <c:v>46098</c:v>
                </c:pt>
                <c:pt idx="911">
                  <c:v>46098</c:v>
                </c:pt>
                <c:pt idx="912">
                  <c:v>46098</c:v>
                </c:pt>
                <c:pt idx="913">
                  <c:v>46107</c:v>
                </c:pt>
                <c:pt idx="914">
                  <c:v>46098</c:v>
                </c:pt>
                <c:pt idx="915">
                  <c:v>46112</c:v>
                </c:pt>
                <c:pt idx="916">
                  <c:v>46098</c:v>
                </c:pt>
                <c:pt idx="917">
                  <c:v>46098</c:v>
                </c:pt>
                <c:pt idx="918">
                  <c:v>46105</c:v>
                </c:pt>
                <c:pt idx="919">
                  <c:v>46113</c:v>
                </c:pt>
                <c:pt idx="920">
                  <c:v>46105</c:v>
                </c:pt>
                <c:pt idx="921">
                  <c:v>46098</c:v>
                </c:pt>
                <c:pt idx="922">
                  <c:v>46098</c:v>
                </c:pt>
                <c:pt idx="923">
                  <c:v>46098</c:v>
                </c:pt>
                <c:pt idx="924">
                  <c:v>46098</c:v>
                </c:pt>
                <c:pt idx="925">
                  <c:v>46098</c:v>
                </c:pt>
                <c:pt idx="926">
                  <c:v>46098</c:v>
                </c:pt>
                <c:pt idx="927">
                  <c:v>46098</c:v>
                </c:pt>
                <c:pt idx="928">
                  <c:v>46098</c:v>
                </c:pt>
                <c:pt idx="929">
                  <c:v>46098</c:v>
                </c:pt>
                <c:pt idx="930">
                  <c:v>46098</c:v>
                </c:pt>
                <c:pt idx="931">
                  <c:v>46098</c:v>
                </c:pt>
                <c:pt idx="932">
                  <c:v>46108</c:v>
                </c:pt>
                <c:pt idx="933">
                  <c:v>46108</c:v>
                </c:pt>
                <c:pt idx="934">
                  <c:v>46105</c:v>
                </c:pt>
                <c:pt idx="935">
                  <c:v>46105</c:v>
                </c:pt>
                <c:pt idx="936">
                  <c:v>46098</c:v>
                </c:pt>
                <c:pt idx="937">
                  <c:v>46098</c:v>
                </c:pt>
                <c:pt idx="938">
                  <c:v>46098</c:v>
                </c:pt>
                <c:pt idx="939">
                  <c:v>46098</c:v>
                </c:pt>
                <c:pt idx="940">
                  <c:v>46098</c:v>
                </c:pt>
                <c:pt idx="941">
                  <c:v>46099</c:v>
                </c:pt>
                <c:pt idx="942">
                  <c:v>46105</c:v>
                </c:pt>
                <c:pt idx="943">
                  <c:v>46107</c:v>
                </c:pt>
                <c:pt idx="944">
                  <c:v>46107</c:v>
                </c:pt>
                <c:pt idx="945">
                  <c:v>46107</c:v>
                </c:pt>
                <c:pt idx="946">
                  <c:v>46099</c:v>
                </c:pt>
                <c:pt idx="947">
                  <c:v>46099</c:v>
                </c:pt>
                <c:pt idx="948">
                  <c:v>46099</c:v>
                </c:pt>
                <c:pt idx="949">
                  <c:v>46105</c:v>
                </c:pt>
                <c:pt idx="950">
                  <c:v>46099</c:v>
                </c:pt>
                <c:pt idx="951">
                  <c:v>46099</c:v>
                </c:pt>
                <c:pt idx="952">
                  <c:v>46099</c:v>
                </c:pt>
                <c:pt idx="953">
                  <c:v>46099</c:v>
                </c:pt>
                <c:pt idx="954">
                  <c:v>46099</c:v>
                </c:pt>
                <c:pt idx="955">
                  <c:v>46099</c:v>
                </c:pt>
                <c:pt idx="956">
                  <c:v>46099</c:v>
                </c:pt>
                <c:pt idx="957">
                  <c:v>46099</c:v>
                </c:pt>
                <c:pt idx="958">
                  <c:v>46107</c:v>
                </c:pt>
                <c:pt idx="959">
                  <c:v>46098</c:v>
                </c:pt>
                <c:pt idx="960">
                  <c:v>46098</c:v>
                </c:pt>
                <c:pt idx="961">
                  <c:v>46098</c:v>
                </c:pt>
                <c:pt idx="962">
                  <c:v>46098</c:v>
                </c:pt>
                <c:pt idx="963">
                  <c:v>46099</c:v>
                </c:pt>
                <c:pt idx="964">
                  <c:v>46099</c:v>
                </c:pt>
                <c:pt idx="965">
                  <c:v>46099</c:v>
                </c:pt>
                <c:pt idx="966">
                  <c:v>46100</c:v>
                </c:pt>
                <c:pt idx="967">
                  <c:v>46100</c:v>
                </c:pt>
                <c:pt idx="968">
                  <c:v>46105</c:v>
                </c:pt>
                <c:pt idx="969">
                  <c:v>46100</c:v>
                </c:pt>
                <c:pt idx="970">
                  <c:v>46100</c:v>
                </c:pt>
                <c:pt idx="971">
                  <c:v>46107</c:v>
                </c:pt>
                <c:pt idx="972">
                  <c:v>46107</c:v>
                </c:pt>
                <c:pt idx="973">
                  <c:v>46100</c:v>
                </c:pt>
                <c:pt idx="974">
                  <c:v>46100</c:v>
                </c:pt>
                <c:pt idx="975">
                  <c:v>46100</c:v>
                </c:pt>
                <c:pt idx="976">
                  <c:v>46100</c:v>
                </c:pt>
                <c:pt idx="977">
                  <c:v>46104</c:v>
                </c:pt>
                <c:pt idx="978">
                  <c:v>46100</c:v>
                </c:pt>
                <c:pt idx="979">
                  <c:v>46100</c:v>
                </c:pt>
                <c:pt idx="980">
                  <c:v>46100</c:v>
                </c:pt>
                <c:pt idx="981">
                  <c:v>46100</c:v>
                </c:pt>
                <c:pt idx="982">
                  <c:v>46100</c:v>
                </c:pt>
                <c:pt idx="983">
                  <c:v>46100</c:v>
                </c:pt>
                <c:pt idx="984">
                  <c:v>46100</c:v>
                </c:pt>
                <c:pt idx="985">
                  <c:v>46100</c:v>
                </c:pt>
                <c:pt idx="986">
                  <c:v>46105</c:v>
                </c:pt>
                <c:pt idx="987">
                  <c:v>46101</c:v>
                </c:pt>
                <c:pt idx="988">
                  <c:v>46101</c:v>
                </c:pt>
                <c:pt idx="989">
                  <c:v>46101</c:v>
                </c:pt>
                <c:pt idx="990">
                  <c:v>46101</c:v>
                </c:pt>
                <c:pt idx="991">
                  <c:v>46101</c:v>
                </c:pt>
                <c:pt idx="992">
                  <c:v>46101</c:v>
                </c:pt>
                <c:pt idx="993">
                  <c:v>46101</c:v>
                </c:pt>
                <c:pt idx="994">
                  <c:v>46101</c:v>
                </c:pt>
                <c:pt idx="995">
                  <c:v>46088</c:v>
                </c:pt>
                <c:pt idx="996">
                  <c:v>46104</c:v>
                </c:pt>
                <c:pt idx="997">
                  <c:v>46106</c:v>
                </c:pt>
                <c:pt idx="998">
                  <c:v>46106</c:v>
                </c:pt>
                <c:pt idx="999">
                  <c:v>46106</c:v>
                </c:pt>
                <c:pt idx="1000">
                  <c:v>46104</c:v>
                </c:pt>
                <c:pt idx="1001">
                  <c:v>46104</c:v>
                </c:pt>
                <c:pt idx="1002">
                  <c:v>46108</c:v>
                </c:pt>
                <c:pt idx="1003">
                  <c:v>46105</c:v>
                </c:pt>
                <c:pt idx="1004">
                  <c:v>46105</c:v>
                </c:pt>
                <c:pt idx="1005">
                  <c:v>46108</c:v>
                </c:pt>
                <c:pt idx="1006">
                  <c:v>46105</c:v>
                </c:pt>
                <c:pt idx="1007">
                  <c:v>46108</c:v>
                </c:pt>
                <c:pt idx="1008">
                  <c:v>46105</c:v>
                </c:pt>
                <c:pt idx="1009">
                  <c:v>46108</c:v>
                </c:pt>
                <c:pt idx="1010">
                  <c:v>46105</c:v>
                </c:pt>
                <c:pt idx="1011">
                  <c:v>46105</c:v>
                </c:pt>
                <c:pt idx="1012">
                  <c:v>46105</c:v>
                </c:pt>
                <c:pt idx="1013">
                  <c:v>46108</c:v>
                </c:pt>
                <c:pt idx="1014">
                  <c:v>46112</c:v>
                </c:pt>
                <c:pt idx="1015">
                  <c:v>46105</c:v>
                </c:pt>
                <c:pt idx="1016">
                  <c:v>46128</c:v>
                </c:pt>
                <c:pt idx="1017">
                  <c:v>46108</c:v>
                </c:pt>
                <c:pt idx="1018">
                  <c:v>46105</c:v>
                </c:pt>
                <c:pt idx="1019">
                  <c:v>46127</c:v>
                </c:pt>
                <c:pt idx="1020">
                  <c:v>46127</c:v>
                </c:pt>
                <c:pt idx="1021">
                  <c:v>46126</c:v>
                </c:pt>
                <c:pt idx="1022">
                  <c:v>46107</c:v>
                </c:pt>
                <c:pt idx="1023">
                  <c:v>46105</c:v>
                </c:pt>
                <c:pt idx="1024">
                  <c:v>46107</c:v>
                </c:pt>
                <c:pt idx="1025">
                  <c:v>46107</c:v>
                </c:pt>
                <c:pt idx="1026">
                  <c:v>46105</c:v>
                </c:pt>
                <c:pt idx="1027">
                  <c:v>46111</c:v>
                </c:pt>
                <c:pt idx="1028">
                  <c:v>46107</c:v>
                </c:pt>
                <c:pt idx="1029">
                  <c:v>46111</c:v>
                </c:pt>
                <c:pt idx="1030">
                  <c:v>46112</c:v>
                </c:pt>
                <c:pt idx="1031">
                  <c:v>46106</c:v>
                </c:pt>
                <c:pt idx="1032">
                  <c:v>46108</c:v>
                </c:pt>
                <c:pt idx="1033">
                  <c:v>46098</c:v>
                </c:pt>
                <c:pt idx="1034">
                  <c:v>46106</c:v>
                </c:pt>
                <c:pt idx="1035">
                  <c:v>46106</c:v>
                </c:pt>
                <c:pt idx="1036">
                  <c:v>46106</c:v>
                </c:pt>
                <c:pt idx="1037">
                  <c:v>46111</c:v>
                </c:pt>
                <c:pt idx="1038">
                  <c:v>46106</c:v>
                </c:pt>
                <c:pt idx="1039">
                  <c:v>46106</c:v>
                </c:pt>
                <c:pt idx="1040">
                  <c:v>46106</c:v>
                </c:pt>
                <c:pt idx="1041">
                  <c:v>46111</c:v>
                </c:pt>
                <c:pt idx="1042">
                  <c:v>46107</c:v>
                </c:pt>
                <c:pt idx="1043">
                  <c:v>46107</c:v>
                </c:pt>
                <c:pt idx="1044">
                  <c:v>46107</c:v>
                </c:pt>
                <c:pt idx="1045">
                  <c:v>46107</c:v>
                </c:pt>
                <c:pt idx="1046">
                  <c:v>46107</c:v>
                </c:pt>
                <c:pt idx="1047">
                  <c:v>46108</c:v>
                </c:pt>
                <c:pt idx="1048">
                  <c:v>46107</c:v>
                </c:pt>
                <c:pt idx="1049">
                  <c:v>46107</c:v>
                </c:pt>
                <c:pt idx="1050">
                  <c:v>46108</c:v>
                </c:pt>
                <c:pt idx="1051">
                  <c:v>46108</c:v>
                </c:pt>
                <c:pt idx="1052">
                  <c:v>46108</c:v>
                </c:pt>
                <c:pt idx="1053">
                  <c:v>46113</c:v>
                </c:pt>
                <c:pt idx="1054">
                  <c:v>46118</c:v>
                </c:pt>
                <c:pt idx="1055">
                  <c:v>46108</c:v>
                </c:pt>
                <c:pt idx="1056">
                  <c:v>46108</c:v>
                </c:pt>
                <c:pt idx="1057">
                  <c:v>46112</c:v>
                </c:pt>
                <c:pt idx="1058">
                  <c:v>46111</c:v>
                </c:pt>
                <c:pt idx="1059">
                  <c:v>46108</c:v>
                </c:pt>
                <c:pt idx="1060">
                  <c:v>46088</c:v>
                </c:pt>
                <c:pt idx="1061">
                  <c:v>46111</c:v>
                </c:pt>
                <c:pt idx="1062">
                  <c:v>46109</c:v>
                </c:pt>
                <c:pt idx="1063">
                  <c:v>46111</c:v>
                </c:pt>
                <c:pt idx="1064">
                  <c:v>46111</c:v>
                </c:pt>
                <c:pt idx="1065">
                  <c:v>46111</c:v>
                </c:pt>
                <c:pt idx="1066">
                  <c:v>46111</c:v>
                </c:pt>
                <c:pt idx="1067">
                  <c:v>46111</c:v>
                </c:pt>
                <c:pt idx="1068">
                  <c:v>46111</c:v>
                </c:pt>
                <c:pt idx="1069">
                  <c:v>46112</c:v>
                </c:pt>
                <c:pt idx="1070">
                  <c:v>46087</c:v>
                </c:pt>
                <c:pt idx="1071">
                  <c:v>46118</c:v>
                </c:pt>
                <c:pt idx="1072">
                  <c:v>46112</c:v>
                </c:pt>
                <c:pt idx="1073">
                  <c:v>46112</c:v>
                </c:pt>
                <c:pt idx="1074">
                  <c:v>46112</c:v>
                </c:pt>
                <c:pt idx="1075">
                  <c:v>46120</c:v>
                </c:pt>
                <c:pt idx="1076">
                  <c:v>46141</c:v>
                </c:pt>
                <c:pt idx="1077">
                  <c:v>46112</c:v>
                </c:pt>
                <c:pt idx="1078">
                  <c:v>46112</c:v>
                </c:pt>
                <c:pt idx="1079">
                  <c:v>46112</c:v>
                </c:pt>
                <c:pt idx="1080">
                  <c:v>46118</c:v>
                </c:pt>
                <c:pt idx="1081">
                  <c:v>46118</c:v>
                </c:pt>
                <c:pt idx="1082">
                  <c:v>46119</c:v>
                </c:pt>
                <c:pt idx="1083">
                  <c:v>46119</c:v>
                </c:pt>
                <c:pt idx="1084">
                  <c:v>46113</c:v>
                </c:pt>
                <c:pt idx="1085">
                  <c:v>46120</c:v>
                </c:pt>
                <c:pt idx="1086">
                  <c:v>46113</c:v>
                </c:pt>
                <c:pt idx="1087">
                  <c:v>46113</c:v>
                </c:pt>
                <c:pt idx="1088">
                  <c:v>46113</c:v>
                </c:pt>
                <c:pt idx="1089">
                  <c:v>46135</c:v>
                </c:pt>
                <c:pt idx="1090">
                  <c:v>46113</c:v>
                </c:pt>
                <c:pt idx="1091">
                  <c:v>46113</c:v>
                </c:pt>
                <c:pt idx="1092">
                  <c:v>46125</c:v>
                </c:pt>
                <c:pt idx="1093">
                  <c:v>46113</c:v>
                </c:pt>
                <c:pt idx="1094">
                  <c:v>46121</c:v>
                </c:pt>
                <c:pt idx="1095">
                  <c:v>46118</c:v>
                </c:pt>
                <c:pt idx="1096">
                  <c:v>46118</c:v>
                </c:pt>
                <c:pt idx="1097">
                  <c:v>46118</c:v>
                </c:pt>
                <c:pt idx="1098">
                  <c:v>46118</c:v>
                </c:pt>
                <c:pt idx="1099">
                  <c:v>46125</c:v>
                </c:pt>
                <c:pt idx="1100">
                  <c:v>46118</c:v>
                </c:pt>
                <c:pt idx="1101">
                  <c:v>46120</c:v>
                </c:pt>
                <c:pt idx="1102">
                  <c:v>46118</c:v>
                </c:pt>
                <c:pt idx="1103">
                  <c:v>46118</c:v>
                </c:pt>
                <c:pt idx="1104">
                  <c:v>46118</c:v>
                </c:pt>
                <c:pt idx="1105">
                  <c:v>46119</c:v>
                </c:pt>
                <c:pt idx="1106">
                  <c:v>46121</c:v>
                </c:pt>
                <c:pt idx="1107">
                  <c:v>46119</c:v>
                </c:pt>
                <c:pt idx="1108">
                  <c:v>46126</c:v>
                </c:pt>
                <c:pt idx="1109">
                  <c:v>46126</c:v>
                </c:pt>
                <c:pt idx="1110">
                  <c:v>46119</c:v>
                </c:pt>
                <c:pt idx="1111">
                  <c:v>46119</c:v>
                </c:pt>
                <c:pt idx="1112">
                  <c:v>46119</c:v>
                </c:pt>
                <c:pt idx="1113">
                  <c:v>46119</c:v>
                </c:pt>
                <c:pt idx="1114">
                  <c:v>46119</c:v>
                </c:pt>
                <c:pt idx="1115">
                  <c:v>46119</c:v>
                </c:pt>
                <c:pt idx="1116">
                  <c:v>46119</c:v>
                </c:pt>
                <c:pt idx="1117">
                  <c:v>46119</c:v>
                </c:pt>
                <c:pt idx="1118">
                  <c:v>46119</c:v>
                </c:pt>
                <c:pt idx="1119">
                  <c:v>46119</c:v>
                </c:pt>
                <c:pt idx="1120">
                  <c:v>46119</c:v>
                </c:pt>
                <c:pt idx="1121">
                  <c:v>46119</c:v>
                </c:pt>
                <c:pt idx="1122">
                  <c:v>46119</c:v>
                </c:pt>
                <c:pt idx="1123">
                  <c:v>46119</c:v>
                </c:pt>
                <c:pt idx="1124">
                  <c:v>46119</c:v>
                </c:pt>
                <c:pt idx="1125">
                  <c:v>46119</c:v>
                </c:pt>
                <c:pt idx="1126">
                  <c:v>0</c:v>
                </c:pt>
                <c:pt idx="1127">
                  <c:v>46119</c:v>
                </c:pt>
                <c:pt idx="1128">
                  <c:v>46119</c:v>
                </c:pt>
                <c:pt idx="1129">
                  <c:v>46119</c:v>
                </c:pt>
                <c:pt idx="1130">
                  <c:v>46119</c:v>
                </c:pt>
                <c:pt idx="1131">
                  <c:v>46119</c:v>
                </c:pt>
                <c:pt idx="1132">
                  <c:v>46119</c:v>
                </c:pt>
                <c:pt idx="1133">
                  <c:v>46119</c:v>
                </c:pt>
                <c:pt idx="1134">
                  <c:v>46119</c:v>
                </c:pt>
                <c:pt idx="1135">
                  <c:v>46119</c:v>
                </c:pt>
                <c:pt idx="1136">
                  <c:v>46119</c:v>
                </c:pt>
                <c:pt idx="1137">
                  <c:v>46119</c:v>
                </c:pt>
                <c:pt idx="1138">
                  <c:v>46119</c:v>
                </c:pt>
                <c:pt idx="1139">
                  <c:v>46119</c:v>
                </c:pt>
                <c:pt idx="1140">
                  <c:v>46125</c:v>
                </c:pt>
                <c:pt idx="1141">
                  <c:v>46119</c:v>
                </c:pt>
                <c:pt idx="1142">
                  <c:v>46119</c:v>
                </c:pt>
                <c:pt idx="1143">
                  <c:v>46119</c:v>
                </c:pt>
                <c:pt idx="1144">
                  <c:v>46119</c:v>
                </c:pt>
                <c:pt idx="1145">
                  <c:v>46125</c:v>
                </c:pt>
                <c:pt idx="1146">
                  <c:v>46119</c:v>
                </c:pt>
                <c:pt idx="1147">
                  <c:v>46119</c:v>
                </c:pt>
                <c:pt idx="1148">
                  <c:v>46120</c:v>
                </c:pt>
                <c:pt idx="1149">
                  <c:v>46120</c:v>
                </c:pt>
                <c:pt idx="1150">
                  <c:v>46120</c:v>
                </c:pt>
                <c:pt idx="1151">
                  <c:v>46120</c:v>
                </c:pt>
                <c:pt idx="1152">
                  <c:v>46120</c:v>
                </c:pt>
                <c:pt idx="1153">
                  <c:v>46120</c:v>
                </c:pt>
                <c:pt idx="1154">
                  <c:v>46127</c:v>
                </c:pt>
                <c:pt idx="1155">
                  <c:v>46127</c:v>
                </c:pt>
                <c:pt idx="1156">
                  <c:v>46127</c:v>
                </c:pt>
                <c:pt idx="1157">
                  <c:v>46127</c:v>
                </c:pt>
                <c:pt idx="1158">
                  <c:v>46127</c:v>
                </c:pt>
                <c:pt idx="1159">
                  <c:v>46120</c:v>
                </c:pt>
                <c:pt idx="1160">
                  <c:v>46120</c:v>
                </c:pt>
                <c:pt idx="1161">
                  <c:v>46120</c:v>
                </c:pt>
                <c:pt idx="1162">
                  <c:v>46120</c:v>
                </c:pt>
                <c:pt idx="1163">
                  <c:v>46120</c:v>
                </c:pt>
                <c:pt idx="1164">
                  <c:v>46120</c:v>
                </c:pt>
                <c:pt idx="1165">
                  <c:v>46120</c:v>
                </c:pt>
                <c:pt idx="1166">
                  <c:v>46120</c:v>
                </c:pt>
                <c:pt idx="1167">
                  <c:v>46120</c:v>
                </c:pt>
                <c:pt idx="1168">
                  <c:v>46120</c:v>
                </c:pt>
                <c:pt idx="1169">
                  <c:v>46120</c:v>
                </c:pt>
                <c:pt idx="1170">
                  <c:v>46125</c:v>
                </c:pt>
                <c:pt idx="1171">
                  <c:v>46120</c:v>
                </c:pt>
                <c:pt idx="1172">
                  <c:v>46120</c:v>
                </c:pt>
                <c:pt idx="1173">
                  <c:v>46120</c:v>
                </c:pt>
                <c:pt idx="1174">
                  <c:v>46127</c:v>
                </c:pt>
                <c:pt idx="1175">
                  <c:v>46127</c:v>
                </c:pt>
                <c:pt idx="1176">
                  <c:v>46127</c:v>
                </c:pt>
                <c:pt idx="1177">
                  <c:v>46126</c:v>
                </c:pt>
                <c:pt idx="1178">
                  <c:v>46120</c:v>
                </c:pt>
                <c:pt idx="1179">
                  <c:v>46126</c:v>
                </c:pt>
                <c:pt idx="1180">
                  <c:v>46121</c:v>
                </c:pt>
                <c:pt idx="1181">
                  <c:v>46120</c:v>
                </c:pt>
                <c:pt idx="1182">
                  <c:v>46120</c:v>
                </c:pt>
                <c:pt idx="1183">
                  <c:v>46120</c:v>
                </c:pt>
                <c:pt idx="1184">
                  <c:v>46120</c:v>
                </c:pt>
                <c:pt idx="1185">
                  <c:v>46120</c:v>
                </c:pt>
                <c:pt idx="1186">
                  <c:v>46126</c:v>
                </c:pt>
                <c:pt idx="1187">
                  <c:v>46127</c:v>
                </c:pt>
                <c:pt idx="1188">
                  <c:v>46126</c:v>
                </c:pt>
                <c:pt idx="1189">
                  <c:v>46126</c:v>
                </c:pt>
                <c:pt idx="1190">
                  <c:v>46125</c:v>
                </c:pt>
                <c:pt idx="1191">
                  <c:v>46120</c:v>
                </c:pt>
                <c:pt idx="1192">
                  <c:v>46120</c:v>
                </c:pt>
                <c:pt idx="1193">
                  <c:v>46126</c:v>
                </c:pt>
                <c:pt idx="1194">
                  <c:v>46127</c:v>
                </c:pt>
                <c:pt idx="1195">
                  <c:v>46120</c:v>
                </c:pt>
                <c:pt idx="1196">
                  <c:v>46127</c:v>
                </c:pt>
                <c:pt idx="1197">
                  <c:v>46120</c:v>
                </c:pt>
                <c:pt idx="1198">
                  <c:v>46120</c:v>
                </c:pt>
                <c:pt idx="1199">
                  <c:v>46120</c:v>
                </c:pt>
                <c:pt idx="1200">
                  <c:v>46125</c:v>
                </c:pt>
                <c:pt idx="1201">
                  <c:v>46120</c:v>
                </c:pt>
                <c:pt idx="1202">
                  <c:v>46125</c:v>
                </c:pt>
                <c:pt idx="1203">
                  <c:v>46120</c:v>
                </c:pt>
                <c:pt idx="1204">
                  <c:v>46120</c:v>
                </c:pt>
                <c:pt idx="1205">
                  <c:v>46140</c:v>
                </c:pt>
                <c:pt idx="1206">
                  <c:v>46120</c:v>
                </c:pt>
                <c:pt idx="1207">
                  <c:v>46120</c:v>
                </c:pt>
                <c:pt idx="1208">
                  <c:v>46120</c:v>
                </c:pt>
                <c:pt idx="1209">
                  <c:v>46120</c:v>
                </c:pt>
                <c:pt idx="1210">
                  <c:v>46120</c:v>
                </c:pt>
                <c:pt idx="1211">
                  <c:v>46120</c:v>
                </c:pt>
                <c:pt idx="1212">
                  <c:v>46121</c:v>
                </c:pt>
                <c:pt idx="1213">
                  <c:v>46121</c:v>
                </c:pt>
                <c:pt idx="1214">
                  <c:v>46121</c:v>
                </c:pt>
                <c:pt idx="1215">
                  <c:v>46121</c:v>
                </c:pt>
                <c:pt idx="1216">
                  <c:v>46127</c:v>
                </c:pt>
                <c:pt idx="1217">
                  <c:v>46121</c:v>
                </c:pt>
                <c:pt idx="1218">
                  <c:v>46128</c:v>
                </c:pt>
                <c:pt idx="1219">
                  <c:v>46121</c:v>
                </c:pt>
                <c:pt idx="1220">
                  <c:v>46129</c:v>
                </c:pt>
                <c:pt idx="1221">
                  <c:v>46127</c:v>
                </c:pt>
                <c:pt idx="1222">
                  <c:v>46126</c:v>
                </c:pt>
                <c:pt idx="1223">
                  <c:v>46121</c:v>
                </c:pt>
                <c:pt idx="1224">
                  <c:v>46127</c:v>
                </c:pt>
                <c:pt idx="1225">
                  <c:v>46121</c:v>
                </c:pt>
                <c:pt idx="1226">
                  <c:v>46126</c:v>
                </c:pt>
                <c:pt idx="1227">
                  <c:v>46121</c:v>
                </c:pt>
                <c:pt idx="1228">
                  <c:v>46121</c:v>
                </c:pt>
                <c:pt idx="1229">
                  <c:v>46126</c:v>
                </c:pt>
                <c:pt idx="1230">
                  <c:v>46129</c:v>
                </c:pt>
                <c:pt idx="1231">
                  <c:v>46121</c:v>
                </c:pt>
                <c:pt idx="1232">
                  <c:v>46121</c:v>
                </c:pt>
                <c:pt idx="1233">
                  <c:v>46121</c:v>
                </c:pt>
                <c:pt idx="1234">
                  <c:v>46121</c:v>
                </c:pt>
                <c:pt idx="1235">
                  <c:v>46125</c:v>
                </c:pt>
                <c:pt idx="1236">
                  <c:v>46122</c:v>
                </c:pt>
                <c:pt idx="1237">
                  <c:v>46122</c:v>
                </c:pt>
                <c:pt idx="1238">
                  <c:v>46122</c:v>
                </c:pt>
                <c:pt idx="1239">
                  <c:v>46122</c:v>
                </c:pt>
                <c:pt idx="1240">
                  <c:v>46122</c:v>
                </c:pt>
                <c:pt idx="1241">
                  <c:v>46122</c:v>
                </c:pt>
                <c:pt idx="1242">
                  <c:v>46128</c:v>
                </c:pt>
                <c:pt idx="1243">
                  <c:v>46122</c:v>
                </c:pt>
                <c:pt idx="1244">
                  <c:v>46122</c:v>
                </c:pt>
                <c:pt idx="1245">
                  <c:v>46122</c:v>
                </c:pt>
                <c:pt idx="1246">
                  <c:v>46122</c:v>
                </c:pt>
                <c:pt idx="1247">
                  <c:v>46122</c:v>
                </c:pt>
                <c:pt idx="1248">
                  <c:v>46122</c:v>
                </c:pt>
                <c:pt idx="1249">
                  <c:v>46122</c:v>
                </c:pt>
                <c:pt idx="1250">
                  <c:v>46136</c:v>
                </c:pt>
                <c:pt idx="1251">
                  <c:v>46122</c:v>
                </c:pt>
                <c:pt idx="1252">
                  <c:v>46122</c:v>
                </c:pt>
                <c:pt idx="1253">
                  <c:v>46122</c:v>
                </c:pt>
                <c:pt idx="1254">
                  <c:v>46156</c:v>
                </c:pt>
                <c:pt idx="1255">
                  <c:v>46122</c:v>
                </c:pt>
                <c:pt idx="1256">
                  <c:v>46135</c:v>
                </c:pt>
                <c:pt idx="1257">
                  <c:v>46136</c:v>
                </c:pt>
                <c:pt idx="1258">
                  <c:v>46135</c:v>
                </c:pt>
                <c:pt idx="1259">
                  <c:v>46135</c:v>
                </c:pt>
                <c:pt idx="1260">
                  <c:v>46122</c:v>
                </c:pt>
                <c:pt idx="1261">
                  <c:v>46122</c:v>
                </c:pt>
                <c:pt idx="1262">
                  <c:v>46128</c:v>
                </c:pt>
                <c:pt idx="1263">
                  <c:v>46122</c:v>
                </c:pt>
                <c:pt idx="1264">
                  <c:v>46122</c:v>
                </c:pt>
                <c:pt idx="1265">
                  <c:v>46122</c:v>
                </c:pt>
                <c:pt idx="1266">
                  <c:v>46127</c:v>
                </c:pt>
                <c:pt idx="1267">
                  <c:v>46129</c:v>
                </c:pt>
                <c:pt idx="1268">
                  <c:v>46122</c:v>
                </c:pt>
                <c:pt idx="1269">
                  <c:v>46127</c:v>
                </c:pt>
                <c:pt idx="1270">
                  <c:v>46127</c:v>
                </c:pt>
                <c:pt idx="1271">
                  <c:v>46134</c:v>
                </c:pt>
                <c:pt idx="1272">
                  <c:v>46122</c:v>
                </c:pt>
                <c:pt idx="1273">
                  <c:v>46128</c:v>
                </c:pt>
                <c:pt idx="1274">
                  <c:v>46122</c:v>
                </c:pt>
                <c:pt idx="1275">
                  <c:v>46122</c:v>
                </c:pt>
                <c:pt idx="1276">
                  <c:v>46122</c:v>
                </c:pt>
                <c:pt idx="1277">
                  <c:v>46122</c:v>
                </c:pt>
                <c:pt idx="1278">
                  <c:v>46125</c:v>
                </c:pt>
                <c:pt idx="1279">
                  <c:v>46125</c:v>
                </c:pt>
                <c:pt idx="1280">
                  <c:v>46125</c:v>
                </c:pt>
                <c:pt idx="1281">
                  <c:v>46125</c:v>
                </c:pt>
                <c:pt idx="1282">
                  <c:v>46135</c:v>
                </c:pt>
                <c:pt idx="1283">
                  <c:v>46125</c:v>
                </c:pt>
                <c:pt idx="1284">
                  <c:v>46125</c:v>
                </c:pt>
                <c:pt idx="1285">
                  <c:v>46125</c:v>
                </c:pt>
                <c:pt idx="1286">
                  <c:v>46125</c:v>
                </c:pt>
                <c:pt idx="1287">
                  <c:v>46125</c:v>
                </c:pt>
                <c:pt idx="1288">
                  <c:v>46125</c:v>
                </c:pt>
                <c:pt idx="1289">
                  <c:v>46125</c:v>
                </c:pt>
                <c:pt idx="1290">
                  <c:v>46129</c:v>
                </c:pt>
                <c:pt idx="1291">
                  <c:v>46125</c:v>
                </c:pt>
                <c:pt idx="1292">
                  <c:v>46125</c:v>
                </c:pt>
                <c:pt idx="1293">
                  <c:v>46125</c:v>
                </c:pt>
                <c:pt idx="1294">
                  <c:v>46125</c:v>
                </c:pt>
                <c:pt idx="1295">
                  <c:v>46125</c:v>
                </c:pt>
                <c:pt idx="1296">
                  <c:v>46125</c:v>
                </c:pt>
                <c:pt idx="1297">
                  <c:v>46129</c:v>
                </c:pt>
                <c:pt idx="1298">
                  <c:v>46125</c:v>
                </c:pt>
                <c:pt idx="1299">
                  <c:v>46125</c:v>
                </c:pt>
                <c:pt idx="1300">
                  <c:v>46125</c:v>
                </c:pt>
                <c:pt idx="1301">
                  <c:v>46125</c:v>
                </c:pt>
                <c:pt idx="1302">
                  <c:v>46125</c:v>
                </c:pt>
                <c:pt idx="1303">
                  <c:v>46125</c:v>
                </c:pt>
                <c:pt idx="1304">
                  <c:v>46125</c:v>
                </c:pt>
                <c:pt idx="1305">
                  <c:v>46125</c:v>
                </c:pt>
                <c:pt idx="1306">
                  <c:v>46125</c:v>
                </c:pt>
                <c:pt idx="1307">
                  <c:v>46157</c:v>
                </c:pt>
                <c:pt idx="1308">
                  <c:v>46125</c:v>
                </c:pt>
                <c:pt idx="1309">
                  <c:v>46125</c:v>
                </c:pt>
                <c:pt idx="1310">
                  <c:v>46125</c:v>
                </c:pt>
                <c:pt idx="1311">
                  <c:v>46125</c:v>
                </c:pt>
                <c:pt idx="1312">
                  <c:v>46125</c:v>
                </c:pt>
                <c:pt idx="1313">
                  <c:v>46126</c:v>
                </c:pt>
                <c:pt idx="1314">
                  <c:v>46126</c:v>
                </c:pt>
                <c:pt idx="1315">
                  <c:v>46129</c:v>
                </c:pt>
                <c:pt idx="1316">
                  <c:v>46126</c:v>
                </c:pt>
                <c:pt idx="1318">
                  <c:v>46126</c:v>
                </c:pt>
                <c:pt idx="1319">
                  <c:v>46126</c:v>
                </c:pt>
                <c:pt idx="1320">
                  <c:v>46129</c:v>
                </c:pt>
                <c:pt idx="1321">
                  <c:v>46126</c:v>
                </c:pt>
                <c:pt idx="1322">
                  <c:v>46135</c:v>
                </c:pt>
                <c:pt idx="1323">
                  <c:v>46126</c:v>
                </c:pt>
                <c:pt idx="1324">
                  <c:v>46126</c:v>
                </c:pt>
                <c:pt idx="1325">
                  <c:v>46126</c:v>
                </c:pt>
                <c:pt idx="1326">
                  <c:v>46126</c:v>
                </c:pt>
                <c:pt idx="1327">
                  <c:v>46129</c:v>
                </c:pt>
                <c:pt idx="1328">
                  <c:v>46127</c:v>
                </c:pt>
                <c:pt idx="1329">
                  <c:v>46126</c:v>
                </c:pt>
                <c:pt idx="1330">
                  <c:v>46126</c:v>
                </c:pt>
                <c:pt idx="1331">
                  <c:v>46129</c:v>
                </c:pt>
                <c:pt idx="1332">
                  <c:v>46129</c:v>
                </c:pt>
                <c:pt idx="1333">
                  <c:v>46160</c:v>
                </c:pt>
                <c:pt idx="1334">
                  <c:v>46126</c:v>
                </c:pt>
                <c:pt idx="1335">
                  <c:v>46139</c:v>
                </c:pt>
                <c:pt idx="1336">
                  <c:v>46126</c:v>
                </c:pt>
                <c:pt idx="1337">
                  <c:v>46126</c:v>
                </c:pt>
                <c:pt idx="1338">
                  <c:v>46126</c:v>
                </c:pt>
                <c:pt idx="1339">
                  <c:v>46127</c:v>
                </c:pt>
                <c:pt idx="1340">
                  <c:v>46127</c:v>
                </c:pt>
                <c:pt idx="1341">
                  <c:v>46127</c:v>
                </c:pt>
                <c:pt idx="1342">
                  <c:v>46127</c:v>
                </c:pt>
                <c:pt idx="1343">
                  <c:v>46136</c:v>
                </c:pt>
                <c:pt idx="1344">
                  <c:v>46128</c:v>
                </c:pt>
                <c:pt idx="1345">
                  <c:v>46127</c:v>
                </c:pt>
                <c:pt idx="1346">
                  <c:v>46127</c:v>
                </c:pt>
                <c:pt idx="1347">
                  <c:v>46129</c:v>
                </c:pt>
                <c:pt idx="1348">
                  <c:v>46127</c:v>
                </c:pt>
                <c:pt idx="1349">
                  <c:v>46127</c:v>
                </c:pt>
                <c:pt idx="1350">
                  <c:v>46127</c:v>
                </c:pt>
                <c:pt idx="1351">
                  <c:v>46127</c:v>
                </c:pt>
                <c:pt idx="1352">
                  <c:v>46141</c:v>
                </c:pt>
                <c:pt idx="1353">
                  <c:v>46141</c:v>
                </c:pt>
                <c:pt idx="1354">
                  <c:v>46127</c:v>
                </c:pt>
                <c:pt idx="1355">
                  <c:v>46127</c:v>
                </c:pt>
                <c:pt idx="1356">
                  <c:v>46135</c:v>
                </c:pt>
                <c:pt idx="1357">
                  <c:v>46127</c:v>
                </c:pt>
                <c:pt idx="1358">
                  <c:v>46127</c:v>
                </c:pt>
                <c:pt idx="1359">
                  <c:v>46153</c:v>
                </c:pt>
                <c:pt idx="1360">
                  <c:v>46127</c:v>
                </c:pt>
                <c:pt idx="1361">
                  <c:v>46127</c:v>
                </c:pt>
                <c:pt idx="1362">
                  <c:v>46127</c:v>
                </c:pt>
                <c:pt idx="1363">
                  <c:v>46140</c:v>
                </c:pt>
                <c:pt idx="1364">
                  <c:v>46127</c:v>
                </c:pt>
                <c:pt idx="1365">
                  <c:v>46127</c:v>
                </c:pt>
                <c:pt idx="1366">
                  <c:v>46127</c:v>
                </c:pt>
                <c:pt idx="1367">
                  <c:v>46141</c:v>
                </c:pt>
                <c:pt idx="1368">
                  <c:v>46127</c:v>
                </c:pt>
                <c:pt idx="1369">
                  <c:v>46127</c:v>
                </c:pt>
                <c:pt idx="1370">
                  <c:v>46128</c:v>
                </c:pt>
                <c:pt idx="1371">
                  <c:v>46128</c:v>
                </c:pt>
                <c:pt idx="1372">
                  <c:v>46146</c:v>
                </c:pt>
                <c:pt idx="1373">
                  <c:v>46128</c:v>
                </c:pt>
                <c:pt idx="1374">
                  <c:v>46141</c:v>
                </c:pt>
                <c:pt idx="1375">
                  <c:v>46128</c:v>
                </c:pt>
                <c:pt idx="1376">
                  <c:v>46128</c:v>
                </c:pt>
                <c:pt idx="1377">
                  <c:v>46146</c:v>
                </c:pt>
                <c:pt idx="1378">
                  <c:v>46140</c:v>
                </c:pt>
                <c:pt idx="1379">
                  <c:v>46128</c:v>
                </c:pt>
                <c:pt idx="1380">
                  <c:v>46128</c:v>
                </c:pt>
                <c:pt idx="1381">
                  <c:v>46128</c:v>
                </c:pt>
                <c:pt idx="1382">
                  <c:v>46148</c:v>
                </c:pt>
                <c:pt idx="1383">
                  <c:v>46128</c:v>
                </c:pt>
                <c:pt idx="1384">
                  <c:v>46140</c:v>
                </c:pt>
                <c:pt idx="1385">
                  <c:v>46128</c:v>
                </c:pt>
                <c:pt idx="1386">
                  <c:v>46128</c:v>
                </c:pt>
                <c:pt idx="1387">
                  <c:v>46128</c:v>
                </c:pt>
                <c:pt idx="1388">
                  <c:v>46128</c:v>
                </c:pt>
                <c:pt idx="1389">
                  <c:v>46128</c:v>
                </c:pt>
                <c:pt idx="1390">
                  <c:v>46128</c:v>
                </c:pt>
                <c:pt idx="1391">
                  <c:v>46128</c:v>
                </c:pt>
                <c:pt idx="1392">
                  <c:v>46142</c:v>
                </c:pt>
                <c:pt idx="1393">
                  <c:v>46136</c:v>
                </c:pt>
                <c:pt idx="1394">
                  <c:v>46129</c:v>
                </c:pt>
                <c:pt idx="1395">
                  <c:v>46129</c:v>
                </c:pt>
                <c:pt idx="1396">
                  <c:v>46140</c:v>
                </c:pt>
                <c:pt idx="1397">
                  <c:v>46139</c:v>
                </c:pt>
                <c:pt idx="1398">
                  <c:v>46129</c:v>
                </c:pt>
                <c:pt idx="1399">
                  <c:v>46141</c:v>
                </c:pt>
                <c:pt idx="1400">
                  <c:v>46136</c:v>
                </c:pt>
                <c:pt idx="1401">
                  <c:v>46141</c:v>
                </c:pt>
                <c:pt idx="1402">
                  <c:v>46140</c:v>
                </c:pt>
                <c:pt idx="1403">
                  <c:v>46134</c:v>
                </c:pt>
                <c:pt idx="1404">
                  <c:v>46142</c:v>
                </c:pt>
                <c:pt idx="1405">
                  <c:v>46141</c:v>
                </c:pt>
                <c:pt idx="1406">
                  <c:v>46134</c:v>
                </c:pt>
                <c:pt idx="1407">
                  <c:v>46134</c:v>
                </c:pt>
                <c:pt idx="1408">
                  <c:v>46134</c:v>
                </c:pt>
                <c:pt idx="1409">
                  <c:v>46134</c:v>
                </c:pt>
                <c:pt idx="1410">
                  <c:v>46134</c:v>
                </c:pt>
                <c:pt idx="1411">
                  <c:v>46134</c:v>
                </c:pt>
                <c:pt idx="1412">
                  <c:v>46141</c:v>
                </c:pt>
                <c:pt idx="1413">
                  <c:v>46135</c:v>
                </c:pt>
                <c:pt idx="1414">
                  <c:v>46135</c:v>
                </c:pt>
                <c:pt idx="1415">
                  <c:v>46135</c:v>
                </c:pt>
                <c:pt idx="1416">
                  <c:v>46135</c:v>
                </c:pt>
                <c:pt idx="1417">
                  <c:v>46135</c:v>
                </c:pt>
                <c:pt idx="1418">
                  <c:v>46135</c:v>
                </c:pt>
                <c:pt idx="1419">
                  <c:v>46135</c:v>
                </c:pt>
                <c:pt idx="1420">
                  <c:v>46141</c:v>
                </c:pt>
                <c:pt idx="1421">
                  <c:v>46142</c:v>
                </c:pt>
                <c:pt idx="1422">
                  <c:v>46136</c:v>
                </c:pt>
                <c:pt idx="1423">
                  <c:v>46135</c:v>
                </c:pt>
                <c:pt idx="1424">
                  <c:v>46135</c:v>
                </c:pt>
                <c:pt idx="1425">
                  <c:v>46150</c:v>
                </c:pt>
                <c:pt idx="1426">
                  <c:v>46146</c:v>
                </c:pt>
                <c:pt idx="1427">
                  <c:v>46135</c:v>
                </c:pt>
                <c:pt idx="1428">
                  <c:v>46141</c:v>
                </c:pt>
                <c:pt idx="1429">
                  <c:v>46135</c:v>
                </c:pt>
                <c:pt idx="1430">
                  <c:v>46135</c:v>
                </c:pt>
                <c:pt idx="1431">
                  <c:v>46141</c:v>
                </c:pt>
                <c:pt idx="1432">
                  <c:v>46149</c:v>
                </c:pt>
                <c:pt idx="1433">
                  <c:v>46136</c:v>
                </c:pt>
                <c:pt idx="1434">
                  <c:v>46136</c:v>
                </c:pt>
                <c:pt idx="1435">
                  <c:v>46136</c:v>
                </c:pt>
                <c:pt idx="1436">
                  <c:v>46136</c:v>
                </c:pt>
                <c:pt idx="1437">
                  <c:v>46141</c:v>
                </c:pt>
                <c:pt idx="1438">
                  <c:v>46141</c:v>
                </c:pt>
                <c:pt idx="1439">
                  <c:v>46136</c:v>
                </c:pt>
                <c:pt idx="1440">
                  <c:v>46141</c:v>
                </c:pt>
                <c:pt idx="1441">
                  <c:v>46141</c:v>
                </c:pt>
                <c:pt idx="1442">
                  <c:v>46153</c:v>
                </c:pt>
                <c:pt idx="1443">
                  <c:v>46147</c:v>
                </c:pt>
                <c:pt idx="1444">
                  <c:v>46147</c:v>
                </c:pt>
                <c:pt idx="1445">
                  <c:v>46147</c:v>
                </c:pt>
                <c:pt idx="1446">
                  <c:v>46141</c:v>
                </c:pt>
                <c:pt idx="1447">
                  <c:v>46140</c:v>
                </c:pt>
                <c:pt idx="1448">
                  <c:v>46141</c:v>
                </c:pt>
                <c:pt idx="1449">
                  <c:v>46146</c:v>
                </c:pt>
                <c:pt idx="1450">
                  <c:v>46147</c:v>
                </c:pt>
                <c:pt idx="1451">
                  <c:v>46146</c:v>
                </c:pt>
                <c:pt idx="1452">
                  <c:v>46136</c:v>
                </c:pt>
                <c:pt idx="1453">
                  <c:v>46142</c:v>
                </c:pt>
                <c:pt idx="1454">
                  <c:v>46136</c:v>
                </c:pt>
                <c:pt idx="1455">
                  <c:v>46136</c:v>
                </c:pt>
                <c:pt idx="1456">
                  <c:v>46136</c:v>
                </c:pt>
                <c:pt idx="1457">
                  <c:v>46136</c:v>
                </c:pt>
                <c:pt idx="1458">
                  <c:v>46136</c:v>
                </c:pt>
                <c:pt idx="1459">
                  <c:v>46136</c:v>
                </c:pt>
                <c:pt idx="1460">
                  <c:v>46136</c:v>
                </c:pt>
                <c:pt idx="1461">
                  <c:v>46136</c:v>
                </c:pt>
                <c:pt idx="1462">
                  <c:v>46146</c:v>
                </c:pt>
                <c:pt idx="1463">
                  <c:v>46146</c:v>
                </c:pt>
                <c:pt idx="1464">
                  <c:v>46146</c:v>
                </c:pt>
                <c:pt idx="1465">
                  <c:v>46146</c:v>
                </c:pt>
                <c:pt idx="1466">
                  <c:v>46146</c:v>
                </c:pt>
                <c:pt idx="1467">
                  <c:v>46141</c:v>
                </c:pt>
                <c:pt idx="1468">
                  <c:v>46136</c:v>
                </c:pt>
                <c:pt idx="1469">
                  <c:v>46139</c:v>
                </c:pt>
                <c:pt idx="1470">
                  <c:v>46140</c:v>
                </c:pt>
                <c:pt idx="1471">
                  <c:v>46140</c:v>
                </c:pt>
                <c:pt idx="1472">
                  <c:v>46140</c:v>
                </c:pt>
                <c:pt idx="1473">
                  <c:v>46139</c:v>
                </c:pt>
                <c:pt idx="1474">
                  <c:v>46140</c:v>
                </c:pt>
                <c:pt idx="1475">
                  <c:v>46139</c:v>
                </c:pt>
                <c:pt idx="1476">
                  <c:v>46141</c:v>
                </c:pt>
                <c:pt idx="1477">
                  <c:v>46139</c:v>
                </c:pt>
                <c:pt idx="1478">
                  <c:v>46139</c:v>
                </c:pt>
                <c:pt idx="1479">
                  <c:v>46147</c:v>
                </c:pt>
                <c:pt idx="1480">
                  <c:v>46140</c:v>
                </c:pt>
                <c:pt idx="1481">
                  <c:v>46146</c:v>
                </c:pt>
                <c:pt idx="1482">
                  <c:v>46141</c:v>
                </c:pt>
                <c:pt idx="1483">
                  <c:v>46154</c:v>
                </c:pt>
                <c:pt idx="1484">
                  <c:v>46154</c:v>
                </c:pt>
                <c:pt idx="1485">
                  <c:v>46141</c:v>
                </c:pt>
                <c:pt idx="1486">
                  <c:v>46160</c:v>
                </c:pt>
                <c:pt idx="1487">
                  <c:v>46140</c:v>
                </c:pt>
                <c:pt idx="1488">
                  <c:v>46140</c:v>
                </c:pt>
                <c:pt idx="1489">
                  <c:v>46140</c:v>
                </c:pt>
                <c:pt idx="1490">
                  <c:v>46140</c:v>
                </c:pt>
                <c:pt idx="1491">
                  <c:v>46141</c:v>
                </c:pt>
                <c:pt idx="1492">
                  <c:v>46147</c:v>
                </c:pt>
                <c:pt idx="1493">
                  <c:v>46141</c:v>
                </c:pt>
                <c:pt idx="1494">
                  <c:v>46142</c:v>
                </c:pt>
                <c:pt idx="1495">
                  <c:v>46141</c:v>
                </c:pt>
                <c:pt idx="1496">
                  <c:v>46141</c:v>
                </c:pt>
                <c:pt idx="1497">
                  <c:v>46141</c:v>
                </c:pt>
                <c:pt idx="1498">
                  <c:v>46141</c:v>
                </c:pt>
                <c:pt idx="1499">
                  <c:v>46147</c:v>
                </c:pt>
                <c:pt idx="1500">
                  <c:v>46141</c:v>
                </c:pt>
                <c:pt idx="1501">
                  <c:v>46141</c:v>
                </c:pt>
                <c:pt idx="1502">
                  <c:v>46141</c:v>
                </c:pt>
                <c:pt idx="1503">
                  <c:v>46154</c:v>
                </c:pt>
                <c:pt idx="1504">
                  <c:v>46141</c:v>
                </c:pt>
                <c:pt idx="1505">
                  <c:v>46141</c:v>
                </c:pt>
                <c:pt idx="1506">
                  <c:v>46141</c:v>
                </c:pt>
                <c:pt idx="1507">
                  <c:v>46141</c:v>
                </c:pt>
                <c:pt idx="1508">
                  <c:v>46141</c:v>
                </c:pt>
                <c:pt idx="1509">
                  <c:v>46147</c:v>
                </c:pt>
                <c:pt idx="1510">
                  <c:v>46147</c:v>
                </c:pt>
                <c:pt idx="1511">
                  <c:v>46141</c:v>
                </c:pt>
                <c:pt idx="1512">
                  <c:v>46141</c:v>
                </c:pt>
                <c:pt idx="1513">
                  <c:v>46150</c:v>
                </c:pt>
                <c:pt idx="1514">
                  <c:v>46141</c:v>
                </c:pt>
                <c:pt idx="1515">
                  <c:v>46147</c:v>
                </c:pt>
                <c:pt idx="1516">
                  <c:v>46141</c:v>
                </c:pt>
                <c:pt idx="1517">
                  <c:v>46141</c:v>
                </c:pt>
                <c:pt idx="1518">
                  <c:v>46149</c:v>
                </c:pt>
                <c:pt idx="1519">
                  <c:v>46153</c:v>
                </c:pt>
                <c:pt idx="1520">
                  <c:v>46150</c:v>
                </c:pt>
                <c:pt idx="1521">
                  <c:v>46153</c:v>
                </c:pt>
                <c:pt idx="1522">
                  <c:v>46142</c:v>
                </c:pt>
                <c:pt idx="1523">
                  <c:v>46153</c:v>
                </c:pt>
                <c:pt idx="1524">
                  <c:v>46149</c:v>
                </c:pt>
                <c:pt idx="1525">
                  <c:v>46142</c:v>
                </c:pt>
                <c:pt idx="1526">
                  <c:v>46146</c:v>
                </c:pt>
                <c:pt idx="1527">
                  <c:v>46146</c:v>
                </c:pt>
                <c:pt idx="1528">
                  <c:v>46148</c:v>
                </c:pt>
                <c:pt idx="1529">
                  <c:v>46146</c:v>
                </c:pt>
                <c:pt idx="1530">
                  <c:v>46148</c:v>
                </c:pt>
                <c:pt idx="1531">
                  <c:v>46146</c:v>
                </c:pt>
                <c:pt idx="1532">
                  <c:v>46147</c:v>
                </c:pt>
                <c:pt idx="1533">
                  <c:v>46146</c:v>
                </c:pt>
                <c:pt idx="1534">
                  <c:v>46146</c:v>
                </c:pt>
                <c:pt idx="1535">
                  <c:v>46148</c:v>
                </c:pt>
                <c:pt idx="1536">
                  <c:v>46146</c:v>
                </c:pt>
                <c:pt idx="1537">
                  <c:v>46153</c:v>
                </c:pt>
                <c:pt idx="1538">
                  <c:v>46154</c:v>
                </c:pt>
                <c:pt idx="1539">
                  <c:v>46153</c:v>
                </c:pt>
                <c:pt idx="1540">
                  <c:v>46153</c:v>
                </c:pt>
                <c:pt idx="1541">
                  <c:v>46147</c:v>
                </c:pt>
                <c:pt idx="1542">
                  <c:v>46150</c:v>
                </c:pt>
                <c:pt idx="1543">
                  <c:v>46153</c:v>
                </c:pt>
                <c:pt idx="1544">
                  <c:v>46147</c:v>
                </c:pt>
                <c:pt idx="1545">
                  <c:v>46147</c:v>
                </c:pt>
                <c:pt idx="1546">
                  <c:v>46147</c:v>
                </c:pt>
                <c:pt idx="1547">
                  <c:v>46149</c:v>
                </c:pt>
                <c:pt idx="1548">
                  <c:v>46149</c:v>
                </c:pt>
                <c:pt idx="1549">
                  <c:v>46147</c:v>
                </c:pt>
                <c:pt idx="1550">
                  <c:v>46149</c:v>
                </c:pt>
                <c:pt idx="1551">
                  <c:v>46147</c:v>
                </c:pt>
                <c:pt idx="1552">
                  <c:v>46150</c:v>
                </c:pt>
                <c:pt idx="1553">
                  <c:v>46153</c:v>
                </c:pt>
                <c:pt idx="1554">
                  <c:v>46150</c:v>
                </c:pt>
                <c:pt idx="1555">
                  <c:v>46153</c:v>
                </c:pt>
                <c:pt idx="1556">
                  <c:v>46150</c:v>
                </c:pt>
                <c:pt idx="1557">
                  <c:v>46150</c:v>
                </c:pt>
                <c:pt idx="1558">
                  <c:v>46153</c:v>
                </c:pt>
                <c:pt idx="1559">
                  <c:v>46148</c:v>
                </c:pt>
                <c:pt idx="1560">
                  <c:v>46147</c:v>
                </c:pt>
                <c:pt idx="1561">
                  <c:v>46147</c:v>
                </c:pt>
                <c:pt idx="1562">
                  <c:v>46153</c:v>
                </c:pt>
                <c:pt idx="1563">
                  <c:v>46153</c:v>
                </c:pt>
                <c:pt idx="1564">
                  <c:v>46153</c:v>
                </c:pt>
                <c:pt idx="1565">
                  <c:v>46153</c:v>
                </c:pt>
                <c:pt idx="1566">
                  <c:v>46153</c:v>
                </c:pt>
                <c:pt idx="1567">
                  <c:v>46153</c:v>
                </c:pt>
                <c:pt idx="1568">
                  <c:v>46153</c:v>
                </c:pt>
                <c:pt idx="1569">
                  <c:v>46147</c:v>
                </c:pt>
                <c:pt idx="1570">
                  <c:v>46147</c:v>
                </c:pt>
                <c:pt idx="1571">
                  <c:v>46147</c:v>
                </c:pt>
                <c:pt idx="1572">
                  <c:v>46147</c:v>
                </c:pt>
                <c:pt idx="1573">
                  <c:v>46147</c:v>
                </c:pt>
                <c:pt idx="1574">
                  <c:v>46153</c:v>
                </c:pt>
                <c:pt idx="1575">
                  <c:v>46147</c:v>
                </c:pt>
                <c:pt idx="1576">
                  <c:v>46147</c:v>
                </c:pt>
                <c:pt idx="1577">
                  <c:v>46150</c:v>
                </c:pt>
                <c:pt idx="1578">
                  <c:v>46154</c:v>
                </c:pt>
                <c:pt idx="1579">
                  <c:v>46147</c:v>
                </c:pt>
                <c:pt idx="1580">
                  <c:v>46153</c:v>
                </c:pt>
                <c:pt idx="1581">
                  <c:v>46147</c:v>
                </c:pt>
                <c:pt idx="1582">
                  <c:v>46147</c:v>
                </c:pt>
                <c:pt idx="1583">
                  <c:v>46147</c:v>
                </c:pt>
                <c:pt idx="1584">
                  <c:v>46153</c:v>
                </c:pt>
                <c:pt idx="1585">
                  <c:v>46153</c:v>
                </c:pt>
                <c:pt idx="1586">
                  <c:v>46147</c:v>
                </c:pt>
                <c:pt idx="1587">
                  <c:v>46147</c:v>
                </c:pt>
                <c:pt idx="1588">
                  <c:v>46147</c:v>
                </c:pt>
                <c:pt idx="1589">
                  <c:v>46147</c:v>
                </c:pt>
                <c:pt idx="1590">
                  <c:v>46147</c:v>
                </c:pt>
                <c:pt idx="1591">
                  <c:v>46147</c:v>
                </c:pt>
                <c:pt idx="1592">
                  <c:v>46147</c:v>
                </c:pt>
                <c:pt idx="1593">
                  <c:v>46147</c:v>
                </c:pt>
                <c:pt idx="1594">
                  <c:v>46147</c:v>
                </c:pt>
                <c:pt idx="1595">
                  <c:v>46147</c:v>
                </c:pt>
                <c:pt idx="1596">
                  <c:v>46147</c:v>
                </c:pt>
                <c:pt idx="1597">
                  <c:v>46147</c:v>
                </c:pt>
                <c:pt idx="1598">
                  <c:v>46147</c:v>
                </c:pt>
                <c:pt idx="1599">
                  <c:v>46147</c:v>
                </c:pt>
                <c:pt idx="1600">
                  <c:v>46154</c:v>
                </c:pt>
                <c:pt idx="1601">
                  <c:v>46154</c:v>
                </c:pt>
                <c:pt idx="1602">
                  <c:v>46147</c:v>
                </c:pt>
                <c:pt idx="1603">
                  <c:v>46147</c:v>
                </c:pt>
                <c:pt idx="1604">
                  <c:v>46147</c:v>
                </c:pt>
                <c:pt idx="1605">
                  <c:v>46148</c:v>
                </c:pt>
                <c:pt idx="1606">
                  <c:v>46154</c:v>
                </c:pt>
                <c:pt idx="1607">
                  <c:v>46148</c:v>
                </c:pt>
                <c:pt idx="1608">
                  <c:v>46148</c:v>
                </c:pt>
                <c:pt idx="1609">
                  <c:v>46148</c:v>
                </c:pt>
                <c:pt idx="1610">
                  <c:v>46148</c:v>
                </c:pt>
                <c:pt idx="1611">
                  <c:v>46150</c:v>
                </c:pt>
                <c:pt idx="1612">
                  <c:v>46148</c:v>
                </c:pt>
                <c:pt idx="1613">
                  <c:v>46153</c:v>
                </c:pt>
                <c:pt idx="1614">
                  <c:v>46153</c:v>
                </c:pt>
                <c:pt idx="1615">
                  <c:v>46148</c:v>
                </c:pt>
                <c:pt idx="1616">
                  <c:v>46150</c:v>
                </c:pt>
                <c:pt idx="1617">
                  <c:v>46148</c:v>
                </c:pt>
                <c:pt idx="1618">
                  <c:v>46153</c:v>
                </c:pt>
                <c:pt idx="1619">
                  <c:v>46153</c:v>
                </c:pt>
                <c:pt idx="1620">
                  <c:v>46148</c:v>
                </c:pt>
                <c:pt idx="1621">
                  <c:v>46148</c:v>
                </c:pt>
                <c:pt idx="1622">
                  <c:v>46153</c:v>
                </c:pt>
                <c:pt idx="1623">
                  <c:v>46154</c:v>
                </c:pt>
                <c:pt idx="1624">
                  <c:v>46148</c:v>
                </c:pt>
                <c:pt idx="1625">
                  <c:v>46148</c:v>
                </c:pt>
                <c:pt idx="1626">
                  <c:v>46148</c:v>
                </c:pt>
                <c:pt idx="1627">
                  <c:v>46148</c:v>
                </c:pt>
                <c:pt idx="1628">
                  <c:v>46154</c:v>
                </c:pt>
                <c:pt idx="1629">
                  <c:v>46148</c:v>
                </c:pt>
                <c:pt idx="1630">
                  <c:v>46148</c:v>
                </c:pt>
                <c:pt idx="1631">
                  <c:v>46148</c:v>
                </c:pt>
                <c:pt idx="1632">
                  <c:v>46148</c:v>
                </c:pt>
                <c:pt idx="1633">
                  <c:v>46153</c:v>
                </c:pt>
                <c:pt idx="1634">
                  <c:v>46148</c:v>
                </c:pt>
                <c:pt idx="1635">
                  <c:v>46148</c:v>
                </c:pt>
                <c:pt idx="1636">
                  <c:v>46148</c:v>
                </c:pt>
                <c:pt idx="1637">
                  <c:v>46149</c:v>
                </c:pt>
                <c:pt idx="1638">
                  <c:v>46154</c:v>
                </c:pt>
                <c:pt idx="1639">
                  <c:v>46154</c:v>
                </c:pt>
                <c:pt idx="1640">
                  <c:v>46149</c:v>
                </c:pt>
                <c:pt idx="1641">
                  <c:v>46149</c:v>
                </c:pt>
                <c:pt idx="1642">
                  <c:v>46149</c:v>
                </c:pt>
                <c:pt idx="1643">
                  <c:v>46149</c:v>
                </c:pt>
                <c:pt idx="1644">
                  <c:v>46154</c:v>
                </c:pt>
                <c:pt idx="1645">
                  <c:v>46149</c:v>
                </c:pt>
                <c:pt idx="1646">
                  <c:v>46149</c:v>
                </c:pt>
                <c:pt idx="1647">
                  <c:v>46149</c:v>
                </c:pt>
                <c:pt idx="1648">
                  <c:v>46154</c:v>
                </c:pt>
                <c:pt idx="1649">
                  <c:v>46149</c:v>
                </c:pt>
                <c:pt idx="1650">
                  <c:v>46149</c:v>
                </c:pt>
                <c:pt idx="1651">
                  <c:v>46149</c:v>
                </c:pt>
                <c:pt idx="1652">
                  <c:v>46149</c:v>
                </c:pt>
                <c:pt idx="1653">
                  <c:v>46149</c:v>
                </c:pt>
                <c:pt idx="1654">
                  <c:v>46154</c:v>
                </c:pt>
                <c:pt idx="1655">
                  <c:v>46149</c:v>
                </c:pt>
                <c:pt idx="1656">
                  <c:v>46149</c:v>
                </c:pt>
                <c:pt idx="1657">
                  <c:v>46149</c:v>
                </c:pt>
                <c:pt idx="1658">
                  <c:v>46149</c:v>
                </c:pt>
                <c:pt idx="1659">
                  <c:v>46149</c:v>
                </c:pt>
                <c:pt idx="1660">
                  <c:v>46149</c:v>
                </c:pt>
                <c:pt idx="1661">
                  <c:v>46149</c:v>
                </c:pt>
                <c:pt idx="1662">
                  <c:v>46149</c:v>
                </c:pt>
                <c:pt idx="1663">
                  <c:v>46149</c:v>
                </c:pt>
                <c:pt idx="1664">
                  <c:v>46149</c:v>
                </c:pt>
                <c:pt idx="1665">
                  <c:v>46149</c:v>
                </c:pt>
                <c:pt idx="1666">
                  <c:v>46153</c:v>
                </c:pt>
                <c:pt idx="1667">
                  <c:v>46154</c:v>
                </c:pt>
                <c:pt idx="1668">
                  <c:v>46149</c:v>
                </c:pt>
                <c:pt idx="1669">
                  <c:v>46149</c:v>
                </c:pt>
                <c:pt idx="1670">
                  <c:v>46150</c:v>
                </c:pt>
                <c:pt idx="1671">
                  <c:v>46150</c:v>
                </c:pt>
                <c:pt idx="1672">
                  <c:v>46150</c:v>
                </c:pt>
                <c:pt idx="1673">
                  <c:v>46150</c:v>
                </c:pt>
                <c:pt idx="1674">
                  <c:v>46150</c:v>
                </c:pt>
                <c:pt idx="1675">
                  <c:v>46150</c:v>
                </c:pt>
                <c:pt idx="1676">
                  <c:v>46150</c:v>
                </c:pt>
                <c:pt idx="1677">
                  <c:v>46150</c:v>
                </c:pt>
                <c:pt idx="1678">
                  <c:v>46154</c:v>
                </c:pt>
                <c:pt idx="1679">
                  <c:v>46156</c:v>
                </c:pt>
                <c:pt idx="1680">
                  <c:v>46161</c:v>
                </c:pt>
                <c:pt idx="1681">
                  <c:v>46161</c:v>
                </c:pt>
                <c:pt idx="1682">
                  <c:v>46156</c:v>
                </c:pt>
                <c:pt idx="1683">
                  <c:v>46155</c:v>
                </c:pt>
                <c:pt idx="1684">
                  <c:v>46150</c:v>
                </c:pt>
                <c:pt idx="1685">
                  <c:v>46150</c:v>
                </c:pt>
                <c:pt idx="1686">
                  <c:v>46154</c:v>
                </c:pt>
                <c:pt idx="1687">
                  <c:v>46153</c:v>
                </c:pt>
                <c:pt idx="1688">
                  <c:v>46150</c:v>
                </c:pt>
                <c:pt idx="1689">
                  <c:v>46150</c:v>
                </c:pt>
                <c:pt idx="1690">
                  <c:v>46150</c:v>
                </c:pt>
                <c:pt idx="1691">
                  <c:v>46155</c:v>
                </c:pt>
                <c:pt idx="1692">
                  <c:v>46154</c:v>
                </c:pt>
                <c:pt idx="1693">
                  <c:v>46156</c:v>
                </c:pt>
                <c:pt idx="1694">
                  <c:v>46150</c:v>
                </c:pt>
                <c:pt idx="1695">
                  <c:v>46156</c:v>
                </c:pt>
                <c:pt idx="1696">
                  <c:v>46157</c:v>
                </c:pt>
                <c:pt idx="1697">
                  <c:v>46155</c:v>
                </c:pt>
                <c:pt idx="1698">
                  <c:v>46153</c:v>
                </c:pt>
                <c:pt idx="1699">
                  <c:v>46153</c:v>
                </c:pt>
                <c:pt idx="1700">
                  <c:v>46153</c:v>
                </c:pt>
                <c:pt idx="1701">
                  <c:v>46156</c:v>
                </c:pt>
                <c:pt idx="1702">
                  <c:v>46153</c:v>
                </c:pt>
                <c:pt idx="1703">
                  <c:v>46153</c:v>
                </c:pt>
                <c:pt idx="1704">
                  <c:v>46153</c:v>
                </c:pt>
                <c:pt idx="1705">
                  <c:v>46153</c:v>
                </c:pt>
                <c:pt idx="1706">
                  <c:v>46155</c:v>
                </c:pt>
                <c:pt idx="1707">
                  <c:v>46153</c:v>
                </c:pt>
                <c:pt idx="1708">
                  <c:v>46156</c:v>
                </c:pt>
                <c:pt idx="1709">
                  <c:v>46153</c:v>
                </c:pt>
                <c:pt idx="1710">
                  <c:v>46157</c:v>
                </c:pt>
                <c:pt idx="1711">
                  <c:v>46156</c:v>
                </c:pt>
                <c:pt idx="1712">
                  <c:v>46153</c:v>
                </c:pt>
                <c:pt idx="1713">
                  <c:v>46156</c:v>
                </c:pt>
                <c:pt idx="1714">
                  <c:v>46160</c:v>
                </c:pt>
                <c:pt idx="1715">
                  <c:v>46160</c:v>
                </c:pt>
                <c:pt idx="1716">
                  <c:v>46156</c:v>
                </c:pt>
                <c:pt idx="1717">
                  <c:v>46154</c:v>
                </c:pt>
                <c:pt idx="1718">
                  <c:v>46160</c:v>
                </c:pt>
                <c:pt idx="1719">
                  <c:v>46160</c:v>
                </c:pt>
                <c:pt idx="1720">
                  <c:v>46160</c:v>
                </c:pt>
                <c:pt idx="1721">
                  <c:v>46160</c:v>
                </c:pt>
                <c:pt idx="1722">
                  <c:v>46161</c:v>
                </c:pt>
                <c:pt idx="1723">
                  <c:v>46154</c:v>
                </c:pt>
                <c:pt idx="1724">
                  <c:v>46161</c:v>
                </c:pt>
                <c:pt idx="1725">
                  <c:v>46156</c:v>
                </c:pt>
                <c:pt idx="1726">
                  <c:v>46154</c:v>
                </c:pt>
                <c:pt idx="1727">
                  <c:v>46161</c:v>
                </c:pt>
                <c:pt idx="1728">
                  <c:v>46160</c:v>
                </c:pt>
                <c:pt idx="1729">
                  <c:v>46154</c:v>
                </c:pt>
                <c:pt idx="1730">
                  <c:v>46154</c:v>
                </c:pt>
                <c:pt idx="1731">
                  <c:v>46156</c:v>
                </c:pt>
                <c:pt idx="1732">
                  <c:v>46154</c:v>
                </c:pt>
                <c:pt idx="1733">
                  <c:v>46156</c:v>
                </c:pt>
                <c:pt idx="1734">
                  <c:v>46154</c:v>
                </c:pt>
                <c:pt idx="1735">
                  <c:v>46154</c:v>
                </c:pt>
                <c:pt idx="1736">
                  <c:v>46155</c:v>
                </c:pt>
                <c:pt idx="1737">
                  <c:v>46154</c:v>
                </c:pt>
                <c:pt idx="1738">
                  <c:v>46154</c:v>
                </c:pt>
                <c:pt idx="1739">
                  <c:v>46161</c:v>
                </c:pt>
                <c:pt idx="1740">
                  <c:v>46160</c:v>
                </c:pt>
                <c:pt idx="1741">
                  <c:v>46154</c:v>
                </c:pt>
                <c:pt idx="1742">
                  <c:v>46154</c:v>
                </c:pt>
                <c:pt idx="1743">
                  <c:v>46154</c:v>
                </c:pt>
                <c:pt idx="1744">
                  <c:v>46154</c:v>
                </c:pt>
                <c:pt idx="1745">
                  <c:v>46154</c:v>
                </c:pt>
                <c:pt idx="1746">
                  <c:v>46154</c:v>
                </c:pt>
                <c:pt idx="1747">
                  <c:v>46154</c:v>
                </c:pt>
                <c:pt idx="1748">
                  <c:v>46154</c:v>
                </c:pt>
                <c:pt idx="1749">
                  <c:v>46154</c:v>
                </c:pt>
                <c:pt idx="1750">
                  <c:v>46155</c:v>
                </c:pt>
                <c:pt idx="1751">
                  <c:v>46161</c:v>
                </c:pt>
                <c:pt idx="1752">
                  <c:v>46154</c:v>
                </c:pt>
                <c:pt idx="1753">
                  <c:v>46154</c:v>
                </c:pt>
                <c:pt idx="1754">
                  <c:v>46154</c:v>
                </c:pt>
                <c:pt idx="1755">
                  <c:v>46154</c:v>
                </c:pt>
                <c:pt idx="1756">
                  <c:v>46154</c:v>
                </c:pt>
                <c:pt idx="1757">
                  <c:v>46154</c:v>
                </c:pt>
                <c:pt idx="1758">
                  <c:v>46154</c:v>
                </c:pt>
                <c:pt idx="1759">
                  <c:v>46161</c:v>
                </c:pt>
                <c:pt idx="1760">
                  <c:v>46154</c:v>
                </c:pt>
                <c:pt idx="1761">
                  <c:v>46160</c:v>
                </c:pt>
                <c:pt idx="1762">
                  <c:v>46154</c:v>
                </c:pt>
                <c:pt idx="1763">
                  <c:v>46161</c:v>
                </c:pt>
                <c:pt idx="1764">
                  <c:v>46161</c:v>
                </c:pt>
                <c:pt idx="1765">
                  <c:v>46155</c:v>
                </c:pt>
                <c:pt idx="1766">
                  <c:v>46155</c:v>
                </c:pt>
                <c:pt idx="1767">
                  <c:v>46155</c:v>
                </c:pt>
                <c:pt idx="1768">
                  <c:v>46160</c:v>
                </c:pt>
                <c:pt idx="1769">
                  <c:v>46160</c:v>
                </c:pt>
                <c:pt idx="1770">
                  <c:v>46157</c:v>
                </c:pt>
                <c:pt idx="1771">
                  <c:v>46157</c:v>
                </c:pt>
                <c:pt idx="1772">
                  <c:v>46157</c:v>
                </c:pt>
                <c:pt idx="1773">
                  <c:v>46155</c:v>
                </c:pt>
                <c:pt idx="1774">
                  <c:v>46155</c:v>
                </c:pt>
                <c:pt idx="1775">
                  <c:v>46161</c:v>
                </c:pt>
                <c:pt idx="1776">
                  <c:v>46155</c:v>
                </c:pt>
                <c:pt idx="1777">
                  <c:v>46157</c:v>
                </c:pt>
                <c:pt idx="1778">
                  <c:v>46155</c:v>
                </c:pt>
                <c:pt idx="1779">
                  <c:v>46155</c:v>
                </c:pt>
                <c:pt idx="1780">
                  <c:v>46155</c:v>
                </c:pt>
                <c:pt idx="1781">
                  <c:v>46155</c:v>
                </c:pt>
                <c:pt idx="1782">
                  <c:v>46155</c:v>
                </c:pt>
                <c:pt idx="1783">
                  <c:v>46156</c:v>
                </c:pt>
                <c:pt idx="1784">
                  <c:v>46161</c:v>
                </c:pt>
                <c:pt idx="1785">
                  <c:v>46155</c:v>
                </c:pt>
                <c:pt idx="1786">
                  <c:v>46155</c:v>
                </c:pt>
                <c:pt idx="1787">
                  <c:v>46157</c:v>
                </c:pt>
                <c:pt idx="1788">
                  <c:v>46156</c:v>
                </c:pt>
                <c:pt idx="1789">
                  <c:v>46156</c:v>
                </c:pt>
                <c:pt idx="1790">
                  <c:v>46156</c:v>
                </c:pt>
                <c:pt idx="1791">
                  <c:v>46156</c:v>
                </c:pt>
                <c:pt idx="1792">
                  <c:v>46160</c:v>
                </c:pt>
                <c:pt idx="1793">
                  <c:v>46156</c:v>
                </c:pt>
                <c:pt idx="1794">
                  <c:v>46156</c:v>
                </c:pt>
                <c:pt idx="1795">
                  <c:v>46156</c:v>
                </c:pt>
                <c:pt idx="1796">
                  <c:v>46157</c:v>
                </c:pt>
                <c:pt idx="1797">
                  <c:v>46157</c:v>
                </c:pt>
                <c:pt idx="1798">
                  <c:v>46157</c:v>
                </c:pt>
                <c:pt idx="1799">
                  <c:v>46157</c:v>
                </c:pt>
                <c:pt idx="1800">
                  <c:v>46157</c:v>
                </c:pt>
                <c:pt idx="1801">
                  <c:v>46157</c:v>
                </c:pt>
                <c:pt idx="1802">
                  <c:v>46157</c:v>
                </c:pt>
                <c:pt idx="1803">
                  <c:v>46157</c:v>
                </c:pt>
                <c:pt idx="1804">
                  <c:v>46157</c:v>
                </c:pt>
                <c:pt idx="1805">
                  <c:v>46157</c:v>
                </c:pt>
                <c:pt idx="1806">
                  <c:v>46157</c:v>
                </c:pt>
                <c:pt idx="1807">
                  <c:v>46157</c:v>
                </c:pt>
                <c:pt idx="1808">
                  <c:v>46157</c:v>
                </c:pt>
                <c:pt idx="1809">
                  <c:v>46157</c:v>
                </c:pt>
                <c:pt idx="1810">
                  <c:v>46157</c:v>
                </c:pt>
                <c:pt idx="1811">
                  <c:v>46157</c:v>
                </c:pt>
                <c:pt idx="1812">
                  <c:v>46157</c:v>
                </c:pt>
                <c:pt idx="1813">
                  <c:v>46157</c:v>
                </c:pt>
                <c:pt idx="1814">
                  <c:v>46160</c:v>
                </c:pt>
                <c:pt idx="1815">
                  <c:v>46160</c:v>
                </c:pt>
                <c:pt idx="1816">
                  <c:v>46160</c:v>
                </c:pt>
                <c:pt idx="1817">
                  <c:v>46160</c:v>
                </c:pt>
                <c:pt idx="1818">
                  <c:v>46160</c:v>
                </c:pt>
                <c:pt idx="1819">
                  <c:v>46160</c:v>
                </c:pt>
                <c:pt idx="1820">
                  <c:v>46160</c:v>
                </c:pt>
                <c:pt idx="1821">
                  <c:v>46160</c:v>
                </c:pt>
                <c:pt idx="1822">
                  <c:v>46160</c:v>
                </c:pt>
                <c:pt idx="1823">
                  <c:v>46160</c:v>
                </c:pt>
                <c:pt idx="1824">
                  <c:v>46160</c:v>
                </c:pt>
                <c:pt idx="1825">
                  <c:v>46160</c:v>
                </c:pt>
                <c:pt idx="1826">
                  <c:v>46160</c:v>
                </c:pt>
                <c:pt idx="1827">
                  <c:v>46160</c:v>
                </c:pt>
                <c:pt idx="1828">
                  <c:v>46160</c:v>
                </c:pt>
                <c:pt idx="1829">
                  <c:v>46160</c:v>
                </c:pt>
                <c:pt idx="1830">
                  <c:v>46160</c:v>
                </c:pt>
                <c:pt idx="1831">
                  <c:v>46160</c:v>
                </c:pt>
                <c:pt idx="1832">
                  <c:v>46160</c:v>
                </c:pt>
                <c:pt idx="1833">
                  <c:v>46160</c:v>
                </c:pt>
                <c:pt idx="1834">
                  <c:v>46160</c:v>
                </c:pt>
                <c:pt idx="1835">
                  <c:v>46160</c:v>
                </c:pt>
                <c:pt idx="1836">
                  <c:v>46160</c:v>
                </c:pt>
                <c:pt idx="1837">
                  <c:v>46160</c:v>
                </c:pt>
                <c:pt idx="1838">
                  <c:v>46160</c:v>
                </c:pt>
                <c:pt idx="1839">
                  <c:v>46160</c:v>
                </c:pt>
                <c:pt idx="1840">
                  <c:v>46160</c:v>
                </c:pt>
                <c:pt idx="1841">
                  <c:v>46160</c:v>
                </c:pt>
                <c:pt idx="1842">
                  <c:v>46160</c:v>
                </c:pt>
                <c:pt idx="1843">
                  <c:v>46160</c:v>
                </c:pt>
                <c:pt idx="1844">
                  <c:v>46160</c:v>
                </c:pt>
                <c:pt idx="1845">
                  <c:v>46160</c:v>
                </c:pt>
                <c:pt idx="1846">
                  <c:v>46160</c:v>
                </c:pt>
                <c:pt idx="1847">
                  <c:v>46160</c:v>
                </c:pt>
                <c:pt idx="1848">
                  <c:v>46160</c:v>
                </c:pt>
                <c:pt idx="1849">
                  <c:v>46160</c:v>
                </c:pt>
                <c:pt idx="1850">
                  <c:v>46160</c:v>
                </c:pt>
                <c:pt idx="1851">
                  <c:v>46160</c:v>
                </c:pt>
                <c:pt idx="1852">
                  <c:v>46160</c:v>
                </c:pt>
                <c:pt idx="1853">
                  <c:v>46160</c:v>
                </c:pt>
                <c:pt idx="1854">
                  <c:v>46160</c:v>
                </c:pt>
                <c:pt idx="1855">
                  <c:v>46160</c:v>
                </c:pt>
                <c:pt idx="1856">
                  <c:v>46161</c:v>
                </c:pt>
                <c:pt idx="1857">
                  <c:v>46161</c:v>
                </c:pt>
                <c:pt idx="1858">
                  <c:v>46161</c:v>
                </c:pt>
                <c:pt idx="1859">
                  <c:v>46161</c:v>
                </c:pt>
                <c:pt idx="1860">
                  <c:v>46161</c:v>
                </c:pt>
                <c:pt idx="1861">
                  <c:v>46161</c:v>
                </c:pt>
                <c:pt idx="1862">
                  <c:v>46161</c:v>
                </c:pt>
                <c:pt idx="1863">
                  <c:v>46161</c:v>
                </c:pt>
                <c:pt idx="1864">
                  <c:v>46161</c:v>
                </c:pt>
                <c:pt idx="1865">
                  <c:v>46161</c:v>
                </c:pt>
                <c:pt idx="1866">
                  <c:v>46161</c:v>
                </c:pt>
                <c:pt idx="1867">
                  <c:v>46161</c:v>
                </c:pt>
                <c:pt idx="1868">
                  <c:v>46161</c:v>
                </c:pt>
                <c:pt idx="1869">
                  <c:v>46161</c:v>
                </c:pt>
                <c:pt idx="1870">
                  <c:v>46161</c:v>
                </c:pt>
                <c:pt idx="1871">
                  <c:v>46161</c:v>
                </c:pt>
                <c:pt idx="1872">
                  <c:v>46161</c:v>
                </c:pt>
                <c:pt idx="1873">
                  <c:v>46161</c:v>
                </c:pt>
                <c:pt idx="1874">
                  <c:v>46161</c:v>
                </c:pt>
                <c:pt idx="1875">
                  <c:v>46161</c:v>
                </c:pt>
                <c:pt idx="1876">
                  <c:v>46161</c:v>
                </c:pt>
                <c:pt idx="1877">
                  <c:v>46161</c:v>
                </c:pt>
                <c:pt idx="1878">
                  <c:v>46161</c:v>
                </c:pt>
                <c:pt idx="1879">
                  <c:v>46161</c:v>
                </c:pt>
                <c:pt idx="1880">
                  <c:v>46161</c:v>
                </c:pt>
                <c:pt idx="1881">
                  <c:v>46161</c:v>
                </c:pt>
                <c:pt idx="1882">
                  <c:v>46161</c:v>
                </c:pt>
                <c:pt idx="1883">
                  <c:v>46161</c:v>
                </c:pt>
                <c:pt idx="1884">
                  <c:v>46161</c:v>
                </c:pt>
                <c:pt idx="1885">
                  <c:v>46161</c:v>
                </c:pt>
                <c:pt idx="1886">
                  <c:v>46161</c:v>
                </c:pt>
                <c:pt idx="1887">
                  <c:v>46162</c:v>
                </c:pt>
                <c:pt idx="1888">
                  <c:v>46162</c:v>
                </c:pt>
                <c:pt idx="1889">
                  <c:v>46162</c:v>
                </c:pt>
                <c:pt idx="1890">
                  <c:v>46162</c:v>
                </c:pt>
                <c:pt idx="1891">
                  <c:v>46162</c:v>
                </c:pt>
                <c:pt idx="1892">
                  <c:v>46162</c:v>
                </c:pt>
                <c:pt idx="1893">
                  <c:v>46162</c:v>
                </c:pt>
                <c:pt idx="1894">
                  <c:v>46162</c:v>
                </c:pt>
                <c:pt idx="1895">
                  <c:v>46162</c:v>
                </c:pt>
                <c:pt idx="1896">
                  <c:v>46162</c:v>
                </c:pt>
                <c:pt idx="1897">
                  <c:v>46162</c:v>
                </c:pt>
                <c:pt idx="1898">
                  <c:v>46162</c:v>
                </c:pt>
                <c:pt idx="1899">
                  <c:v>46162</c:v>
                </c:pt>
                <c:pt idx="1900">
                  <c:v>46162</c:v>
                </c:pt>
                <c:pt idx="1901">
                  <c:v>46162</c:v>
                </c:pt>
                <c:pt idx="1902">
                  <c:v>46162</c:v>
                </c:pt>
                <c:pt idx="1903">
                  <c:v>46162</c:v>
                </c:pt>
                <c:pt idx="1904">
                  <c:v>46162</c:v>
                </c:pt>
                <c:pt idx="1905">
                  <c:v>46162</c:v>
                </c:pt>
                <c:pt idx="1906">
                  <c:v>46162</c:v>
                </c:pt>
                <c:pt idx="1907">
                  <c:v>46162</c:v>
                </c:pt>
                <c:pt idx="1908">
                  <c:v>46162</c:v>
                </c:pt>
                <c:pt idx="1909">
                  <c:v>46162</c:v>
                </c:pt>
                <c:pt idx="1910">
                  <c:v>46162</c:v>
                </c:pt>
                <c:pt idx="1911">
                  <c:v>46162</c:v>
                </c:pt>
                <c:pt idx="1912">
                  <c:v>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3-4085-A09B-B89DD00D11D6}"/>
            </c:ext>
          </c:extLst>
        </c:ser>
        <c:ser>
          <c:idx val="3"/>
          <c:order val="3"/>
          <c:tx>
            <c:strRef>
              <c:f>'INVENTÁRIO 2026'!$D$2</c:f>
              <c:strCache>
                <c:ptCount val="1"/>
                <c:pt idx="0">
                  <c:v>NÚMERO DE PROTOCOLO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'INVENTÁRIO 2026'!$D$3:$D$11861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 formatCode="m/d/yyyy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 formatCode="mmm\-yy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 formatCode="mmm\-yy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 formatCode="mmm\-yy">
                  <c:v>0</c:v>
                </c:pt>
                <c:pt idx="499" formatCode="m/d/yyyy">
                  <c:v>0</c:v>
                </c:pt>
                <c:pt idx="500" formatCode="m/d/yyyy">
                  <c:v>0</c:v>
                </c:pt>
                <c:pt idx="501" formatCode="m/d/yyyy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 formatCode="m/d/yyyy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3-4085-A09B-B89DD00D11D6}"/>
            </c:ext>
          </c:extLst>
        </c:ser>
        <c:ser>
          <c:idx val="4"/>
          <c:order val="4"/>
          <c:tx>
            <c:strRef>
              <c:f>'INVENTÁRIO 2026'!$E$2</c:f>
              <c:strCache>
                <c:ptCount val="1"/>
                <c:pt idx="0">
                  <c:v>ÓRGÃO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'INVENTÁRIO 2026'!$E$3:$E$11861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3-4085-A09B-B89DD00D11D6}"/>
            </c:ext>
          </c:extLst>
        </c:ser>
        <c:ser>
          <c:idx val="5"/>
          <c:order val="5"/>
          <c:tx>
            <c:strRef>
              <c:f>'INVENTÁRIO 2026'!$F$2</c:f>
              <c:strCache>
                <c:ptCount val="1"/>
                <c:pt idx="0">
                  <c:v>COMPETÊNCIA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'INVENTÁRIO 2026'!$F$3:$F$11861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17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3-4085-A09B-B89DD00D11D6}"/>
            </c:ext>
          </c:extLst>
        </c:ser>
        <c:ser>
          <c:idx val="6"/>
          <c:order val="6"/>
          <c:tx>
            <c:strRef>
              <c:f>'INVENTÁRIO 2026'!$G$2</c:f>
              <c:strCache>
                <c:ptCount val="1"/>
                <c:pt idx="0">
                  <c:v>TIPO DE PROCESSO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2026'!$G$3:$G$11861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3-4085-A09B-B89DD00D11D6}"/>
            </c:ext>
          </c:extLst>
        </c:ser>
        <c:ser>
          <c:idx val="7"/>
          <c:order val="7"/>
          <c:tx>
            <c:strRef>
              <c:f>'INVENTÁRIO 2026'!$H$2</c:f>
              <c:strCache>
                <c:ptCount val="1"/>
                <c:pt idx="0">
                  <c:v>NOTA/FATURA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2026'!$H$3:$H$11861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573</c:v>
                </c:pt>
                <c:pt idx="16">
                  <c:v>347</c:v>
                </c:pt>
                <c:pt idx="17">
                  <c:v>4728</c:v>
                </c:pt>
                <c:pt idx="18">
                  <c:v>1383</c:v>
                </c:pt>
                <c:pt idx="19">
                  <c:v>229</c:v>
                </c:pt>
                <c:pt idx="20">
                  <c:v>79</c:v>
                </c:pt>
                <c:pt idx="21">
                  <c:v>996</c:v>
                </c:pt>
                <c:pt idx="22">
                  <c:v>825</c:v>
                </c:pt>
                <c:pt idx="23">
                  <c:v>3321</c:v>
                </c:pt>
                <c:pt idx="24">
                  <c:v>13</c:v>
                </c:pt>
                <c:pt idx="25">
                  <c:v>1648</c:v>
                </c:pt>
                <c:pt idx="26">
                  <c:v>209</c:v>
                </c:pt>
                <c:pt idx="27">
                  <c:v>216</c:v>
                </c:pt>
                <c:pt idx="28">
                  <c:v>110</c:v>
                </c:pt>
                <c:pt idx="29">
                  <c:v>97</c:v>
                </c:pt>
                <c:pt idx="30">
                  <c:v>2631</c:v>
                </c:pt>
                <c:pt idx="31">
                  <c:v>83</c:v>
                </c:pt>
                <c:pt idx="32">
                  <c:v>234</c:v>
                </c:pt>
                <c:pt idx="33">
                  <c:v>621</c:v>
                </c:pt>
                <c:pt idx="34">
                  <c:v>2</c:v>
                </c:pt>
                <c:pt idx="35">
                  <c:v>289</c:v>
                </c:pt>
                <c:pt idx="36">
                  <c:v>1033</c:v>
                </c:pt>
                <c:pt idx="37">
                  <c:v>199</c:v>
                </c:pt>
                <c:pt idx="38">
                  <c:v>327</c:v>
                </c:pt>
                <c:pt idx="39">
                  <c:v>721</c:v>
                </c:pt>
                <c:pt idx="40">
                  <c:v>952</c:v>
                </c:pt>
                <c:pt idx="41">
                  <c:v>424</c:v>
                </c:pt>
                <c:pt idx="42">
                  <c:v>610047433768</c:v>
                </c:pt>
                <c:pt idx="43">
                  <c:v>0</c:v>
                </c:pt>
                <c:pt idx="44">
                  <c:v>13415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839</c:v>
                </c:pt>
                <c:pt idx="55">
                  <c:v>87</c:v>
                </c:pt>
                <c:pt idx="56">
                  <c:v>40</c:v>
                </c:pt>
                <c:pt idx="57">
                  <c:v>0</c:v>
                </c:pt>
                <c:pt idx="58">
                  <c:v>35957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167</c:v>
                </c:pt>
                <c:pt idx="67">
                  <c:v>260</c:v>
                </c:pt>
                <c:pt idx="68">
                  <c:v>2344</c:v>
                </c:pt>
                <c:pt idx="69">
                  <c:v>2343</c:v>
                </c:pt>
                <c:pt idx="70">
                  <c:v>0</c:v>
                </c:pt>
                <c:pt idx="71">
                  <c:v>0</c:v>
                </c:pt>
                <c:pt idx="72">
                  <c:v>36040</c:v>
                </c:pt>
                <c:pt idx="73">
                  <c:v>6928</c:v>
                </c:pt>
                <c:pt idx="74">
                  <c:v>253998</c:v>
                </c:pt>
                <c:pt idx="75">
                  <c:v>682</c:v>
                </c:pt>
                <c:pt idx="76">
                  <c:v>1048</c:v>
                </c:pt>
                <c:pt idx="77">
                  <c:v>943</c:v>
                </c:pt>
                <c:pt idx="78">
                  <c:v>523193</c:v>
                </c:pt>
                <c:pt idx="79">
                  <c:v>185889</c:v>
                </c:pt>
                <c:pt idx="80">
                  <c:v>18659</c:v>
                </c:pt>
                <c:pt idx="81">
                  <c:v>185505</c:v>
                </c:pt>
                <c:pt idx="82">
                  <c:v>4618</c:v>
                </c:pt>
                <c:pt idx="83">
                  <c:v>20922607</c:v>
                </c:pt>
                <c:pt idx="84">
                  <c:v>680</c:v>
                </c:pt>
                <c:pt idx="85">
                  <c:v>2092490</c:v>
                </c:pt>
                <c:pt idx="86">
                  <c:v>684</c:v>
                </c:pt>
                <c:pt idx="87">
                  <c:v>64958</c:v>
                </c:pt>
                <c:pt idx="88">
                  <c:v>344565</c:v>
                </c:pt>
                <c:pt idx="89">
                  <c:v>9653</c:v>
                </c:pt>
                <c:pt idx="90">
                  <c:v>0</c:v>
                </c:pt>
                <c:pt idx="91">
                  <c:v>184473</c:v>
                </c:pt>
                <c:pt idx="92">
                  <c:v>184752</c:v>
                </c:pt>
                <c:pt idx="93">
                  <c:v>64950</c:v>
                </c:pt>
                <c:pt idx="94">
                  <c:v>185263</c:v>
                </c:pt>
                <c:pt idx="95">
                  <c:v>185237</c:v>
                </c:pt>
                <c:pt idx="96">
                  <c:v>1302104</c:v>
                </c:pt>
                <c:pt idx="97">
                  <c:v>29381</c:v>
                </c:pt>
                <c:pt idx="98">
                  <c:v>178009</c:v>
                </c:pt>
                <c:pt idx="99">
                  <c:v>178010</c:v>
                </c:pt>
                <c:pt idx="100">
                  <c:v>4302</c:v>
                </c:pt>
                <c:pt idx="101">
                  <c:v>4303</c:v>
                </c:pt>
                <c:pt idx="102">
                  <c:v>1480735</c:v>
                </c:pt>
                <c:pt idx="103">
                  <c:v>2092557</c:v>
                </c:pt>
                <c:pt idx="104">
                  <c:v>148453</c:v>
                </c:pt>
                <c:pt idx="105">
                  <c:v>181780</c:v>
                </c:pt>
                <c:pt idx="106">
                  <c:v>184474</c:v>
                </c:pt>
                <c:pt idx="107">
                  <c:v>184475</c:v>
                </c:pt>
                <c:pt idx="108">
                  <c:v>184579</c:v>
                </c:pt>
                <c:pt idx="109">
                  <c:v>1476149</c:v>
                </c:pt>
                <c:pt idx="110">
                  <c:v>1476143</c:v>
                </c:pt>
                <c:pt idx="111">
                  <c:v>1484908</c:v>
                </c:pt>
                <c:pt idx="112">
                  <c:v>28447</c:v>
                </c:pt>
                <c:pt idx="113">
                  <c:v>185169</c:v>
                </c:pt>
                <c:pt idx="114">
                  <c:v>184417</c:v>
                </c:pt>
                <c:pt idx="115">
                  <c:v>184523</c:v>
                </c:pt>
                <c:pt idx="116">
                  <c:v>184685</c:v>
                </c:pt>
                <c:pt idx="117">
                  <c:v>185392</c:v>
                </c:pt>
                <c:pt idx="118">
                  <c:v>184478</c:v>
                </c:pt>
                <c:pt idx="119">
                  <c:v>184671</c:v>
                </c:pt>
                <c:pt idx="120">
                  <c:v>766</c:v>
                </c:pt>
                <c:pt idx="121">
                  <c:v>29476</c:v>
                </c:pt>
                <c:pt idx="122">
                  <c:v>185413</c:v>
                </c:pt>
                <c:pt idx="123">
                  <c:v>54754</c:v>
                </c:pt>
                <c:pt idx="124">
                  <c:v>184662</c:v>
                </c:pt>
                <c:pt idx="125">
                  <c:v>4301</c:v>
                </c:pt>
                <c:pt idx="126">
                  <c:v>184844</c:v>
                </c:pt>
                <c:pt idx="127">
                  <c:v>1476376</c:v>
                </c:pt>
                <c:pt idx="128">
                  <c:v>184470</c:v>
                </c:pt>
                <c:pt idx="129">
                  <c:v>1477027</c:v>
                </c:pt>
                <c:pt idx="130">
                  <c:v>29491</c:v>
                </c:pt>
                <c:pt idx="131">
                  <c:v>1476262</c:v>
                </c:pt>
                <c:pt idx="132">
                  <c:v>1476237</c:v>
                </c:pt>
                <c:pt idx="133">
                  <c:v>29449</c:v>
                </c:pt>
                <c:pt idx="134">
                  <c:v>54</c:v>
                </c:pt>
                <c:pt idx="135">
                  <c:v>187722</c:v>
                </c:pt>
                <c:pt idx="136">
                  <c:v>9799</c:v>
                </c:pt>
                <c:pt idx="137">
                  <c:v>183</c:v>
                </c:pt>
                <c:pt idx="138">
                  <c:v>9990</c:v>
                </c:pt>
                <c:pt idx="139">
                  <c:v>806</c:v>
                </c:pt>
                <c:pt idx="140">
                  <c:v>805</c:v>
                </c:pt>
                <c:pt idx="141">
                  <c:v>21833</c:v>
                </c:pt>
                <c:pt idx="142">
                  <c:v>185893</c:v>
                </c:pt>
                <c:pt idx="143">
                  <c:v>448268</c:v>
                </c:pt>
                <c:pt idx="144">
                  <c:v>9647</c:v>
                </c:pt>
                <c:pt idx="145">
                  <c:v>185844</c:v>
                </c:pt>
                <c:pt idx="146">
                  <c:v>9988</c:v>
                </c:pt>
                <c:pt idx="147">
                  <c:v>178578</c:v>
                </c:pt>
                <c:pt idx="148">
                  <c:v>9823</c:v>
                </c:pt>
                <c:pt idx="149">
                  <c:v>804</c:v>
                </c:pt>
                <c:pt idx="150">
                  <c:v>110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2467</c:v>
                </c:pt>
                <c:pt idx="161">
                  <c:v>2467</c:v>
                </c:pt>
                <c:pt idx="162">
                  <c:v>17427</c:v>
                </c:pt>
                <c:pt idx="163">
                  <c:v>359</c:v>
                </c:pt>
                <c:pt idx="164">
                  <c:v>408</c:v>
                </c:pt>
                <c:pt idx="165">
                  <c:v>185966</c:v>
                </c:pt>
                <c:pt idx="166">
                  <c:v>1726880</c:v>
                </c:pt>
                <c:pt idx="167">
                  <c:v>185996</c:v>
                </c:pt>
                <c:pt idx="168">
                  <c:v>186004</c:v>
                </c:pt>
                <c:pt idx="169">
                  <c:v>186150</c:v>
                </c:pt>
                <c:pt idx="170">
                  <c:v>0</c:v>
                </c:pt>
                <c:pt idx="171">
                  <c:v>0</c:v>
                </c:pt>
                <c:pt idx="172">
                  <c:v>4436</c:v>
                </c:pt>
                <c:pt idx="173">
                  <c:v>4436</c:v>
                </c:pt>
                <c:pt idx="174">
                  <c:v>29864</c:v>
                </c:pt>
                <c:pt idx="175">
                  <c:v>42149</c:v>
                </c:pt>
                <c:pt idx="176">
                  <c:v>29858</c:v>
                </c:pt>
                <c:pt idx="177">
                  <c:v>0</c:v>
                </c:pt>
                <c:pt idx="178">
                  <c:v>3454</c:v>
                </c:pt>
                <c:pt idx="179">
                  <c:v>0</c:v>
                </c:pt>
                <c:pt idx="180">
                  <c:v>6</c:v>
                </c:pt>
                <c:pt idx="181">
                  <c:v>335</c:v>
                </c:pt>
                <c:pt idx="182">
                  <c:v>7</c:v>
                </c:pt>
                <c:pt idx="183">
                  <c:v>2</c:v>
                </c:pt>
                <c:pt idx="184">
                  <c:v>2026492</c:v>
                </c:pt>
                <c:pt idx="185">
                  <c:v>0</c:v>
                </c:pt>
                <c:pt idx="186">
                  <c:v>4433</c:v>
                </c:pt>
                <c:pt idx="187">
                  <c:v>1055</c:v>
                </c:pt>
                <c:pt idx="188">
                  <c:v>1620</c:v>
                </c:pt>
                <c:pt idx="189">
                  <c:v>463</c:v>
                </c:pt>
                <c:pt idx="190">
                  <c:v>8090</c:v>
                </c:pt>
                <c:pt idx="191">
                  <c:v>0</c:v>
                </c:pt>
                <c:pt idx="192">
                  <c:v>1300</c:v>
                </c:pt>
                <c:pt idx="193">
                  <c:v>1365</c:v>
                </c:pt>
                <c:pt idx="194">
                  <c:v>1298</c:v>
                </c:pt>
                <c:pt idx="195">
                  <c:v>685</c:v>
                </c:pt>
                <c:pt idx="196">
                  <c:v>191</c:v>
                </c:pt>
                <c:pt idx="197">
                  <c:v>685</c:v>
                </c:pt>
                <c:pt idx="198">
                  <c:v>651</c:v>
                </c:pt>
                <c:pt idx="199">
                  <c:v>1365</c:v>
                </c:pt>
                <c:pt idx="200">
                  <c:v>238756</c:v>
                </c:pt>
                <c:pt idx="201">
                  <c:v>0</c:v>
                </c:pt>
                <c:pt idx="202">
                  <c:v>118382</c:v>
                </c:pt>
                <c:pt idx="203">
                  <c:v>2720607</c:v>
                </c:pt>
                <c:pt idx="204">
                  <c:v>465</c:v>
                </c:pt>
                <c:pt idx="205">
                  <c:v>2720620</c:v>
                </c:pt>
                <c:pt idx="206">
                  <c:v>2720610</c:v>
                </c:pt>
                <c:pt idx="207">
                  <c:v>0</c:v>
                </c:pt>
                <c:pt idx="208">
                  <c:v>2720608</c:v>
                </c:pt>
                <c:pt idx="209">
                  <c:v>11083</c:v>
                </c:pt>
                <c:pt idx="210">
                  <c:v>17424</c:v>
                </c:pt>
                <c:pt idx="211">
                  <c:v>409</c:v>
                </c:pt>
                <c:pt idx="212">
                  <c:v>1253</c:v>
                </c:pt>
                <c:pt idx="213">
                  <c:v>20613</c:v>
                </c:pt>
                <c:pt idx="214">
                  <c:v>44680</c:v>
                </c:pt>
                <c:pt idx="215">
                  <c:v>2720611</c:v>
                </c:pt>
                <c:pt idx="216">
                  <c:v>2720616</c:v>
                </c:pt>
                <c:pt idx="217">
                  <c:v>2720619</c:v>
                </c:pt>
                <c:pt idx="218">
                  <c:v>44679</c:v>
                </c:pt>
                <c:pt idx="219">
                  <c:v>2720609</c:v>
                </c:pt>
                <c:pt idx="220">
                  <c:v>2720618</c:v>
                </c:pt>
                <c:pt idx="221">
                  <c:v>2720615</c:v>
                </c:pt>
                <c:pt idx="222">
                  <c:v>2720621</c:v>
                </c:pt>
                <c:pt idx="223">
                  <c:v>121</c:v>
                </c:pt>
                <c:pt idx="224">
                  <c:v>3328</c:v>
                </c:pt>
                <c:pt idx="225">
                  <c:v>3325</c:v>
                </c:pt>
                <c:pt idx="226">
                  <c:v>3326</c:v>
                </c:pt>
                <c:pt idx="227">
                  <c:v>3327</c:v>
                </c:pt>
                <c:pt idx="228">
                  <c:v>0</c:v>
                </c:pt>
                <c:pt idx="229">
                  <c:v>0</c:v>
                </c:pt>
                <c:pt idx="230">
                  <c:v>189</c:v>
                </c:pt>
                <c:pt idx="231">
                  <c:v>1251</c:v>
                </c:pt>
                <c:pt idx="232">
                  <c:v>1252</c:v>
                </c:pt>
                <c:pt idx="233">
                  <c:v>20252297</c:v>
                </c:pt>
                <c:pt idx="234">
                  <c:v>0</c:v>
                </c:pt>
                <c:pt idx="235">
                  <c:v>940</c:v>
                </c:pt>
                <c:pt idx="236">
                  <c:v>482</c:v>
                </c:pt>
                <c:pt idx="237">
                  <c:v>203</c:v>
                </c:pt>
                <c:pt idx="238">
                  <c:v>140</c:v>
                </c:pt>
                <c:pt idx="239">
                  <c:v>204</c:v>
                </c:pt>
                <c:pt idx="240">
                  <c:v>407</c:v>
                </c:pt>
                <c:pt idx="241">
                  <c:v>2644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91101</c:v>
                </c:pt>
                <c:pt idx="246">
                  <c:v>0</c:v>
                </c:pt>
                <c:pt idx="247">
                  <c:v>0</c:v>
                </c:pt>
                <c:pt idx="248">
                  <c:v>4438</c:v>
                </c:pt>
                <c:pt idx="249">
                  <c:v>4435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5667</c:v>
                </c:pt>
                <c:pt idx="259">
                  <c:v>5630</c:v>
                </c:pt>
                <c:pt idx="260">
                  <c:v>20875</c:v>
                </c:pt>
                <c:pt idx="261">
                  <c:v>143</c:v>
                </c:pt>
                <c:pt idx="262">
                  <c:v>1839</c:v>
                </c:pt>
                <c:pt idx="263">
                  <c:v>1837</c:v>
                </c:pt>
                <c:pt idx="264">
                  <c:v>1837</c:v>
                </c:pt>
                <c:pt idx="265">
                  <c:v>3329</c:v>
                </c:pt>
                <c:pt idx="266">
                  <c:v>3329</c:v>
                </c:pt>
                <c:pt idx="267">
                  <c:v>26</c:v>
                </c:pt>
                <c:pt idx="268">
                  <c:v>1831</c:v>
                </c:pt>
                <c:pt idx="269">
                  <c:v>1829</c:v>
                </c:pt>
                <c:pt idx="270">
                  <c:v>1830</c:v>
                </c:pt>
                <c:pt idx="271">
                  <c:v>1836</c:v>
                </c:pt>
                <c:pt idx="272">
                  <c:v>1835</c:v>
                </c:pt>
                <c:pt idx="273">
                  <c:v>1832</c:v>
                </c:pt>
                <c:pt idx="274">
                  <c:v>0</c:v>
                </c:pt>
                <c:pt idx="275">
                  <c:v>0</c:v>
                </c:pt>
                <c:pt idx="276">
                  <c:v>397</c:v>
                </c:pt>
                <c:pt idx="277">
                  <c:v>39801</c:v>
                </c:pt>
                <c:pt idx="278">
                  <c:v>0</c:v>
                </c:pt>
                <c:pt idx="279">
                  <c:v>39801</c:v>
                </c:pt>
                <c:pt idx="280">
                  <c:v>397</c:v>
                </c:pt>
                <c:pt idx="281">
                  <c:v>1489427</c:v>
                </c:pt>
                <c:pt idx="282">
                  <c:v>1488734</c:v>
                </c:pt>
                <c:pt idx="283">
                  <c:v>11082</c:v>
                </c:pt>
                <c:pt idx="284">
                  <c:v>5047</c:v>
                </c:pt>
                <c:pt idx="285">
                  <c:v>0</c:v>
                </c:pt>
                <c:pt idx="286">
                  <c:v>17425</c:v>
                </c:pt>
                <c:pt idx="287">
                  <c:v>11088</c:v>
                </c:pt>
                <c:pt idx="288">
                  <c:v>11088</c:v>
                </c:pt>
                <c:pt idx="289">
                  <c:v>11088</c:v>
                </c:pt>
                <c:pt idx="290">
                  <c:v>11088</c:v>
                </c:pt>
                <c:pt idx="291">
                  <c:v>17468</c:v>
                </c:pt>
                <c:pt idx="292">
                  <c:v>17650</c:v>
                </c:pt>
                <c:pt idx="293">
                  <c:v>17469</c:v>
                </c:pt>
                <c:pt idx="294">
                  <c:v>1834</c:v>
                </c:pt>
                <c:pt idx="295">
                  <c:v>1833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73460699</c:v>
                </c:pt>
                <c:pt idx="300">
                  <c:v>73643521</c:v>
                </c:pt>
                <c:pt idx="301">
                  <c:v>178857</c:v>
                </c:pt>
                <c:pt idx="302">
                  <c:v>178858</c:v>
                </c:pt>
                <c:pt idx="303">
                  <c:v>59</c:v>
                </c:pt>
                <c:pt idx="304">
                  <c:v>42216</c:v>
                </c:pt>
                <c:pt idx="305">
                  <c:v>2106462</c:v>
                </c:pt>
                <c:pt idx="306">
                  <c:v>0</c:v>
                </c:pt>
                <c:pt idx="307">
                  <c:v>0</c:v>
                </c:pt>
                <c:pt idx="308">
                  <c:v>933602384</c:v>
                </c:pt>
                <c:pt idx="309">
                  <c:v>0</c:v>
                </c:pt>
                <c:pt idx="310">
                  <c:v>1465</c:v>
                </c:pt>
                <c:pt idx="311">
                  <c:v>115586646</c:v>
                </c:pt>
                <c:pt idx="312">
                  <c:v>2108741</c:v>
                </c:pt>
                <c:pt idx="313">
                  <c:v>1895</c:v>
                </c:pt>
                <c:pt idx="314">
                  <c:v>0</c:v>
                </c:pt>
                <c:pt idx="315">
                  <c:v>178942</c:v>
                </c:pt>
                <c:pt idx="316">
                  <c:v>0</c:v>
                </c:pt>
                <c:pt idx="317">
                  <c:v>0</c:v>
                </c:pt>
                <c:pt idx="318">
                  <c:v>341</c:v>
                </c:pt>
                <c:pt idx="319">
                  <c:v>466</c:v>
                </c:pt>
                <c:pt idx="320">
                  <c:v>271</c:v>
                </c:pt>
                <c:pt idx="321">
                  <c:v>880750</c:v>
                </c:pt>
                <c:pt idx="322">
                  <c:v>104</c:v>
                </c:pt>
                <c:pt idx="323">
                  <c:v>866</c:v>
                </c:pt>
                <c:pt idx="324">
                  <c:v>2720603</c:v>
                </c:pt>
                <c:pt idx="325">
                  <c:v>0</c:v>
                </c:pt>
                <c:pt idx="326">
                  <c:v>897473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88</c:v>
                </c:pt>
                <c:pt idx="331">
                  <c:v>1877</c:v>
                </c:pt>
                <c:pt idx="332">
                  <c:v>41</c:v>
                </c:pt>
                <c:pt idx="333">
                  <c:v>185</c:v>
                </c:pt>
                <c:pt idx="334">
                  <c:v>79253</c:v>
                </c:pt>
                <c:pt idx="335">
                  <c:v>0</c:v>
                </c:pt>
                <c:pt idx="336">
                  <c:v>103</c:v>
                </c:pt>
                <c:pt idx="337">
                  <c:v>200</c:v>
                </c:pt>
                <c:pt idx="338">
                  <c:v>1422</c:v>
                </c:pt>
                <c:pt idx="339">
                  <c:v>67</c:v>
                </c:pt>
                <c:pt idx="340">
                  <c:v>68</c:v>
                </c:pt>
                <c:pt idx="341">
                  <c:v>5621</c:v>
                </c:pt>
                <c:pt idx="342">
                  <c:v>2158</c:v>
                </c:pt>
                <c:pt idx="343">
                  <c:v>2161</c:v>
                </c:pt>
                <c:pt idx="344">
                  <c:v>2162</c:v>
                </c:pt>
                <c:pt idx="345">
                  <c:v>2159</c:v>
                </c:pt>
                <c:pt idx="346">
                  <c:v>2163</c:v>
                </c:pt>
                <c:pt idx="347">
                  <c:v>2160</c:v>
                </c:pt>
                <c:pt idx="348">
                  <c:v>0</c:v>
                </c:pt>
                <c:pt idx="349">
                  <c:v>880748</c:v>
                </c:pt>
                <c:pt idx="350">
                  <c:v>1372</c:v>
                </c:pt>
                <c:pt idx="351">
                  <c:v>0</c:v>
                </c:pt>
                <c:pt idx="352">
                  <c:v>0</c:v>
                </c:pt>
                <c:pt idx="353">
                  <c:v>935248038</c:v>
                </c:pt>
                <c:pt idx="354">
                  <c:v>0</c:v>
                </c:pt>
                <c:pt idx="355">
                  <c:v>590</c:v>
                </c:pt>
                <c:pt idx="356">
                  <c:v>0</c:v>
                </c:pt>
                <c:pt idx="357">
                  <c:v>833</c:v>
                </c:pt>
                <c:pt idx="358">
                  <c:v>1657</c:v>
                </c:pt>
                <c:pt idx="359">
                  <c:v>0</c:v>
                </c:pt>
                <c:pt idx="360">
                  <c:v>6</c:v>
                </c:pt>
                <c:pt idx="361">
                  <c:v>225.82</c:v>
                </c:pt>
                <c:pt idx="362">
                  <c:v>73506982</c:v>
                </c:pt>
                <c:pt idx="363">
                  <c:v>73506311</c:v>
                </c:pt>
                <c:pt idx="364">
                  <c:v>184608767</c:v>
                </c:pt>
                <c:pt idx="365">
                  <c:v>0</c:v>
                </c:pt>
                <c:pt idx="366">
                  <c:v>0</c:v>
                </c:pt>
                <c:pt idx="367">
                  <c:v>62</c:v>
                </c:pt>
                <c:pt idx="368">
                  <c:v>193</c:v>
                </c:pt>
                <c:pt idx="369">
                  <c:v>1313</c:v>
                </c:pt>
                <c:pt idx="370">
                  <c:v>168</c:v>
                </c:pt>
                <c:pt idx="371">
                  <c:v>0</c:v>
                </c:pt>
                <c:pt idx="372">
                  <c:v>0</c:v>
                </c:pt>
                <c:pt idx="373">
                  <c:v>25</c:v>
                </c:pt>
                <c:pt idx="374">
                  <c:v>0</c:v>
                </c:pt>
                <c:pt idx="375">
                  <c:v>84</c:v>
                </c:pt>
                <c:pt idx="376">
                  <c:v>1037</c:v>
                </c:pt>
                <c:pt idx="377">
                  <c:v>3361</c:v>
                </c:pt>
                <c:pt idx="378">
                  <c:v>291</c:v>
                </c:pt>
                <c:pt idx="379">
                  <c:v>263</c:v>
                </c:pt>
                <c:pt idx="380">
                  <c:v>0</c:v>
                </c:pt>
                <c:pt idx="381">
                  <c:v>0</c:v>
                </c:pt>
                <c:pt idx="382">
                  <c:v>216</c:v>
                </c:pt>
                <c:pt idx="383">
                  <c:v>726</c:v>
                </c:pt>
                <c:pt idx="384">
                  <c:v>357</c:v>
                </c:pt>
                <c:pt idx="385">
                  <c:v>4743</c:v>
                </c:pt>
                <c:pt idx="386">
                  <c:v>203</c:v>
                </c:pt>
                <c:pt idx="387">
                  <c:v>1</c:v>
                </c:pt>
                <c:pt idx="388">
                  <c:v>100</c:v>
                </c:pt>
                <c:pt idx="389">
                  <c:v>2647</c:v>
                </c:pt>
                <c:pt idx="390">
                  <c:v>1021</c:v>
                </c:pt>
                <c:pt idx="391">
                  <c:v>236</c:v>
                </c:pt>
                <c:pt idx="392">
                  <c:v>217</c:v>
                </c:pt>
                <c:pt idx="393">
                  <c:v>88</c:v>
                </c:pt>
                <c:pt idx="394">
                  <c:v>628</c:v>
                </c:pt>
                <c:pt idx="395">
                  <c:v>231</c:v>
                </c:pt>
                <c:pt idx="396">
                  <c:v>11</c:v>
                </c:pt>
                <c:pt idx="397">
                  <c:v>954</c:v>
                </c:pt>
                <c:pt idx="398">
                  <c:v>334</c:v>
                </c:pt>
                <c:pt idx="399">
                  <c:v>470</c:v>
                </c:pt>
                <c:pt idx="400">
                  <c:v>1624</c:v>
                </c:pt>
                <c:pt idx="401">
                  <c:v>0</c:v>
                </c:pt>
                <c:pt idx="402">
                  <c:v>401</c:v>
                </c:pt>
                <c:pt idx="403">
                  <c:v>8148</c:v>
                </c:pt>
                <c:pt idx="404">
                  <c:v>944</c:v>
                </c:pt>
                <c:pt idx="405">
                  <c:v>0</c:v>
                </c:pt>
                <c:pt idx="406">
                  <c:v>149002211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169590</c:v>
                </c:pt>
                <c:pt idx="411">
                  <c:v>2782356</c:v>
                </c:pt>
                <c:pt idx="412">
                  <c:v>950</c:v>
                </c:pt>
                <c:pt idx="413">
                  <c:v>3</c:v>
                </c:pt>
                <c:pt idx="414">
                  <c:v>0</c:v>
                </c:pt>
                <c:pt idx="415">
                  <c:v>607</c:v>
                </c:pt>
                <c:pt idx="416">
                  <c:v>0</c:v>
                </c:pt>
                <c:pt idx="417">
                  <c:v>195</c:v>
                </c:pt>
                <c:pt idx="418">
                  <c:v>0</c:v>
                </c:pt>
                <c:pt idx="419">
                  <c:v>2383</c:v>
                </c:pt>
                <c:pt idx="420">
                  <c:v>2382</c:v>
                </c:pt>
                <c:pt idx="421">
                  <c:v>57</c:v>
                </c:pt>
                <c:pt idx="422">
                  <c:v>548</c:v>
                </c:pt>
                <c:pt idx="423">
                  <c:v>115</c:v>
                </c:pt>
                <c:pt idx="424">
                  <c:v>0</c:v>
                </c:pt>
                <c:pt idx="425">
                  <c:v>0</c:v>
                </c:pt>
                <c:pt idx="426">
                  <c:v>931518298</c:v>
                </c:pt>
                <c:pt idx="427">
                  <c:v>34</c:v>
                </c:pt>
                <c:pt idx="428">
                  <c:v>469</c:v>
                </c:pt>
                <c:pt idx="430">
                  <c:v>2498</c:v>
                </c:pt>
                <c:pt idx="431">
                  <c:v>0</c:v>
                </c:pt>
                <c:pt idx="432">
                  <c:v>2782354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349</c:v>
                </c:pt>
                <c:pt idx="437">
                  <c:v>116</c:v>
                </c:pt>
                <c:pt idx="438">
                  <c:v>5077</c:v>
                </c:pt>
                <c:pt idx="439">
                  <c:v>1069</c:v>
                </c:pt>
                <c:pt idx="440">
                  <c:v>11</c:v>
                </c:pt>
                <c:pt idx="441">
                  <c:v>258</c:v>
                </c:pt>
                <c:pt idx="442">
                  <c:v>79253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2164</c:v>
                </c:pt>
                <c:pt idx="448">
                  <c:v>20262334</c:v>
                </c:pt>
                <c:pt idx="449">
                  <c:v>2157</c:v>
                </c:pt>
                <c:pt idx="450">
                  <c:v>2196</c:v>
                </c:pt>
                <c:pt idx="451">
                  <c:v>2194</c:v>
                </c:pt>
                <c:pt idx="452">
                  <c:v>2195</c:v>
                </c:pt>
                <c:pt idx="453">
                  <c:v>2193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4735</c:v>
                </c:pt>
                <c:pt idx="458">
                  <c:v>1216</c:v>
                </c:pt>
                <c:pt idx="459">
                  <c:v>264</c:v>
                </c:pt>
                <c:pt idx="460">
                  <c:v>3415</c:v>
                </c:pt>
                <c:pt idx="461">
                  <c:v>6956</c:v>
                </c:pt>
                <c:pt idx="462">
                  <c:v>0</c:v>
                </c:pt>
                <c:pt idx="463">
                  <c:v>0</c:v>
                </c:pt>
                <c:pt idx="464">
                  <c:v>4457</c:v>
                </c:pt>
                <c:pt idx="465">
                  <c:v>4460</c:v>
                </c:pt>
                <c:pt idx="466">
                  <c:v>4458</c:v>
                </c:pt>
                <c:pt idx="467">
                  <c:v>2199</c:v>
                </c:pt>
                <c:pt idx="468">
                  <c:v>2205</c:v>
                </c:pt>
                <c:pt idx="469">
                  <c:v>2198</c:v>
                </c:pt>
                <c:pt idx="470">
                  <c:v>2201</c:v>
                </c:pt>
                <c:pt idx="471">
                  <c:v>2783112</c:v>
                </c:pt>
                <c:pt idx="472">
                  <c:v>2782381</c:v>
                </c:pt>
                <c:pt idx="473">
                  <c:v>2782383</c:v>
                </c:pt>
                <c:pt idx="474">
                  <c:v>2782379</c:v>
                </c:pt>
                <c:pt idx="475">
                  <c:v>2782380</c:v>
                </c:pt>
                <c:pt idx="476">
                  <c:v>0</c:v>
                </c:pt>
                <c:pt idx="477">
                  <c:v>471</c:v>
                </c:pt>
                <c:pt idx="478">
                  <c:v>2203</c:v>
                </c:pt>
                <c:pt idx="479">
                  <c:v>2200</c:v>
                </c:pt>
                <c:pt idx="480">
                  <c:v>0</c:v>
                </c:pt>
                <c:pt idx="481">
                  <c:v>4454</c:v>
                </c:pt>
                <c:pt idx="482">
                  <c:v>4453</c:v>
                </c:pt>
                <c:pt idx="483">
                  <c:v>4454</c:v>
                </c:pt>
                <c:pt idx="484">
                  <c:v>178858</c:v>
                </c:pt>
                <c:pt idx="485">
                  <c:v>122</c:v>
                </c:pt>
                <c:pt idx="486">
                  <c:v>42263</c:v>
                </c:pt>
                <c:pt idx="487">
                  <c:v>20262334</c:v>
                </c:pt>
                <c:pt idx="488">
                  <c:v>70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2025909</c:v>
                </c:pt>
                <c:pt idx="496">
                  <c:v>4995</c:v>
                </c:pt>
                <c:pt idx="497">
                  <c:v>4888</c:v>
                </c:pt>
                <c:pt idx="498">
                  <c:v>0</c:v>
                </c:pt>
                <c:pt idx="499">
                  <c:v>750</c:v>
                </c:pt>
                <c:pt idx="500">
                  <c:v>573</c:v>
                </c:pt>
                <c:pt idx="501">
                  <c:v>63</c:v>
                </c:pt>
                <c:pt idx="502">
                  <c:v>73604364</c:v>
                </c:pt>
                <c:pt idx="503">
                  <c:v>352</c:v>
                </c:pt>
                <c:pt idx="504">
                  <c:v>0</c:v>
                </c:pt>
                <c:pt idx="505">
                  <c:v>7346060</c:v>
                </c:pt>
                <c:pt idx="506">
                  <c:v>44948</c:v>
                </c:pt>
                <c:pt idx="507">
                  <c:v>17469</c:v>
                </c:pt>
                <c:pt idx="508">
                  <c:v>0</c:v>
                </c:pt>
                <c:pt idx="509">
                  <c:v>11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935250262</c:v>
                </c:pt>
                <c:pt idx="515">
                  <c:v>935250263</c:v>
                </c:pt>
                <c:pt idx="516">
                  <c:v>935250261</c:v>
                </c:pt>
                <c:pt idx="517">
                  <c:v>935250308</c:v>
                </c:pt>
                <c:pt idx="518">
                  <c:v>935369313</c:v>
                </c:pt>
                <c:pt idx="519">
                  <c:v>17467</c:v>
                </c:pt>
                <c:pt idx="520">
                  <c:v>72</c:v>
                </c:pt>
                <c:pt idx="521">
                  <c:v>105</c:v>
                </c:pt>
                <c:pt idx="522">
                  <c:v>527441</c:v>
                </c:pt>
                <c:pt idx="523">
                  <c:v>187445</c:v>
                </c:pt>
                <c:pt idx="524">
                  <c:v>5368</c:v>
                </c:pt>
                <c:pt idx="525">
                  <c:v>157</c:v>
                </c:pt>
                <c:pt idx="526">
                  <c:v>352319</c:v>
                </c:pt>
                <c:pt idx="527">
                  <c:v>875</c:v>
                </c:pt>
                <c:pt idx="528">
                  <c:v>791</c:v>
                </c:pt>
                <c:pt idx="529">
                  <c:v>792</c:v>
                </c:pt>
                <c:pt idx="530">
                  <c:v>4461</c:v>
                </c:pt>
                <c:pt idx="531">
                  <c:v>4462</c:v>
                </c:pt>
                <c:pt idx="532">
                  <c:v>4463</c:v>
                </c:pt>
                <c:pt idx="533">
                  <c:v>2782382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366</c:v>
                </c:pt>
                <c:pt idx="538">
                  <c:v>366</c:v>
                </c:pt>
                <c:pt idx="539">
                  <c:v>366</c:v>
                </c:pt>
                <c:pt idx="540">
                  <c:v>0</c:v>
                </c:pt>
                <c:pt idx="541">
                  <c:v>540500</c:v>
                </c:pt>
                <c:pt idx="542">
                  <c:v>30409</c:v>
                </c:pt>
                <c:pt idx="543">
                  <c:v>572</c:v>
                </c:pt>
                <c:pt idx="544">
                  <c:v>0</c:v>
                </c:pt>
                <c:pt idx="545">
                  <c:v>4509</c:v>
                </c:pt>
                <c:pt idx="546">
                  <c:v>44943</c:v>
                </c:pt>
                <c:pt idx="547">
                  <c:v>2496</c:v>
                </c:pt>
                <c:pt idx="548">
                  <c:v>2497</c:v>
                </c:pt>
                <c:pt idx="549">
                  <c:v>0</c:v>
                </c:pt>
                <c:pt idx="550">
                  <c:v>0</c:v>
                </c:pt>
                <c:pt idx="551">
                  <c:v>367</c:v>
                </c:pt>
                <c:pt idx="552">
                  <c:v>729</c:v>
                </c:pt>
                <c:pt idx="553">
                  <c:v>0</c:v>
                </c:pt>
                <c:pt idx="554">
                  <c:v>703</c:v>
                </c:pt>
                <c:pt idx="555">
                  <c:v>5624</c:v>
                </c:pt>
                <c:pt idx="556">
                  <c:v>278287</c:v>
                </c:pt>
                <c:pt idx="557">
                  <c:v>0</c:v>
                </c:pt>
                <c:pt idx="558">
                  <c:v>0</c:v>
                </c:pt>
                <c:pt idx="559">
                  <c:v>22300</c:v>
                </c:pt>
                <c:pt idx="560">
                  <c:v>2783648</c:v>
                </c:pt>
                <c:pt idx="561">
                  <c:v>1</c:v>
                </c:pt>
                <c:pt idx="562">
                  <c:v>2782392</c:v>
                </c:pt>
                <c:pt idx="563">
                  <c:v>2782390</c:v>
                </c:pt>
                <c:pt idx="564">
                  <c:v>0</c:v>
                </c:pt>
                <c:pt idx="565">
                  <c:v>2782389</c:v>
                </c:pt>
                <c:pt idx="566">
                  <c:v>2782389</c:v>
                </c:pt>
                <c:pt idx="567">
                  <c:v>2782385</c:v>
                </c:pt>
                <c:pt idx="568">
                  <c:v>2782391</c:v>
                </c:pt>
                <c:pt idx="569">
                  <c:v>2782388</c:v>
                </c:pt>
                <c:pt idx="570">
                  <c:v>941177315</c:v>
                </c:pt>
                <c:pt idx="571">
                  <c:v>0</c:v>
                </c:pt>
                <c:pt idx="572">
                  <c:v>197</c:v>
                </c:pt>
                <c:pt idx="573">
                  <c:v>192</c:v>
                </c:pt>
                <c:pt idx="574">
                  <c:v>196</c:v>
                </c:pt>
                <c:pt idx="575">
                  <c:v>1322</c:v>
                </c:pt>
                <c:pt idx="576">
                  <c:v>0</c:v>
                </c:pt>
                <c:pt idx="579">
                  <c:v>44944</c:v>
                </c:pt>
                <c:pt idx="580">
                  <c:v>0</c:v>
                </c:pt>
                <c:pt idx="581">
                  <c:v>91833</c:v>
                </c:pt>
                <c:pt idx="582">
                  <c:v>119015</c:v>
                </c:pt>
                <c:pt idx="583">
                  <c:v>365</c:v>
                </c:pt>
                <c:pt idx="584">
                  <c:v>26</c:v>
                </c:pt>
                <c:pt idx="585">
                  <c:v>7739</c:v>
                </c:pt>
                <c:pt idx="586">
                  <c:v>0</c:v>
                </c:pt>
                <c:pt idx="587">
                  <c:v>5610</c:v>
                </c:pt>
                <c:pt idx="588">
                  <c:v>5609</c:v>
                </c:pt>
                <c:pt idx="589">
                  <c:v>26</c:v>
                </c:pt>
                <c:pt idx="590">
                  <c:v>925940</c:v>
                </c:pt>
                <c:pt idx="591">
                  <c:v>0</c:v>
                </c:pt>
                <c:pt idx="592">
                  <c:v>1872</c:v>
                </c:pt>
                <c:pt idx="593">
                  <c:v>17466</c:v>
                </c:pt>
                <c:pt idx="595">
                  <c:v>2796</c:v>
                </c:pt>
                <c:pt idx="596">
                  <c:v>849</c:v>
                </c:pt>
                <c:pt idx="597">
                  <c:v>5607</c:v>
                </c:pt>
                <c:pt idx="598">
                  <c:v>0</c:v>
                </c:pt>
                <c:pt idx="599">
                  <c:v>5608</c:v>
                </c:pt>
                <c:pt idx="600">
                  <c:v>766</c:v>
                </c:pt>
                <c:pt idx="601">
                  <c:v>0</c:v>
                </c:pt>
                <c:pt idx="602">
                  <c:v>5606</c:v>
                </c:pt>
                <c:pt idx="603">
                  <c:v>36357</c:v>
                </c:pt>
                <c:pt idx="604">
                  <c:v>11599</c:v>
                </c:pt>
                <c:pt idx="605">
                  <c:v>185</c:v>
                </c:pt>
                <c:pt idx="606">
                  <c:v>0</c:v>
                </c:pt>
                <c:pt idx="607">
                  <c:v>207</c:v>
                </c:pt>
                <c:pt idx="608">
                  <c:v>548</c:v>
                </c:pt>
                <c:pt idx="609">
                  <c:v>57</c:v>
                </c:pt>
                <c:pt idx="610">
                  <c:v>2797</c:v>
                </c:pt>
                <c:pt idx="611">
                  <c:v>106</c:v>
                </c:pt>
                <c:pt idx="612">
                  <c:v>3410</c:v>
                </c:pt>
                <c:pt idx="613">
                  <c:v>0</c:v>
                </c:pt>
                <c:pt idx="614">
                  <c:v>11590</c:v>
                </c:pt>
                <c:pt idx="615">
                  <c:v>17896</c:v>
                </c:pt>
                <c:pt idx="616">
                  <c:v>5608</c:v>
                </c:pt>
                <c:pt idx="617">
                  <c:v>1258</c:v>
                </c:pt>
                <c:pt idx="618">
                  <c:v>1259</c:v>
                </c:pt>
                <c:pt idx="619">
                  <c:v>1257</c:v>
                </c:pt>
                <c:pt idx="620">
                  <c:v>8127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5373</c:v>
                </c:pt>
                <c:pt idx="629">
                  <c:v>1675</c:v>
                </c:pt>
                <c:pt idx="630">
                  <c:v>841</c:v>
                </c:pt>
                <c:pt idx="631">
                  <c:v>294</c:v>
                </c:pt>
                <c:pt idx="632">
                  <c:v>10</c:v>
                </c:pt>
                <c:pt idx="633">
                  <c:v>634</c:v>
                </c:pt>
                <c:pt idx="634">
                  <c:v>73</c:v>
                </c:pt>
                <c:pt idx="635">
                  <c:v>241</c:v>
                </c:pt>
                <c:pt idx="636">
                  <c:v>732</c:v>
                </c:pt>
                <c:pt idx="637">
                  <c:v>606</c:v>
                </c:pt>
                <c:pt idx="638">
                  <c:v>171</c:v>
                </c:pt>
                <c:pt idx="639">
                  <c:v>27</c:v>
                </c:pt>
                <c:pt idx="640">
                  <c:v>3405</c:v>
                </c:pt>
                <c:pt idx="641">
                  <c:v>2657</c:v>
                </c:pt>
                <c:pt idx="642">
                  <c:v>88</c:v>
                </c:pt>
                <c:pt idx="643">
                  <c:v>957</c:v>
                </c:pt>
                <c:pt idx="644">
                  <c:v>357</c:v>
                </c:pt>
                <c:pt idx="645">
                  <c:v>1049</c:v>
                </c:pt>
                <c:pt idx="646">
                  <c:v>19</c:v>
                </c:pt>
                <c:pt idx="647">
                  <c:v>218</c:v>
                </c:pt>
                <c:pt idx="648">
                  <c:v>1380</c:v>
                </c:pt>
                <c:pt idx="649">
                  <c:v>472</c:v>
                </c:pt>
                <c:pt idx="650">
                  <c:v>116</c:v>
                </c:pt>
                <c:pt idx="651">
                  <c:v>1632</c:v>
                </c:pt>
                <c:pt idx="652">
                  <c:v>1878</c:v>
                </c:pt>
                <c:pt idx="653">
                  <c:v>1877</c:v>
                </c:pt>
                <c:pt idx="654">
                  <c:v>190609</c:v>
                </c:pt>
                <c:pt idx="655">
                  <c:v>190609</c:v>
                </c:pt>
                <c:pt idx="656">
                  <c:v>11591</c:v>
                </c:pt>
                <c:pt idx="657">
                  <c:v>969</c:v>
                </c:pt>
                <c:pt idx="658">
                  <c:v>242508</c:v>
                </c:pt>
                <c:pt idx="659">
                  <c:v>1879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1411</c:v>
                </c:pt>
                <c:pt idx="664">
                  <c:v>0</c:v>
                </c:pt>
                <c:pt idx="665">
                  <c:v>491</c:v>
                </c:pt>
                <c:pt idx="666">
                  <c:v>0</c:v>
                </c:pt>
                <c:pt idx="667">
                  <c:v>2407</c:v>
                </c:pt>
                <c:pt idx="668">
                  <c:v>73506982</c:v>
                </c:pt>
                <c:pt idx="669">
                  <c:v>73502960</c:v>
                </c:pt>
                <c:pt idx="670">
                  <c:v>73506311</c:v>
                </c:pt>
                <c:pt idx="671">
                  <c:v>17542</c:v>
                </c:pt>
                <c:pt idx="672">
                  <c:v>0</c:v>
                </c:pt>
                <c:pt idx="673">
                  <c:v>233</c:v>
                </c:pt>
                <c:pt idx="674">
                  <c:v>119</c:v>
                </c:pt>
                <c:pt idx="675">
                  <c:v>26</c:v>
                </c:pt>
                <c:pt idx="676">
                  <c:v>1042</c:v>
                </c:pt>
                <c:pt idx="677">
                  <c:v>0</c:v>
                </c:pt>
                <c:pt idx="678">
                  <c:v>0</c:v>
                </c:pt>
                <c:pt idx="679">
                  <c:v>1025</c:v>
                </c:pt>
                <c:pt idx="680">
                  <c:v>90</c:v>
                </c:pt>
                <c:pt idx="681">
                  <c:v>0</c:v>
                </c:pt>
                <c:pt idx="682">
                  <c:v>476</c:v>
                </c:pt>
                <c:pt idx="683">
                  <c:v>0</c:v>
                </c:pt>
                <c:pt idx="684">
                  <c:v>184608767</c:v>
                </c:pt>
                <c:pt idx="685">
                  <c:v>11596</c:v>
                </c:pt>
                <c:pt idx="686">
                  <c:v>11596</c:v>
                </c:pt>
                <c:pt idx="687">
                  <c:v>11596</c:v>
                </c:pt>
                <c:pt idx="688">
                  <c:v>11596</c:v>
                </c:pt>
                <c:pt idx="689">
                  <c:v>119666</c:v>
                </c:pt>
                <c:pt idx="690">
                  <c:v>0</c:v>
                </c:pt>
                <c:pt idx="691">
                  <c:v>935368008</c:v>
                </c:pt>
                <c:pt idx="692" formatCode="m/d/yyyy">
                  <c:v>935248070</c:v>
                </c:pt>
                <c:pt idx="693">
                  <c:v>2388</c:v>
                </c:pt>
                <c:pt idx="694">
                  <c:v>1845</c:v>
                </c:pt>
                <c:pt idx="695">
                  <c:v>1843</c:v>
                </c:pt>
                <c:pt idx="696">
                  <c:v>1844</c:v>
                </c:pt>
                <c:pt idx="697">
                  <c:v>1846</c:v>
                </c:pt>
                <c:pt idx="698">
                  <c:v>3336</c:v>
                </c:pt>
                <c:pt idx="699">
                  <c:v>3337</c:v>
                </c:pt>
                <c:pt idx="700">
                  <c:v>3338</c:v>
                </c:pt>
                <c:pt idx="701">
                  <c:v>3339</c:v>
                </c:pt>
                <c:pt idx="702">
                  <c:v>19</c:v>
                </c:pt>
                <c:pt idx="703">
                  <c:v>1850</c:v>
                </c:pt>
                <c:pt idx="704">
                  <c:v>19</c:v>
                </c:pt>
                <c:pt idx="705">
                  <c:v>478</c:v>
                </c:pt>
                <c:pt idx="706">
                  <c:v>7</c:v>
                </c:pt>
                <c:pt idx="707">
                  <c:v>1849</c:v>
                </c:pt>
                <c:pt idx="708">
                  <c:v>1847</c:v>
                </c:pt>
                <c:pt idx="709">
                  <c:v>0</c:v>
                </c:pt>
                <c:pt idx="710">
                  <c:v>0</c:v>
                </c:pt>
                <c:pt idx="711">
                  <c:v>222</c:v>
                </c:pt>
                <c:pt idx="712">
                  <c:v>0</c:v>
                </c:pt>
                <c:pt idx="713">
                  <c:v>90</c:v>
                </c:pt>
                <c:pt idx="714">
                  <c:v>2</c:v>
                </c:pt>
                <c:pt idx="715">
                  <c:v>2797105</c:v>
                </c:pt>
                <c:pt idx="716">
                  <c:v>2796375</c:v>
                </c:pt>
                <c:pt idx="717">
                  <c:v>2796373</c:v>
                </c:pt>
                <c:pt idx="718">
                  <c:v>2796377</c:v>
                </c:pt>
                <c:pt idx="719">
                  <c:v>2796376</c:v>
                </c:pt>
                <c:pt idx="720">
                  <c:v>477</c:v>
                </c:pt>
                <c:pt idx="721">
                  <c:v>1848</c:v>
                </c:pt>
                <c:pt idx="722">
                  <c:v>2796345</c:v>
                </c:pt>
                <c:pt idx="723">
                  <c:v>1324</c:v>
                </c:pt>
                <c:pt idx="724">
                  <c:v>17906</c:v>
                </c:pt>
                <c:pt idx="725">
                  <c:v>91916</c:v>
                </c:pt>
                <c:pt idx="726">
                  <c:v>102</c:v>
                </c:pt>
                <c:pt idx="727">
                  <c:v>0</c:v>
                </c:pt>
                <c:pt idx="728">
                  <c:v>2411</c:v>
                </c:pt>
                <c:pt idx="729">
                  <c:v>2409</c:v>
                </c:pt>
                <c:pt idx="730">
                  <c:v>475</c:v>
                </c:pt>
                <c:pt idx="731">
                  <c:v>0</c:v>
                </c:pt>
                <c:pt idx="732">
                  <c:v>0</c:v>
                </c:pt>
                <c:pt idx="733">
                  <c:v>942953898</c:v>
                </c:pt>
                <c:pt idx="734">
                  <c:v>2793</c:v>
                </c:pt>
                <c:pt idx="735">
                  <c:v>0</c:v>
                </c:pt>
                <c:pt idx="736">
                  <c:v>412</c:v>
                </c:pt>
                <c:pt idx="737">
                  <c:v>0</c:v>
                </c:pt>
                <c:pt idx="738">
                  <c:v>942946546</c:v>
                </c:pt>
                <c:pt idx="739">
                  <c:v>943142618</c:v>
                </c:pt>
                <c:pt idx="740">
                  <c:v>942946589</c:v>
                </c:pt>
                <c:pt idx="741">
                  <c:v>9085</c:v>
                </c:pt>
                <c:pt idx="742">
                  <c:v>199</c:v>
                </c:pt>
                <c:pt idx="743">
                  <c:v>198</c:v>
                </c:pt>
                <c:pt idx="744">
                  <c:v>17515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5108</c:v>
                </c:pt>
                <c:pt idx="751">
                  <c:v>5578</c:v>
                </c:pt>
                <c:pt idx="752">
                  <c:v>0</c:v>
                </c:pt>
                <c:pt idx="753">
                  <c:v>1028</c:v>
                </c:pt>
                <c:pt idx="754">
                  <c:v>2417</c:v>
                </c:pt>
                <c:pt idx="755">
                  <c:v>2261</c:v>
                </c:pt>
                <c:pt idx="756">
                  <c:v>2259</c:v>
                </c:pt>
                <c:pt idx="757">
                  <c:v>2260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2272</c:v>
                </c:pt>
                <c:pt idx="764">
                  <c:v>342</c:v>
                </c:pt>
                <c:pt idx="765">
                  <c:v>2</c:v>
                </c:pt>
                <c:pt idx="766">
                  <c:v>196</c:v>
                </c:pt>
                <c:pt idx="767">
                  <c:v>210</c:v>
                </c:pt>
                <c:pt idx="768">
                  <c:v>0</c:v>
                </c:pt>
                <c:pt idx="769">
                  <c:v>0</c:v>
                </c:pt>
                <c:pt idx="770">
                  <c:v>664</c:v>
                </c:pt>
                <c:pt idx="771">
                  <c:v>45580</c:v>
                </c:pt>
                <c:pt idx="772">
                  <c:v>1027</c:v>
                </c:pt>
                <c:pt idx="773">
                  <c:v>0</c:v>
                </c:pt>
                <c:pt idx="774">
                  <c:v>13620</c:v>
                </c:pt>
                <c:pt idx="775">
                  <c:v>2534</c:v>
                </c:pt>
                <c:pt idx="776">
                  <c:v>2535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1410</c:v>
                </c:pt>
                <c:pt idx="781">
                  <c:v>0</c:v>
                </c:pt>
                <c:pt idx="782">
                  <c:v>1841</c:v>
                </c:pt>
                <c:pt idx="783">
                  <c:v>13533</c:v>
                </c:pt>
                <c:pt idx="784">
                  <c:v>13621</c:v>
                </c:pt>
                <c:pt idx="785">
                  <c:v>1841</c:v>
                </c:pt>
                <c:pt idx="786">
                  <c:v>6984</c:v>
                </c:pt>
                <c:pt idx="787">
                  <c:v>6982</c:v>
                </c:pt>
                <c:pt idx="788">
                  <c:v>169</c:v>
                </c:pt>
                <c:pt idx="789">
                  <c:v>2262</c:v>
                </c:pt>
                <c:pt idx="790">
                  <c:v>2264</c:v>
                </c:pt>
                <c:pt idx="791">
                  <c:v>2265</c:v>
                </c:pt>
                <c:pt idx="792">
                  <c:v>2269</c:v>
                </c:pt>
                <c:pt idx="793">
                  <c:v>2271</c:v>
                </c:pt>
                <c:pt idx="794">
                  <c:v>36102</c:v>
                </c:pt>
                <c:pt idx="795">
                  <c:v>1842</c:v>
                </c:pt>
                <c:pt idx="796">
                  <c:v>1842</c:v>
                </c:pt>
                <c:pt idx="797">
                  <c:v>75</c:v>
                </c:pt>
                <c:pt idx="798">
                  <c:v>0</c:v>
                </c:pt>
                <c:pt idx="799">
                  <c:v>0</c:v>
                </c:pt>
                <c:pt idx="800">
                  <c:v>4775</c:v>
                </c:pt>
                <c:pt idx="801">
                  <c:v>1633</c:v>
                </c:pt>
                <c:pt idx="802">
                  <c:v>0</c:v>
                </c:pt>
                <c:pt idx="803">
                  <c:v>13531</c:v>
                </c:pt>
                <c:pt idx="804">
                  <c:v>13619</c:v>
                </c:pt>
                <c:pt idx="805">
                  <c:v>191</c:v>
                </c:pt>
                <c:pt idx="806">
                  <c:v>89</c:v>
                </c:pt>
                <c:pt idx="807">
                  <c:v>908</c:v>
                </c:pt>
                <c:pt idx="808">
                  <c:v>156</c:v>
                </c:pt>
                <c:pt idx="809">
                  <c:v>157</c:v>
                </c:pt>
                <c:pt idx="810">
                  <c:v>42</c:v>
                </c:pt>
                <c:pt idx="811">
                  <c:v>1026</c:v>
                </c:pt>
                <c:pt idx="812">
                  <c:v>1026</c:v>
                </c:pt>
                <c:pt idx="813">
                  <c:v>1026</c:v>
                </c:pt>
                <c:pt idx="814">
                  <c:v>1026</c:v>
                </c:pt>
                <c:pt idx="815">
                  <c:v>1026</c:v>
                </c:pt>
                <c:pt idx="816">
                  <c:v>11449</c:v>
                </c:pt>
                <c:pt idx="817">
                  <c:v>200</c:v>
                </c:pt>
                <c:pt idx="818">
                  <c:v>1904</c:v>
                </c:pt>
                <c:pt idx="819">
                  <c:v>2300</c:v>
                </c:pt>
                <c:pt idx="820">
                  <c:v>2298</c:v>
                </c:pt>
                <c:pt idx="821">
                  <c:v>2267</c:v>
                </c:pt>
                <c:pt idx="822">
                  <c:v>942919856</c:v>
                </c:pt>
                <c:pt idx="823">
                  <c:v>942919853</c:v>
                </c:pt>
                <c:pt idx="824">
                  <c:v>942919854</c:v>
                </c:pt>
                <c:pt idx="825">
                  <c:v>942919855</c:v>
                </c:pt>
                <c:pt idx="826">
                  <c:v>942919870</c:v>
                </c:pt>
                <c:pt idx="827">
                  <c:v>1423</c:v>
                </c:pt>
                <c:pt idx="828">
                  <c:v>5628</c:v>
                </c:pt>
                <c:pt idx="829">
                  <c:v>0</c:v>
                </c:pt>
                <c:pt idx="830">
                  <c:v>219009</c:v>
                </c:pt>
                <c:pt idx="831">
                  <c:v>17543</c:v>
                </c:pt>
                <c:pt idx="832">
                  <c:v>1078</c:v>
                </c:pt>
                <c:pt idx="833">
                  <c:v>739</c:v>
                </c:pt>
                <c:pt idx="834">
                  <c:v>0</c:v>
                </c:pt>
                <c:pt idx="835">
                  <c:v>942946544</c:v>
                </c:pt>
                <c:pt idx="836">
                  <c:v>942946587</c:v>
                </c:pt>
                <c:pt idx="837">
                  <c:v>65</c:v>
                </c:pt>
                <c:pt idx="838">
                  <c:v>4509</c:v>
                </c:pt>
                <c:pt idx="839">
                  <c:v>4498</c:v>
                </c:pt>
                <c:pt idx="840">
                  <c:v>4499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4484</c:v>
                </c:pt>
                <c:pt idx="846">
                  <c:v>4485</c:v>
                </c:pt>
                <c:pt idx="847">
                  <c:v>4495</c:v>
                </c:pt>
                <c:pt idx="848">
                  <c:v>4489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1910</c:v>
                </c:pt>
                <c:pt idx="854">
                  <c:v>35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2674</c:v>
                </c:pt>
                <c:pt idx="860">
                  <c:v>2675</c:v>
                </c:pt>
                <c:pt idx="861">
                  <c:v>0</c:v>
                </c:pt>
                <c:pt idx="862">
                  <c:v>2307</c:v>
                </c:pt>
                <c:pt idx="863">
                  <c:v>2304</c:v>
                </c:pt>
                <c:pt idx="864">
                  <c:v>2305</c:v>
                </c:pt>
                <c:pt idx="865">
                  <c:v>2303</c:v>
                </c:pt>
                <c:pt idx="866">
                  <c:v>2305</c:v>
                </c:pt>
                <c:pt idx="867">
                  <c:v>11916</c:v>
                </c:pt>
                <c:pt idx="868">
                  <c:v>16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121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243246</c:v>
                </c:pt>
                <c:pt idx="878">
                  <c:v>243206</c:v>
                </c:pt>
                <c:pt idx="879">
                  <c:v>1024</c:v>
                </c:pt>
                <c:pt idx="880">
                  <c:v>5703</c:v>
                </c:pt>
                <c:pt idx="881">
                  <c:v>0</c:v>
                </c:pt>
                <c:pt idx="882">
                  <c:v>2270</c:v>
                </c:pt>
                <c:pt idx="883">
                  <c:v>0</c:v>
                </c:pt>
                <c:pt idx="884">
                  <c:v>11915</c:v>
                </c:pt>
                <c:pt idx="885">
                  <c:v>3656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268</c:v>
                </c:pt>
                <c:pt idx="893">
                  <c:v>704</c:v>
                </c:pt>
                <c:pt idx="894">
                  <c:v>14</c:v>
                </c:pt>
                <c:pt idx="895">
                  <c:v>3478</c:v>
                </c:pt>
                <c:pt idx="896">
                  <c:v>243207</c:v>
                </c:pt>
                <c:pt idx="897">
                  <c:v>0</c:v>
                </c:pt>
                <c:pt idx="898">
                  <c:v>11920</c:v>
                </c:pt>
                <c:pt idx="899">
                  <c:v>11920</c:v>
                </c:pt>
                <c:pt idx="900">
                  <c:v>11920</c:v>
                </c:pt>
                <c:pt idx="901">
                  <c:v>11920</c:v>
                </c:pt>
                <c:pt idx="902">
                  <c:v>3</c:v>
                </c:pt>
                <c:pt idx="903">
                  <c:v>2165</c:v>
                </c:pt>
                <c:pt idx="904">
                  <c:v>2310</c:v>
                </c:pt>
                <c:pt idx="905">
                  <c:v>2026934</c:v>
                </c:pt>
                <c:pt idx="906">
                  <c:v>4500</c:v>
                </c:pt>
                <c:pt idx="907">
                  <c:v>4501</c:v>
                </c:pt>
                <c:pt idx="908">
                  <c:v>4502</c:v>
                </c:pt>
                <c:pt idx="909">
                  <c:v>333</c:v>
                </c:pt>
                <c:pt idx="910">
                  <c:v>1637</c:v>
                </c:pt>
                <c:pt idx="911">
                  <c:v>2574</c:v>
                </c:pt>
                <c:pt idx="912">
                  <c:v>2572</c:v>
                </c:pt>
                <c:pt idx="913">
                  <c:v>6529</c:v>
                </c:pt>
                <c:pt idx="914">
                  <c:v>1635</c:v>
                </c:pt>
                <c:pt idx="915">
                  <c:v>6536</c:v>
                </c:pt>
                <c:pt idx="916">
                  <c:v>754</c:v>
                </c:pt>
                <c:pt idx="917">
                  <c:v>1638</c:v>
                </c:pt>
                <c:pt idx="918">
                  <c:v>63</c:v>
                </c:pt>
                <c:pt idx="919">
                  <c:v>1197</c:v>
                </c:pt>
                <c:pt idx="920">
                  <c:v>64</c:v>
                </c:pt>
                <c:pt idx="921">
                  <c:v>1905</c:v>
                </c:pt>
                <c:pt idx="922">
                  <c:v>854</c:v>
                </c:pt>
                <c:pt idx="923">
                  <c:v>0</c:v>
                </c:pt>
                <c:pt idx="924">
                  <c:v>0</c:v>
                </c:pt>
                <c:pt idx="925">
                  <c:v>331</c:v>
                </c:pt>
                <c:pt idx="926">
                  <c:v>2363</c:v>
                </c:pt>
                <c:pt idx="927">
                  <c:v>2362</c:v>
                </c:pt>
                <c:pt idx="928">
                  <c:v>0</c:v>
                </c:pt>
                <c:pt idx="929">
                  <c:v>2808</c:v>
                </c:pt>
                <c:pt idx="930">
                  <c:v>2806</c:v>
                </c:pt>
                <c:pt idx="931">
                  <c:v>0</c:v>
                </c:pt>
                <c:pt idx="932">
                  <c:v>3334</c:v>
                </c:pt>
                <c:pt idx="933">
                  <c:v>3334</c:v>
                </c:pt>
                <c:pt idx="934">
                  <c:v>84707</c:v>
                </c:pt>
                <c:pt idx="935">
                  <c:v>84706</c:v>
                </c:pt>
                <c:pt idx="936">
                  <c:v>0</c:v>
                </c:pt>
                <c:pt idx="937">
                  <c:v>0</c:v>
                </c:pt>
                <c:pt idx="938">
                  <c:v>2327</c:v>
                </c:pt>
                <c:pt idx="939">
                  <c:v>2328</c:v>
                </c:pt>
                <c:pt idx="940">
                  <c:v>2325</c:v>
                </c:pt>
                <c:pt idx="941">
                  <c:v>655589</c:v>
                </c:pt>
                <c:pt idx="942">
                  <c:v>0</c:v>
                </c:pt>
                <c:pt idx="943">
                  <c:v>237</c:v>
                </c:pt>
                <c:pt idx="944">
                  <c:v>430</c:v>
                </c:pt>
                <c:pt idx="945">
                  <c:v>25</c:v>
                </c:pt>
                <c:pt idx="946">
                  <c:v>11923</c:v>
                </c:pt>
                <c:pt idx="947">
                  <c:v>0</c:v>
                </c:pt>
                <c:pt idx="948">
                  <c:v>13634</c:v>
                </c:pt>
                <c:pt idx="949">
                  <c:v>973</c:v>
                </c:pt>
                <c:pt idx="950">
                  <c:v>4516</c:v>
                </c:pt>
                <c:pt idx="951">
                  <c:v>4515</c:v>
                </c:pt>
                <c:pt idx="952">
                  <c:v>0</c:v>
                </c:pt>
                <c:pt idx="959">
                  <c:v>2312</c:v>
                </c:pt>
                <c:pt idx="960">
                  <c:v>2309</c:v>
                </c:pt>
                <c:pt idx="961">
                  <c:v>2301</c:v>
                </c:pt>
                <c:pt idx="962">
                  <c:v>2302</c:v>
                </c:pt>
                <c:pt idx="966">
                  <c:v>71</c:v>
                </c:pt>
                <c:pt idx="967">
                  <c:v>13</c:v>
                </c:pt>
                <c:pt idx="968">
                  <c:v>5750</c:v>
                </c:pt>
                <c:pt idx="969">
                  <c:v>1957</c:v>
                </c:pt>
                <c:pt idx="970">
                  <c:v>7806</c:v>
                </c:pt>
                <c:pt idx="971">
                  <c:v>6541</c:v>
                </c:pt>
                <c:pt idx="972">
                  <c:v>3706</c:v>
                </c:pt>
                <c:pt idx="973">
                  <c:v>7764</c:v>
                </c:pt>
                <c:pt idx="974">
                  <c:v>1640</c:v>
                </c:pt>
                <c:pt idx="975">
                  <c:v>0</c:v>
                </c:pt>
                <c:pt idx="976">
                  <c:v>0</c:v>
                </c:pt>
                <c:pt idx="977">
                  <c:v>804</c:v>
                </c:pt>
                <c:pt idx="980">
                  <c:v>396</c:v>
                </c:pt>
                <c:pt idx="981">
                  <c:v>0</c:v>
                </c:pt>
                <c:pt idx="982">
                  <c:v>2365</c:v>
                </c:pt>
                <c:pt idx="983">
                  <c:v>2366</c:v>
                </c:pt>
                <c:pt idx="985">
                  <c:v>11916</c:v>
                </c:pt>
                <c:pt idx="986">
                  <c:v>17551</c:v>
                </c:pt>
                <c:pt idx="987" formatCode="#,##0">
                  <c:v>189609</c:v>
                </c:pt>
                <c:pt idx="988" formatCode="#,##0">
                  <c:v>189004</c:v>
                </c:pt>
                <c:pt idx="989">
                  <c:v>76</c:v>
                </c:pt>
                <c:pt idx="990">
                  <c:v>5113</c:v>
                </c:pt>
                <c:pt idx="991">
                  <c:v>16947</c:v>
                </c:pt>
                <c:pt idx="992">
                  <c:v>0</c:v>
                </c:pt>
                <c:pt idx="993">
                  <c:v>1644</c:v>
                </c:pt>
                <c:pt idx="995">
                  <c:v>5730</c:v>
                </c:pt>
                <c:pt idx="996">
                  <c:v>2326</c:v>
                </c:pt>
                <c:pt idx="997">
                  <c:v>335</c:v>
                </c:pt>
                <c:pt idx="998">
                  <c:v>1616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2796379</c:v>
                </c:pt>
                <c:pt idx="1003">
                  <c:v>2796384</c:v>
                </c:pt>
                <c:pt idx="1004">
                  <c:v>2798046</c:v>
                </c:pt>
                <c:pt idx="1005">
                  <c:v>2798048</c:v>
                </c:pt>
                <c:pt idx="1006">
                  <c:v>2796382</c:v>
                </c:pt>
                <c:pt idx="1007">
                  <c:v>2796385</c:v>
                </c:pt>
                <c:pt idx="1008">
                  <c:v>2798047</c:v>
                </c:pt>
                <c:pt idx="1009">
                  <c:v>2796378</c:v>
                </c:pt>
                <c:pt idx="1010">
                  <c:v>2796381</c:v>
                </c:pt>
                <c:pt idx="1011">
                  <c:v>2796380</c:v>
                </c:pt>
                <c:pt idx="1012">
                  <c:v>2796386</c:v>
                </c:pt>
                <c:pt idx="1013">
                  <c:v>2797680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243858</c:v>
                </c:pt>
                <c:pt idx="1020">
                  <c:v>243856</c:v>
                </c:pt>
                <c:pt idx="1021">
                  <c:v>327</c:v>
                </c:pt>
                <c:pt idx="1022">
                  <c:v>0</c:v>
                </c:pt>
                <c:pt idx="1023">
                  <c:v>0</c:v>
                </c:pt>
                <c:pt idx="1024">
                  <c:v>73502960</c:v>
                </c:pt>
                <c:pt idx="1025">
                  <c:v>73643521</c:v>
                </c:pt>
                <c:pt idx="1026">
                  <c:v>0</c:v>
                </c:pt>
                <c:pt idx="1027">
                  <c:v>7659</c:v>
                </c:pt>
                <c:pt idx="1028">
                  <c:v>73506311</c:v>
                </c:pt>
                <c:pt idx="1029">
                  <c:v>225068</c:v>
                </c:pt>
                <c:pt idx="1030">
                  <c:v>363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13</c:v>
                </c:pt>
                <c:pt idx="1035">
                  <c:v>0</c:v>
                </c:pt>
                <c:pt idx="1036">
                  <c:v>1942</c:v>
                </c:pt>
                <c:pt idx="1037">
                  <c:v>8759</c:v>
                </c:pt>
                <c:pt idx="1038">
                  <c:v>0</c:v>
                </c:pt>
                <c:pt idx="1039">
                  <c:v>1109833</c:v>
                </c:pt>
                <c:pt idx="1040">
                  <c:v>277</c:v>
                </c:pt>
                <c:pt idx="1041">
                  <c:v>58847325</c:v>
                </c:pt>
                <c:pt idx="1042">
                  <c:v>0</c:v>
                </c:pt>
                <c:pt idx="1043">
                  <c:v>0</c:v>
                </c:pt>
                <c:pt idx="1045">
                  <c:v>42931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880</c:v>
                </c:pt>
                <c:pt idx="1050">
                  <c:v>78</c:v>
                </c:pt>
                <c:pt idx="1051">
                  <c:v>0</c:v>
                </c:pt>
                <c:pt idx="1052">
                  <c:v>0</c:v>
                </c:pt>
                <c:pt idx="1053">
                  <c:v>962890</c:v>
                </c:pt>
                <c:pt idx="1054">
                  <c:v>2110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1721</c:v>
                </c:pt>
                <c:pt idx="1062">
                  <c:v>196182</c:v>
                </c:pt>
                <c:pt idx="1063">
                  <c:v>16224</c:v>
                </c:pt>
                <c:pt idx="1064">
                  <c:v>0</c:v>
                </c:pt>
                <c:pt idx="1065">
                  <c:v>4</c:v>
                </c:pt>
                <c:pt idx="1066">
                  <c:v>2870</c:v>
                </c:pt>
                <c:pt idx="1067">
                  <c:v>1263</c:v>
                </c:pt>
                <c:pt idx="1068">
                  <c:v>0</c:v>
                </c:pt>
                <c:pt idx="1069">
                  <c:v>1264</c:v>
                </c:pt>
                <c:pt idx="1070">
                  <c:v>76</c:v>
                </c:pt>
                <c:pt idx="1071">
                  <c:v>7719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5239</c:v>
                </c:pt>
                <c:pt idx="1078">
                  <c:v>0</c:v>
                </c:pt>
                <c:pt idx="1079">
                  <c:v>1720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214</c:v>
                </c:pt>
                <c:pt idx="1089">
                  <c:v>103</c:v>
                </c:pt>
                <c:pt idx="1090">
                  <c:v>334</c:v>
                </c:pt>
                <c:pt idx="1091">
                  <c:v>0</c:v>
                </c:pt>
                <c:pt idx="1092">
                  <c:v>5188</c:v>
                </c:pt>
                <c:pt idx="1093">
                  <c:v>215</c:v>
                </c:pt>
                <c:pt idx="1094">
                  <c:v>0</c:v>
                </c:pt>
                <c:pt idx="1095">
                  <c:v>232</c:v>
                </c:pt>
                <c:pt idx="1096">
                  <c:v>26556</c:v>
                </c:pt>
                <c:pt idx="1097">
                  <c:v>225840</c:v>
                </c:pt>
                <c:pt idx="1098">
                  <c:v>92390</c:v>
                </c:pt>
                <c:pt idx="1099">
                  <c:v>0</c:v>
                </c:pt>
                <c:pt idx="1100">
                  <c:v>778</c:v>
                </c:pt>
                <c:pt idx="1101">
                  <c:v>0</c:v>
                </c:pt>
                <c:pt idx="1103">
                  <c:v>484</c:v>
                </c:pt>
                <c:pt idx="1104">
                  <c:v>0</c:v>
                </c:pt>
                <c:pt idx="1105">
                  <c:v>1269</c:v>
                </c:pt>
                <c:pt idx="1106">
                  <c:v>0</c:v>
                </c:pt>
                <c:pt idx="1107">
                  <c:v>119</c:v>
                </c:pt>
                <c:pt idx="1108">
                  <c:v>212</c:v>
                </c:pt>
                <c:pt idx="1109">
                  <c:v>210</c:v>
                </c:pt>
                <c:pt idx="1110">
                  <c:v>36791</c:v>
                </c:pt>
                <c:pt idx="1111">
                  <c:v>497</c:v>
                </c:pt>
                <c:pt idx="1112">
                  <c:v>170</c:v>
                </c:pt>
                <c:pt idx="1113">
                  <c:v>2824</c:v>
                </c:pt>
                <c:pt idx="1114">
                  <c:v>2801</c:v>
                </c:pt>
                <c:pt idx="1115">
                  <c:v>125</c:v>
                </c:pt>
                <c:pt idx="1116">
                  <c:v>172</c:v>
                </c:pt>
                <c:pt idx="1117">
                  <c:v>30</c:v>
                </c:pt>
                <c:pt idx="1118">
                  <c:v>296</c:v>
                </c:pt>
                <c:pt idx="1119">
                  <c:v>93</c:v>
                </c:pt>
                <c:pt idx="1120">
                  <c:v>0</c:v>
                </c:pt>
                <c:pt idx="1121">
                  <c:v>2682</c:v>
                </c:pt>
                <c:pt idx="1122">
                  <c:v>227</c:v>
                </c:pt>
                <c:pt idx="1123">
                  <c:v>3</c:v>
                </c:pt>
                <c:pt idx="1124">
                  <c:v>0</c:v>
                </c:pt>
                <c:pt idx="1125">
                  <c:v>3459</c:v>
                </c:pt>
                <c:pt idx="1126">
                  <c:v>0</c:v>
                </c:pt>
                <c:pt idx="1127">
                  <c:v>42</c:v>
                </c:pt>
                <c:pt idx="1128">
                  <c:v>235</c:v>
                </c:pt>
                <c:pt idx="1129">
                  <c:v>220</c:v>
                </c:pt>
                <c:pt idx="1130">
                  <c:v>3</c:v>
                </c:pt>
                <c:pt idx="1131">
                  <c:v>950395240</c:v>
                </c:pt>
                <c:pt idx="1132">
                  <c:v>950395226</c:v>
                </c:pt>
                <c:pt idx="1133">
                  <c:v>244662</c:v>
                </c:pt>
                <c:pt idx="1134">
                  <c:v>1696</c:v>
                </c:pt>
                <c:pt idx="1135">
                  <c:v>950395199</c:v>
                </c:pt>
                <c:pt idx="1136">
                  <c:v>105</c:v>
                </c:pt>
                <c:pt idx="1137">
                  <c:v>628</c:v>
                </c:pt>
                <c:pt idx="1138">
                  <c:v>0</c:v>
                </c:pt>
                <c:pt idx="1139">
                  <c:v>848</c:v>
                </c:pt>
                <c:pt idx="1140">
                  <c:v>0</c:v>
                </c:pt>
                <c:pt idx="1141">
                  <c:v>960</c:v>
                </c:pt>
                <c:pt idx="1142">
                  <c:v>0</c:v>
                </c:pt>
                <c:pt idx="1143">
                  <c:v>11488</c:v>
                </c:pt>
                <c:pt idx="1144">
                  <c:v>1519</c:v>
                </c:pt>
                <c:pt idx="1145">
                  <c:v>483</c:v>
                </c:pt>
                <c:pt idx="1146">
                  <c:v>0</c:v>
                </c:pt>
                <c:pt idx="1147">
                  <c:v>39</c:v>
                </c:pt>
                <c:pt idx="1148">
                  <c:v>0</c:v>
                </c:pt>
                <c:pt idx="1150">
                  <c:v>1057</c:v>
                </c:pt>
                <c:pt idx="1151">
                  <c:v>0</c:v>
                </c:pt>
                <c:pt idx="1152">
                  <c:v>205</c:v>
                </c:pt>
                <c:pt idx="1153">
                  <c:v>245</c:v>
                </c:pt>
                <c:pt idx="1154">
                  <c:v>0</c:v>
                </c:pt>
                <c:pt idx="1155">
                  <c:v>1692</c:v>
                </c:pt>
                <c:pt idx="1156">
                  <c:v>1692</c:v>
                </c:pt>
                <c:pt idx="1157">
                  <c:v>1692</c:v>
                </c:pt>
                <c:pt idx="1158">
                  <c:v>1692</c:v>
                </c:pt>
                <c:pt idx="1159">
                  <c:v>0</c:v>
                </c:pt>
                <c:pt idx="1160">
                  <c:v>206</c:v>
                </c:pt>
                <c:pt idx="1161">
                  <c:v>0</c:v>
                </c:pt>
                <c:pt idx="1162">
                  <c:v>27</c:v>
                </c:pt>
                <c:pt idx="1163">
                  <c:v>16</c:v>
                </c:pt>
                <c:pt idx="1164">
                  <c:v>736</c:v>
                </c:pt>
                <c:pt idx="1165">
                  <c:v>94</c:v>
                </c:pt>
                <c:pt idx="1166">
                  <c:v>1328</c:v>
                </c:pt>
                <c:pt idx="1167">
                  <c:v>0</c:v>
                </c:pt>
                <c:pt idx="1168">
                  <c:v>2591</c:v>
                </c:pt>
                <c:pt idx="1169">
                  <c:v>9504927</c:v>
                </c:pt>
                <c:pt idx="1170">
                  <c:v>0</c:v>
                </c:pt>
                <c:pt idx="1171">
                  <c:v>950771320</c:v>
                </c:pt>
                <c:pt idx="1172">
                  <c:v>181778890</c:v>
                </c:pt>
                <c:pt idx="1173">
                  <c:v>1695</c:v>
                </c:pt>
                <c:pt idx="1174">
                  <c:v>244664</c:v>
                </c:pt>
                <c:pt idx="1175">
                  <c:v>244663</c:v>
                </c:pt>
                <c:pt idx="1176">
                  <c:v>244901</c:v>
                </c:pt>
                <c:pt idx="1177">
                  <c:v>1392</c:v>
                </c:pt>
                <c:pt idx="1178">
                  <c:v>2449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279864</c:v>
                </c:pt>
                <c:pt idx="1185">
                  <c:v>2450</c:v>
                </c:pt>
                <c:pt idx="1186">
                  <c:v>1079</c:v>
                </c:pt>
                <c:pt idx="1187">
                  <c:v>2451</c:v>
                </c:pt>
                <c:pt idx="1188">
                  <c:v>950594607</c:v>
                </c:pt>
                <c:pt idx="1189">
                  <c:v>485</c:v>
                </c:pt>
                <c:pt idx="1190">
                  <c:v>0</c:v>
                </c:pt>
                <c:pt idx="1191">
                  <c:v>90</c:v>
                </c:pt>
                <c:pt idx="1192">
                  <c:v>0</c:v>
                </c:pt>
                <c:pt idx="1193">
                  <c:v>815</c:v>
                </c:pt>
                <c:pt idx="1194">
                  <c:v>45905</c:v>
                </c:pt>
                <c:pt idx="1195">
                  <c:v>4543</c:v>
                </c:pt>
                <c:pt idx="1196">
                  <c:v>2587</c:v>
                </c:pt>
                <c:pt idx="1197">
                  <c:v>950389106</c:v>
                </c:pt>
                <c:pt idx="1198">
                  <c:v>950594608</c:v>
                </c:pt>
                <c:pt idx="1199">
                  <c:v>120331</c:v>
                </c:pt>
                <c:pt idx="1200">
                  <c:v>0</c:v>
                </c:pt>
                <c:pt idx="1201">
                  <c:v>950389144</c:v>
                </c:pt>
                <c:pt idx="1202">
                  <c:v>0</c:v>
                </c:pt>
                <c:pt idx="1203">
                  <c:v>499</c:v>
                </c:pt>
                <c:pt idx="1204">
                  <c:v>0</c:v>
                </c:pt>
                <c:pt idx="1205">
                  <c:v>45907</c:v>
                </c:pt>
                <c:pt idx="1206">
                  <c:v>1433</c:v>
                </c:pt>
                <c:pt idx="1207">
                  <c:v>13</c:v>
                </c:pt>
                <c:pt idx="1208">
                  <c:v>196</c:v>
                </c:pt>
                <c:pt idx="1209">
                  <c:v>950389105</c:v>
                </c:pt>
                <c:pt idx="1210">
                  <c:v>0</c:v>
                </c:pt>
                <c:pt idx="1211">
                  <c:v>947</c:v>
                </c:pt>
                <c:pt idx="1212">
                  <c:v>49</c:v>
                </c:pt>
                <c:pt idx="1213">
                  <c:v>0</c:v>
                </c:pt>
                <c:pt idx="1214">
                  <c:v>361415</c:v>
                </c:pt>
                <c:pt idx="1215">
                  <c:v>127</c:v>
                </c:pt>
                <c:pt idx="1216">
                  <c:v>17571</c:v>
                </c:pt>
                <c:pt idx="1217">
                  <c:v>778</c:v>
                </c:pt>
                <c:pt idx="1218">
                  <c:v>13723</c:v>
                </c:pt>
                <c:pt idx="1219">
                  <c:v>1261</c:v>
                </c:pt>
                <c:pt idx="1220">
                  <c:v>1073</c:v>
                </c:pt>
                <c:pt idx="1221">
                  <c:v>206</c:v>
                </c:pt>
                <c:pt idx="1223">
                  <c:v>2478</c:v>
                </c:pt>
                <c:pt idx="1224">
                  <c:v>2477</c:v>
                </c:pt>
                <c:pt idx="1225">
                  <c:v>2585</c:v>
                </c:pt>
                <c:pt idx="1226">
                  <c:v>2481</c:v>
                </c:pt>
                <c:pt idx="1227">
                  <c:v>2481</c:v>
                </c:pt>
                <c:pt idx="1229">
                  <c:v>1690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80</c:v>
                </c:pt>
                <c:pt idx="1236">
                  <c:v>77</c:v>
                </c:pt>
                <c:pt idx="1237">
                  <c:v>786</c:v>
                </c:pt>
                <c:pt idx="1238">
                  <c:v>192656</c:v>
                </c:pt>
                <c:pt idx="1239">
                  <c:v>192527</c:v>
                </c:pt>
                <c:pt idx="1240">
                  <c:v>192619</c:v>
                </c:pt>
                <c:pt idx="1241">
                  <c:v>4890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2484</c:v>
                </c:pt>
                <c:pt idx="1247">
                  <c:v>1264</c:v>
                </c:pt>
                <c:pt idx="1248">
                  <c:v>1266</c:v>
                </c:pt>
                <c:pt idx="1249">
                  <c:v>1265</c:v>
                </c:pt>
                <c:pt idx="1250">
                  <c:v>2696</c:v>
                </c:pt>
                <c:pt idx="1251">
                  <c:v>5180</c:v>
                </c:pt>
                <c:pt idx="1252">
                  <c:v>2452</c:v>
                </c:pt>
                <c:pt idx="1253">
                  <c:v>2483</c:v>
                </c:pt>
                <c:pt idx="1254">
                  <c:v>0</c:v>
                </c:pt>
                <c:pt idx="1255">
                  <c:v>2482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2460</c:v>
                </c:pt>
                <c:pt idx="1262">
                  <c:v>2459</c:v>
                </c:pt>
                <c:pt idx="1263">
                  <c:v>418</c:v>
                </c:pt>
                <c:pt idx="1264">
                  <c:v>2485</c:v>
                </c:pt>
                <c:pt idx="1265">
                  <c:v>2486</c:v>
                </c:pt>
                <c:pt idx="1266">
                  <c:v>703</c:v>
                </c:pt>
                <c:pt idx="1267">
                  <c:v>816</c:v>
                </c:pt>
                <c:pt idx="1268">
                  <c:v>45908</c:v>
                </c:pt>
                <c:pt idx="1269">
                  <c:v>37165</c:v>
                </c:pt>
                <c:pt idx="1270">
                  <c:v>1694</c:v>
                </c:pt>
                <c:pt idx="1271">
                  <c:v>0</c:v>
                </c:pt>
                <c:pt idx="1272">
                  <c:v>13724</c:v>
                </c:pt>
                <c:pt idx="1273">
                  <c:v>12399</c:v>
                </c:pt>
                <c:pt idx="1274">
                  <c:v>2026965</c:v>
                </c:pt>
                <c:pt idx="1275">
                  <c:v>2026945</c:v>
                </c:pt>
                <c:pt idx="1276">
                  <c:v>13722</c:v>
                </c:pt>
                <c:pt idx="1277">
                  <c:v>0</c:v>
                </c:pt>
                <c:pt idx="1279">
                  <c:v>1857</c:v>
                </c:pt>
                <c:pt idx="1280">
                  <c:v>0</c:v>
                </c:pt>
                <c:pt idx="1281">
                  <c:v>1859</c:v>
                </c:pt>
                <c:pt idx="1282">
                  <c:v>1860</c:v>
                </c:pt>
                <c:pt idx="1283">
                  <c:v>12303</c:v>
                </c:pt>
                <c:pt idx="1284">
                  <c:v>0</c:v>
                </c:pt>
                <c:pt idx="1285">
                  <c:v>0</c:v>
                </c:pt>
                <c:pt idx="1286">
                  <c:v>1862</c:v>
                </c:pt>
                <c:pt idx="1287">
                  <c:v>1863</c:v>
                </c:pt>
                <c:pt idx="1288">
                  <c:v>1864</c:v>
                </c:pt>
                <c:pt idx="1289">
                  <c:v>0</c:v>
                </c:pt>
                <c:pt idx="1290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1865</c:v>
                </c:pt>
                <c:pt idx="1295">
                  <c:v>0</c:v>
                </c:pt>
                <c:pt idx="1296">
                  <c:v>1646</c:v>
                </c:pt>
                <c:pt idx="1297">
                  <c:v>0</c:v>
                </c:pt>
                <c:pt idx="1298">
                  <c:v>3350</c:v>
                </c:pt>
                <c:pt idx="1299">
                  <c:v>3347</c:v>
                </c:pt>
                <c:pt idx="1300">
                  <c:v>3348</c:v>
                </c:pt>
                <c:pt idx="1301">
                  <c:v>4898</c:v>
                </c:pt>
                <c:pt idx="1302">
                  <c:v>0</c:v>
                </c:pt>
                <c:pt idx="1303">
                  <c:v>0</c:v>
                </c:pt>
                <c:pt idx="1304">
                  <c:v>2697</c:v>
                </c:pt>
                <c:pt idx="1305">
                  <c:v>1623</c:v>
                </c:pt>
                <c:pt idx="1306">
                  <c:v>1624</c:v>
                </c:pt>
                <c:pt idx="1307">
                  <c:v>12392</c:v>
                </c:pt>
                <c:pt idx="1308">
                  <c:v>2489</c:v>
                </c:pt>
                <c:pt idx="1309">
                  <c:v>5775</c:v>
                </c:pt>
                <c:pt idx="1310">
                  <c:v>719</c:v>
                </c:pt>
                <c:pt idx="1311">
                  <c:v>940</c:v>
                </c:pt>
                <c:pt idx="1312">
                  <c:v>0</c:v>
                </c:pt>
                <c:pt idx="1313">
                  <c:v>883</c:v>
                </c:pt>
                <c:pt idx="1314">
                  <c:v>5630</c:v>
                </c:pt>
                <c:pt idx="1315">
                  <c:v>8789</c:v>
                </c:pt>
                <c:pt idx="1316">
                  <c:v>1403</c:v>
                </c:pt>
                <c:pt idx="1318">
                  <c:v>1405</c:v>
                </c:pt>
                <c:pt idx="1319">
                  <c:v>273</c:v>
                </c:pt>
                <c:pt idx="1320">
                  <c:v>272</c:v>
                </c:pt>
                <c:pt idx="1321">
                  <c:v>3540</c:v>
                </c:pt>
                <c:pt idx="1322">
                  <c:v>12390</c:v>
                </c:pt>
                <c:pt idx="1323">
                  <c:v>12396</c:v>
                </c:pt>
                <c:pt idx="1324">
                  <c:v>12396</c:v>
                </c:pt>
                <c:pt idx="1325">
                  <c:v>12396</c:v>
                </c:pt>
                <c:pt idx="1326">
                  <c:v>12396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62</c:v>
                </c:pt>
                <c:pt idx="1331">
                  <c:v>1087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2483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18315</c:v>
                </c:pt>
                <c:pt idx="1340">
                  <c:v>2500</c:v>
                </c:pt>
                <c:pt idx="1341">
                  <c:v>2498</c:v>
                </c:pt>
                <c:pt idx="1342">
                  <c:v>2502</c:v>
                </c:pt>
                <c:pt idx="1343">
                  <c:v>149845</c:v>
                </c:pt>
                <c:pt idx="1344">
                  <c:v>4524</c:v>
                </c:pt>
                <c:pt idx="1345">
                  <c:v>4523</c:v>
                </c:pt>
                <c:pt idx="1346">
                  <c:v>0</c:v>
                </c:pt>
                <c:pt idx="1347">
                  <c:v>0</c:v>
                </c:pt>
                <c:pt idx="1348">
                  <c:v>2506</c:v>
                </c:pt>
                <c:pt idx="1349">
                  <c:v>2504</c:v>
                </c:pt>
                <c:pt idx="1350">
                  <c:v>2131584</c:v>
                </c:pt>
                <c:pt idx="1351">
                  <c:v>47249</c:v>
                </c:pt>
                <c:pt idx="1352">
                  <c:v>1853</c:v>
                </c:pt>
                <c:pt idx="1353">
                  <c:v>1853</c:v>
                </c:pt>
                <c:pt idx="1354">
                  <c:v>193087</c:v>
                </c:pt>
                <c:pt idx="1356">
                  <c:v>0</c:v>
                </c:pt>
                <c:pt idx="1357">
                  <c:v>220</c:v>
                </c:pt>
                <c:pt idx="1358">
                  <c:v>221</c:v>
                </c:pt>
                <c:pt idx="1359">
                  <c:v>0</c:v>
                </c:pt>
                <c:pt idx="1360">
                  <c:v>8386</c:v>
                </c:pt>
                <c:pt idx="1361">
                  <c:v>8392</c:v>
                </c:pt>
                <c:pt idx="1362">
                  <c:v>219</c:v>
                </c:pt>
                <c:pt idx="1363">
                  <c:v>0</c:v>
                </c:pt>
                <c:pt idx="1364">
                  <c:v>950</c:v>
                </c:pt>
                <c:pt idx="1365">
                  <c:v>0</c:v>
                </c:pt>
                <c:pt idx="1366">
                  <c:v>0</c:v>
                </c:pt>
                <c:pt idx="1367">
                  <c:v>4526</c:v>
                </c:pt>
                <c:pt idx="1368">
                  <c:v>0</c:v>
                </c:pt>
                <c:pt idx="1369">
                  <c:v>2523</c:v>
                </c:pt>
                <c:pt idx="1370">
                  <c:v>0</c:v>
                </c:pt>
                <c:pt idx="1371">
                  <c:v>0</c:v>
                </c:pt>
                <c:pt idx="1372">
                  <c:v>1996</c:v>
                </c:pt>
                <c:pt idx="1373">
                  <c:v>3818</c:v>
                </c:pt>
                <c:pt idx="1374">
                  <c:v>2526</c:v>
                </c:pt>
                <c:pt idx="1375">
                  <c:v>2527</c:v>
                </c:pt>
                <c:pt idx="1376">
                  <c:v>2524</c:v>
                </c:pt>
                <c:pt idx="1377">
                  <c:v>6626</c:v>
                </c:pt>
                <c:pt idx="1378">
                  <c:v>43021</c:v>
                </c:pt>
                <c:pt idx="1379">
                  <c:v>7018</c:v>
                </c:pt>
                <c:pt idx="1380">
                  <c:v>2994</c:v>
                </c:pt>
                <c:pt idx="1381">
                  <c:v>7020</c:v>
                </c:pt>
                <c:pt idx="1382">
                  <c:v>10722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2530</c:v>
                </c:pt>
                <c:pt idx="1389">
                  <c:v>2531</c:v>
                </c:pt>
                <c:pt idx="1390">
                  <c:v>2529</c:v>
                </c:pt>
                <c:pt idx="1391">
                  <c:v>2528</c:v>
                </c:pt>
                <c:pt idx="1392">
                  <c:v>943</c:v>
                </c:pt>
                <c:pt idx="1393">
                  <c:v>181850</c:v>
                </c:pt>
                <c:pt idx="1394">
                  <c:v>17320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7027</c:v>
                </c:pt>
                <c:pt idx="1399">
                  <c:v>4163</c:v>
                </c:pt>
                <c:pt idx="1400">
                  <c:v>0</c:v>
                </c:pt>
                <c:pt idx="1401">
                  <c:v>124</c:v>
                </c:pt>
                <c:pt idx="1402">
                  <c:v>1424</c:v>
                </c:pt>
                <c:pt idx="1403">
                  <c:v>0</c:v>
                </c:pt>
                <c:pt idx="1404">
                  <c:v>0</c:v>
                </c:pt>
                <c:pt idx="1405">
                  <c:v>3344</c:v>
                </c:pt>
                <c:pt idx="1406">
                  <c:v>0</c:v>
                </c:pt>
                <c:pt idx="1407">
                  <c:v>1648</c:v>
                </c:pt>
                <c:pt idx="1408">
                  <c:v>1649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81</c:v>
                </c:pt>
                <c:pt idx="1413">
                  <c:v>0</c:v>
                </c:pt>
                <c:pt idx="1414">
                  <c:v>0</c:v>
                </c:pt>
                <c:pt idx="1415">
                  <c:v>1974</c:v>
                </c:pt>
                <c:pt idx="1416">
                  <c:v>0</c:v>
                </c:pt>
                <c:pt idx="1417">
                  <c:v>0</c:v>
                </c:pt>
                <c:pt idx="1418">
                  <c:v>75</c:v>
                </c:pt>
                <c:pt idx="1419">
                  <c:v>104550</c:v>
                </c:pt>
                <c:pt idx="1420">
                  <c:v>1855</c:v>
                </c:pt>
                <c:pt idx="1421">
                  <c:v>1855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163</c:v>
                </c:pt>
                <c:pt idx="1429">
                  <c:v>637</c:v>
                </c:pt>
                <c:pt idx="1430">
                  <c:v>636</c:v>
                </c:pt>
                <c:pt idx="1431">
                  <c:v>167</c:v>
                </c:pt>
                <c:pt idx="1432">
                  <c:v>0</c:v>
                </c:pt>
                <c:pt idx="1433">
                  <c:v>2854367</c:v>
                </c:pt>
                <c:pt idx="1434">
                  <c:v>0</c:v>
                </c:pt>
                <c:pt idx="1435">
                  <c:v>2131624</c:v>
                </c:pt>
                <c:pt idx="1436">
                  <c:v>532366</c:v>
                </c:pt>
                <c:pt idx="1437">
                  <c:v>339292</c:v>
                </c:pt>
                <c:pt idx="1438">
                  <c:v>339285</c:v>
                </c:pt>
                <c:pt idx="1439">
                  <c:v>339326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1066656</c:v>
                </c:pt>
                <c:pt idx="1449">
                  <c:v>1919</c:v>
                </c:pt>
                <c:pt idx="1450">
                  <c:v>17238</c:v>
                </c:pt>
                <c:pt idx="1451">
                  <c:v>97</c:v>
                </c:pt>
                <c:pt idx="1452">
                  <c:v>0</c:v>
                </c:pt>
                <c:pt idx="1453">
                  <c:v>626</c:v>
                </c:pt>
                <c:pt idx="1454">
                  <c:v>0</c:v>
                </c:pt>
                <c:pt idx="1455">
                  <c:v>0</c:v>
                </c:pt>
                <c:pt idx="1456">
                  <c:v>184608767</c:v>
                </c:pt>
                <c:pt idx="1457">
                  <c:v>73502960</c:v>
                </c:pt>
                <c:pt idx="1458">
                  <c:v>73506982</c:v>
                </c:pt>
                <c:pt idx="1459">
                  <c:v>73506311</c:v>
                </c:pt>
                <c:pt idx="1460">
                  <c:v>73460460</c:v>
                </c:pt>
                <c:pt idx="1461">
                  <c:v>73604364</c:v>
                </c:pt>
                <c:pt idx="1462">
                  <c:v>0</c:v>
                </c:pt>
                <c:pt idx="1463">
                  <c:v>2854398</c:v>
                </c:pt>
                <c:pt idx="1464">
                  <c:v>2854401</c:v>
                </c:pt>
                <c:pt idx="1465">
                  <c:v>2854402</c:v>
                </c:pt>
                <c:pt idx="1466">
                  <c:v>2855094</c:v>
                </c:pt>
                <c:pt idx="1467">
                  <c:v>1431</c:v>
                </c:pt>
                <c:pt idx="1468">
                  <c:v>1910</c:v>
                </c:pt>
                <c:pt idx="1469">
                  <c:v>5631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281</c:v>
                </c:pt>
                <c:pt idx="1475">
                  <c:v>5484</c:v>
                </c:pt>
                <c:pt idx="1476">
                  <c:v>3275</c:v>
                </c:pt>
                <c:pt idx="1477">
                  <c:v>5984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181947</c:v>
                </c:pt>
                <c:pt idx="1492">
                  <c:v>18384</c:v>
                </c:pt>
                <c:pt idx="1493">
                  <c:v>182387</c:v>
                </c:pt>
                <c:pt idx="1494">
                  <c:v>3357</c:v>
                </c:pt>
                <c:pt idx="1495">
                  <c:v>182475</c:v>
                </c:pt>
                <c:pt idx="1496">
                  <c:v>155464</c:v>
                </c:pt>
                <c:pt idx="1497">
                  <c:v>182595</c:v>
                </c:pt>
                <c:pt idx="1498">
                  <c:v>73643521</c:v>
                </c:pt>
                <c:pt idx="1499">
                  <c:v>147941539</c:v>
                </c:pt>
                <c:pt idx="1500">
                  <c:v>6315</c:v>
                </c:pt>
                <c:pt idx="1501">
                  <c:v>6316</c:v>
                </c:pt>
                <c:pt idx="1502">
                  <c:v>707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7125</c:v>
                </c:pt>
                <c:pt idx="1510">
                  <c:v>7127</c:v>
                </c:pt>
                <c:pt idx="1511">
                  <c:v>0</c:v>
                </c:pt>
                <c:pt idx="1512">
                  <c:v>0</c:v>
                </c:pt>
                <c:pt idx="1513">
                  <c:v>1569</c:v>
                </c:pt>
                <c:pt idx="1514">
                  <c:v>0</c:v>
                </c:pt>
                <c:pt idx="1515">
                  <c:v>5</c:v>
                </c:pt>
                <c:pt idx="1516">
                  <c:v>5</c:v>
                </c:pt>
                <c:pt idx="1517">
                  <c:v>228</c:v>
                </c:pt>
                <c:pt idx="1518">
                  <c:v>69</c:v>
                </c:pt>
                <c:pt idx="1519">
                  <c:v>182476</c:v>
                </c:pt>
                <c:pt idx="1520">
                  <c:v>5</c:v>
                </c:pt>
                <c:pt idx="1521">
                  <c:v>181946</c:v>
                </c:pt>
                <c:pt idx="1522">
                  <c:v>181939</c:v>
                </c:pt>
                <c:pt idx="1523">
                  <c:v>17277</c:v>
                </c:pt>
                <c:pt idx="1525">
                  <c:v>0</c:v>
                </c:pt>
                <c:pt idx="1526">
                  <c:v>7025</c:v>
                </c:pt>
                <c:pt idx="1527">
                  <c:v>0</c:v>
                </c:pt>
                <c:pt idx="1528">
                  <c:v>0</c:v>
                </c:pt>
                <c:pt idx="1529">
                  <c:v>5343</c:v>
                </c:pt>
                <c:pt idx="1530">
                  <c:v>2502</c:v>
                </c:pt>
                <c:pt idx="1531">
                  <c:v>0</c:v>
                </c:pt>
                <c:pt idx="1532">
                  <c:v>0</c:v>
                </c:pt>
                <c:pt idx="1533">
                  <c:v>8434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2856079</c:v>
                </c:pt>
                <c:pt idx="1538">
                  <c:v>194410</c:v>
                </c:pt>
                <c:pt idx="1539">
                  <c:v>2854403</c:v>
                </c:pt>
                <c:pt idx="1540">
                  <c:v>2854408</c:v>
                </c:pt>
                <c:pt idx="1541">
                  <c:v>534772</c:v>
                </c:pt>
                <c:pt idx="1542">
                  <c:v>193343</c:v>
                </c:pt>
                <c:pt idx="1543">
                  <c:v>2854409</c:v>
                </c:pt>
                <c:pt idx="1544">
                  <c:v>17416</c:v>
                </c:pt>
                <c:pt idx="1545">
                  <c:v>1698</c:v>
                </c:pt>
                <c:pt idx="1546">
                  <c:v>533145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1268</c:v>
                </c:pt>
                <c:pt idx="1554">
                  <c:v>1263</c:v>
                </c:pt>
                <c:pt idx="1555">
                  <c:v>0</c:v>
                </c:pt>
                <c:pt idx="1556">
                  <c:v>1264</c:v>
                </c:pt>
                <c:pt idx="1557">
                  <c:v>1266</c:v>
                </c:pt>
                <c:pt idx="1558">
                  <c:v>1269</c:v>
                </c:pt>
                <c:pt idx="1559">
                  <c:v>7040</c:v>
                </c:pt>
                <c:pt idx="1560">
                  <c:v>0</c:v>
                </c:pt>
                <c:pt idx="1561">
                  <c:v>7023</c:v>
                </c:pt>
                <c:pt idx="1562">
                  <c:v>2854405</c:v>
                </c:pt>
                <c:pt idx="1563">
                  <c:v>2856078</c:v>
                </c:pt>
                <c:pt idx="1564">
                  <c:v>2856076</c:v>
                </c:pt>
                <c:pt idx="1565">
                  <c:v>2854404</c:v>
                </c:pt>
                <c:pt idx="1566">
                  <c:v>2855669</c:v>
                </c:pt>
                <c:pt idx="1567">
                  <c:v>2856077</c:v>
                </c:pt>
                <c:pt idx="1568">
                  <c:v>182534</c:v>
                </c:pt>
                <c:pt idx="1569">
                  <c:v>150375</c:v>
                </c:pt>
                <c:pt idx="1570">
                  <c:v>0</c:v>
                </c:pt>
                <c:pt idx="1571">
                  <c:v>1520349</c:v>
                </c:pt>
                <c:pt idx="1572">
                  <c:v>1520397</c:v>
                </c:pt>
                <c:pt idx="1573">
                  <c:v>1520376</c:v>
                </c:pt>
                <c:pt idx="1574">
                  <c:v>2854407</c:v>
                </c:pt>
                <c:pt idx="1575">
                  <c:v>4896</c:v>
                </c:pt>
                <c:pt idx="1576">
                  <c:v>1696</c:v>
                </c:pt>
                <c:pt idx="1577">
                  <c:v>269</c:v>
                </c:pt>
                <c:pt idx="1578">
                  <c:v>2854406</c:v>
                </c:pt>
                <c:pt idx="1579">
                  <c:v>0</c:v>
                </c:pt>
                <c:pt idx="1580">
                  <c:v>4831</c:v>
                </c:pt>
                <c:pt idx="1581">
                  <c:v>1989</c:v>
                </c:pt>
                <c:pt idx="1582">
                  <c:v>648</c:v>
                </c:pt>
                <c:pt idx="1583">
                  <c:v>53</c:v>
                </c:pt>
                <c:pt idx="1584">
                  <c:v>97</c:v>
                </c:pt>
                <c:pt idx="1585">
                  <c:v>84</c:v>
                </c:pt>
                <c:pt idx="1586">
                  <c:v>130</c:v>
                </c:pt>
                <c:pt idx="1587">
                  <c:v>150</c:v>
                </c:pt>
                <c:pt idx="1588">
                  <c:v>855</c:v>
                </c:pt>
                <c:pt idx="1589">
                  <c:v>3514</c:v>
                </c:pt>
                <c:pt idx="1590">
                  <c:v>232</c:v>
                </c:pt>
                <c:pt idx="1591">
                  <c:v>20</c:v>
                </c:pt>
                <c:pt idx="1592">
                  <c:v>1105</c:v>
                </c:pt>
                <c:pt idx="1593">
                  <c:v>648</c:v>
                </c:pt>
                <c:pt idx="1594">
                  <c:v>223</c:v>
                </c:pt>
                <c:pt idx="1595">
                  <c:v>298</c:v>
                </c:pt>
                <c:pt idx="1596">
                  <c:v>0</c:v>
                </c:pt>
                <c:pt idx="1597">
                  <c:v>963</c:v>
                </c:pt>
                <c:pt idx="1598">
                  <c:v>249</c:v>
                </c:pt>
                <c:pt idx="1599">
                  <c:v>1066</c:v>
                </c:pt>
                <c:pt idx="1600">
                  <c:v>92829</c:v>
                </c:pt>
                <c:pt idx="1601">
                  <c:v>0</c:v>
                </c:pt>
                <c:pt idx="1602">
                  <c:v>19</c:v>
                </c:pt>
                <c:pt idx="1603">
                  <c:v>1410</c:v>
                </c:pt>
                <c:pt idx="1604">
                  <c:v>299</c:v>
                </c:pt>
                <c:pt idx="1605">
                  <c:v>0</c:v>
                </c:pt>
                <c:pt idx="1606">
                  <c:v>17612</c:v>
                </c:pt>
                <c:pt idx="1607">
                  <c:v>2624</c:v>
                </c:pt>
                <c:pt idx="1608">
                  <c:v>2628</c:v>
                </c:pt>
                <c:pt idx="1609">
                  <c:v>1697</c:v>
                </c:pt>
                <c:pt idx="1610">
                  <c:v>0</c:v>
                </c:pt>
                <c:pt idx="1611">
                  <c:v>79</c:v>
                </c:pt>
                <c:pt idx="1612">
                  <c:v>0</c:v>
                </c:pt>
                <c:pt idx="1613">
                  <c:v>1654</c:v>
                </c:pt>
                <c:pt idx="1614">
                  <c:v>1650</c:v>
                </c:pt>
                <c:pt idx="1615">
                  <c:v>1700</c:v>
                </c:pt>
                <c:pt idx="1616">
                  <c:v>0</c:v>
                </c:pt>
                <c:pt idx="1617">
                  <c:v>491</c:v>
                </c:pt>
                <c:pt idx="1618">
                  <c:v>209</c:v>
                </c:pt>
                <c:pt idx="1619">
                  <c:v>210</c:v>
                </c:pt>
                <c:pt idx="1620">
                  <c:v>25</c:v>
                </c:pt>
                <c:pt idx="1621">
                  <c:v>28</c:v>
                </c:pt>
                <c:pt idx="1622">
                  <c:v>741</c:v>
                </c:pt>
                <c:pt idx="1623">
                  <c:v>2701</c:v>
                </c:pt>
                <c:pt idx="1624">
                  <c:v>1700</c:v>
                </c:pt>
                <c:pt idx="1625">
                  <c:v>15</c:v>
                </c:pt>
                <c:pt idx="1626">
                  <c:v>25007</c:v>
                </c:pt>
                <c:pt idx="1627">
                  <c:v>1711</c:v>
                </c:pt>
                <c:pt idx="1628">
                  <c:v>493</c:v>
                </c:pt>
                <c:pt idx="1629">
                  <c:v>46387</c:v>
                </c:pt>
                <c:pt idx="1630">
                  <c:v>0</c:v>
                </c:pt>
                <c:pt idx="1631">
                  <c:v>4570</c:v>
                </c:pt>
                <c:pt idx="1632">
                  <c:v>217</c:v>
                </c:pt>
                <c:pt idx="1633">
                  <c:v>211</c:v>
                </c:pt>
                <c:pt idx="1634">
                  <c:v>1700</c:v>
                </c:pt>
                <c:pt idx="1635">
                  <c:v>1700</c:v>
                </c:pt>
                <c:pt idx="1636">
                  <c:v>1700</c:v>
                </c:pt>
                <c:pt idx="1637">
                  <c:v>2700</c:v>
                </c:pt>
                <c:pt idx="1638">
                  <c:v>331</c:v>
                </c:pt>
                <c:pt idx="1639">
                  <c:v>211</c:v>
                </c:pt>
                <c:pt idx="1640">
                  <c:v>958088477</c:v>
                </c:pt>
                <c:pt idx="1641">
                  <c:v>958088460</c:v>
                </c:pt>
                <c:pt idx="1642">
                  <c:v>958088434</c:v>
                </c:pt>
                <c:pt idx="1643">
                  <c:v>231683</c:v>
                </c:pt>
                <c:pt idx="1644">
                  <c:v>0</c:v>
                </c:pt>
                <c:pt idx="1645">
                  <c:v>207</c:v>
                </c:pt>
                <c:pt idx="1646">
                  <c:v>2604</c:v>
                </c:pt>
                <c:pt idx="1647">
                  <c:v>2605</c:v>
                </c:pt>
                <c:pt idx="1648">
                  <c:v>2603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1876</c:v>
                </c:pt>
                <c:pt idx="1656">
                  <c:v>175</c:v>
                </c:pt>
                <c:pt idx="1657">
                  <c:v>356</c:v>
                </c:pt>
                <c:pt idx="1658">
                  <c:v>98</c:v>
                </c:pt>
                <c:pt idx="1659">
                  <c:v>0</c:v>
                </c:pt>
                <c:pt idx="1660">
                  <c:v>556</c:v>
                </c:pt>
                <c:pt idx="1661">
                  <c:v>205</c:v>
                </c:pt>
                <c:pt idx="1662">
                  <c:v>0</c:v>
                </c:pt>
                <c:pt idx="1663">
                  <c:v>0</c:v>
                </c:pt>
                <c:pt idx="1664">
                  <c:v>2622</c:v>
                </c:pt>
                <c:pt idx="1665">
                  <c:v>2623</c:v>
                </c:pt>
                <c:pt idx="1666">
                  <c:v>337255</c:v>
                </c:pt>
                <c:pt idx="1667">
                  <c:v>1334</c:v>
                </c:pt>
                <c:pt idx="1668">
                  <c:v>1699</c:v>
                </c:pt>
                <c:pt idx="1669">
                  <c:v>335651</c:v>
                </c:pt>
                <c:pt idx="1670">
                  <c:v>27</c:v>
                </c:pt>
                <c:pt idx="1671">
                  <c:v>46390</c:v>
                </c:pt>
                <c:pt idx="1672">
                  <c:v>17616</c:v>
                </c:pt>
                <c:pt idx="1673">
                  <c:v>338729</c:v>
                </c:pt>
                <c:pt idx="1674">
                  <c:v>490</c:v>
                </c:pt>
                <c:pt idx="1675">
                  <c:v>958093612</c:v>
                </c:pt>
                <c:pt idx="1676">
                  <c:v>8241</c:v>
                </c:pt>
                <c:pt idx="1677">
                  <c:v>77</c:v>
                </c:pt>
                <c:pt idx="1678">
                  <c:v>0</c:v>
                </c:pt>
                <c:pt idx="1679">
                  <c:v>1870</c:v>
                </c:pt>
                <c:pt idx="1680">
                  <c:v>3354</c:v>
                </c:pt>
                <c:pt idx="1681">
                  <c:v>1868</c:v>
                </c:pt>
                <c:pt idx="1682">
                  <c:v>1871</c:v>
                </c:pt>
                <c:pt idx="1683">
                  <c:v>17613</c:v>
                </c:pt>
                <c:pt idx="1684">
                  <c:v>349324</c:v>
                </c:pt>
                <c:pt idx="1685">
                  <c:v>0</c:v>
                </c:pt>
                <c:pt idx="1686">
                  <c:v>4554</c:v>
                </c:pt>
                <c:pt idx="1687">
                  <c:v>4555</c:v>
                </c:pt>
                <c:pt idx="1688">
                  <c:v>335298</c:v>
                </c:pt>
                <c:pt idx="1689">
                  <c:v>546191</c:v>
                </c:pt>
                <c:pt idx="1690">
                  <c:v>804</c:v>
                </c:pt>
                <c:pt idx="1691">
                  <c:v>12813</c:v>
                </c:pt>
                <c:pt idx="1692">
                  <c:v>940</c:v>
                </c:pt>
                <c:pt idx="1693">
                  <c:v>0</c:v>
                </c:pt>
                <c:pt idx="1694">
                  <c:v>9041</c:v>
                </c:pt>
                <c:pt idx="1697">
                  <c:v>0</c:v>
                </c:pt>
                <c:pt idx="1698">
                  <c:v>2610000000004</c:v>
                </c:pt>
                <c:pt idx="1699">
                  <c:v>12820</c:v>
                </c:pt>
                <c:pt idx="1700">
                  <c:v>13834</c:v>
                </c:pt>
                <c:pt idx="1701">
                  <c:v>276</c:v>
                </c:pt>
                <c:pt idx="1702">
                  <c:v>13835</c:v>
                </c:pt>
                <c:pt idx="1703">
                  <c:v>0</c:v>
                </c:pt>
                <c:pt idx="1704">
                  <c:v>939</c:v>
                </c:pt>
                <c:pt idx="1705">
                  <c:v>294</c:v>
                </c:pt>
                <c:pt idx="1706">
                  <c:v>1043</c:v>
                </c:pt>
                <c:pt idx="1707">
                  <c:v>2889988</c:v>
                </c:pt>
                <c:pt idx="1708">
                  <c:v>0</c:v>
                </c:pt>
                <c:pt idx="1709">
                  <c:v>0</c:v>
                </c:pt>
                <c:pt idx="1710">
                  <c:v>4551</c:v>
                </c:pt>
                <c:pt idx="1711">
                  <c:v>171</c:v>
                </c:pt>
                <c:pt idx="1712">
                  <c:v>13836</c:v>
                </c:pt>
                <c:pt idx="1713">
                  <c:v>347195</c:v>
                </c:pt>
                <c:pt idx="1714">
                  <c:v>0</c:v>
                </c:pt>
                <c:pt idx="1715">
                  <c:v>0</c:v>
                </c:pt>
                <c:pt idx="1716">
                  <c:v>5633</c:v>
                </c:pt>
                <c:pt idx="1717">
                  <c:v>2890020</c:v>
                </c:pt>
                <c:pt idx="1718">
                  <c:v>2890019</c:v>
                </c:pt>
                <c:pt idx="1719">
                  <c:v>2890681</c:v>
                </c:pt>
                <c:pt idx="1720">
                  <c:v>2890016</c:v>
                </c:pt>
                <c:pt idx="1721">
                  <c:v>2890017</c:v>
                </c:pt>
                <c:pt idx="1722">
                  <c:v>1869</c:v>
                </c:pt>
                <c:pt idx="1723">
                  <c:v>0</c:v>
                </c:pt>
                <c:pt idx="1724">
                  <c:v>3355</c:v>
                </c:pt>
                <c:pt idx="1725">
                  <c:v>3357</c:v>
                </c:pt>
                <c:pt idx="1726">
                  <c:v>227</c:v>
                </c:pt>
                <c:pt idx="1727">
                  <c:v>3356</c:v>
                </c:pt>
                <c:pt idx="1728">
                  <c:v>982</c:v>
                </c:pt>
                <c:pt idx="1729">
                  <c:v>75</c:v>
                </c:pt>
                <c:pt idx="1730">
                  <c:v>108</c:v>
                </c:pt>
                <c:pt idx="1731">
                  <c:v>0</c:v>
                </c:pt>
                <c:pt idx="1732">
                  <c:v>11602</c:v>
                </c:pt>
                <c:pt idx="1733">
                  <c:v>367616</c:v>
                </c:pt>
                <c:pt idx="1734">
                  <c:v>91</c:v>
                </c:pt>
                <c:pt idx="1735">
                  <c:v>50</c:v>
                </c:pt>
                <c:pt idx="1736">
                  <c:v>4558</c:v>
                </c:pt>
                <c:pt idx="1737">
                  <c:v>226</c:v>
                </c:pt>
                <c:pt idx="1738">
                  <c:v>0</c:v>
                </c:pt>
                <c:pt idx="1739">
                  <c:v>5011</c:v>
                </c:pt>
                <c:pt idx="1740">
                  <c:v>1097</c:v>
                </c:pt>
                <c:pt idx="1741">
                  <c:v>463</c:v>
                </c:pt>
                <c:pt idx="1742">
                  <c:v>10006</c:v>
                </c:pt>
                <c:pt idx="1743">
                  <c:v>18540</c:v>
                </c:pt>
                <c:pt idx="1744">
                  <c:v>183187</c:v>
                </c:pt>
                <c:pt idx="1745">
                  <c:v>181944</c:v>
                </c:pt>
                <c:pt idx="1746">
                  <c:v>464</c:v>
                </c:pt>
                <c:pt idx="1747">
                  <c:v>2889985</c:v>
                </c:pt>
                <c:pt idx="1748">
                  <c:v>206</c:v>
                </c:pt>
                <c:pt idx="1749">
                  <c:v>0</c:v>
                </c:pt>
                <c:pt idx="1750">
                  <c:v>4557</c:v>
                </c:pt>
                <c:pt idx="1751">
                  <c:v>182573</c:v>
                </c:pt>
                <c:pt idx="1752">
                  <c:v>0</c:v>
                </c:pt>
                <c:pt idx="1753">
                  <c:v>0</c:v>
                </c:pt>
                <c:pt idx="1754">
                  <c:v>12817</c:v>
                </c:pt>
                <c:pt idx="1755">
                  <c:v>12817</c:v>
                </c:pt>
                <c:pt idx="1756">
                  <c:v>12817</c:v>
                </c:pt>
                <c:pt idx="1757">
                  <c:v>12817</c:v>
                </c:pt>
                <c:pt idx="1758">
                  <c:v>2139656</c:v>
                </c:pt>
                <c:pt idx="1759">
                  <c:v>0</c:v>
                </c:pt>
                <c:pt idx="1760">
                  <c:v>477</c:v>
                </c:pt>
                <c:pt idx="1761">
                  <c:v>7900</c:v>
                </c:pt>
                <c:pt idx="1762">
                  <c:v>288880</c:v>
                </c:pt>
                <c:pt idx="1763">
                  <c:v>0</c:v>
                </c:pt>
                <c:pt idx="1764">
                  <c:v>68950</c:v>
                </c:pt>
                <c:pt idx="1765">
                  <c:v>229</c:v>
                </c:pt>
                <c:pt idx="1766">
                  <c:v>230</c:v>
                </c:pt>
                <c:pt idx="1767">
                  <c:v>194953</c:v>
                </c:pt>
                <c:pt idx="1768">
                  <c:v>2515</c:v>
                </c:pt>
                <c:pt idx="1769">
                  <c:v>2516</c:v>
                </c:pt>
                <c:pt idx="1770">
                  <c:v>958104383</c:v>
                </c:pt>
                <c:pt idx="1771">
                  <c:v>958104382</c:v>
                </c:pt>
                <c:pt idx="1772">
                  <c:v>958309213</c:v>
                </c:pt>
                <c:pt idx="1773">
                  <c:v>958309212</c:v>
                </c:pt>
                <c:pt idx="1774">
                  <c:v>194787</c:v>
                </c:pt>
                <c:pt idx="1775">
                  <c:v>1540</c:v>
                </c:pt>
                <c:pt idx="1776">
                  <c:v>0</c:v>
                </c:pt>
                <c:pt idx="1777">
                  <c:v>958104422</c:v>
                </c:pt>
                <c:pt idx="1778">
                  <c:v>194813</c:v>
                </c:pt>
                <c:pt idx="1779">
                  <c:v>194717</c:v>
                </c:pt>
                <c:pt idx="1780">
                  <c:v>194617</c:v>
                </c:pt>
                <c:pt idx="1781">
                  <c:v>194737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37043</c:v>
                </c:pt>
                <c:pt idx="1787">
                  <c:v>0</c:v>
                </c:pt>
                <c:pt idx="1788">
                  <c:v>374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2866</c:v>
                </c:pt>
                <c:pt idx="1793">
                  <c:v>80</c:v>
                </c:pt>
                <c:pt idx="1794">
                  <c:v>0</c:v>
                </c:pt>
                <c:pt idx="1795">
                  <c:v>426</c:v>
                </c:pt>
                <c:pt idx="1796">
                  <c:v>33261</c:v>
                </c:pt>
                <c:pt idx="1797">
                  <c:v>0</c:v>
                </c:pt>
                <c:pt idx="1798">
                  <c:v>333</c:v>
                </c:pt>
                <c:pt idx="1799">
                  <c:v>182082</c:v>
                </c:pt>
                <c:pt idx="1800">
                  <c:v>0</c:v>
                </c:pt>
                <c:pt idx="1801">
                  <c:v>1874626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43506</c:v>
                </c:pt>
                <c:pt idx="1806">
                  <c:v>0</c:v>
                </c:pt>
                <c:pt idx="1807">
                  <c:v>2661</c:v>
                </c:pt>
                <c:pt idx="1808">
                  <c:v>21216</c:v>
                </c:pt>
                <c:pt idx="1809">
                  <c:v>21207</c:v>
                </c:pt>
                <c:pt idx="1810">
                  <c:v>0</c:v>
                </c:pt>
                <c:pt idx="1811">
                  <c:v>1520613</c:v>
                </c:pt>
                <c:pt idx="1812">
                  <c:v>1520612</c:v>
                </c:pt>
                <c:pt idx="1813">
                  <c:v>0</c:v>
                </c:pt>
                <c:pt idx="1814">
                  <c:v>120</c:v>
                </c:pt>
                <c:pt idx="1815">
                  <c:v>600</c:v>
                </c:pt>
                <c:pt idx="1816">
                  <c:v>603</c:v>
                </c:pt>
                <c:pt idx="1817">
                  <c:v>597</c:v>
                </c:pt>
                <c:pt idx="1818">
                  <c:v>602</c:v>
                </c:pt>
                <c:pt idx="1819">
                  <c:v>43369</c:v>
                </c:pt>
                <c:pt idx="1820">
                  <c:v>601</c:v>
                </c:pt>
                <c:pt idx="1821">
                  <c:v>0</c:v>
                </c:pt>
                <c:pt idx="1822">
                  <c:v>1287</c:v>
                </c:pt>
                <c:pt idx="1823">
                  <c:v>5835</c:v>
                </c:pt>
                <c:pt idx="1824">
                  <c:v>604</c:v>
                </c:pt>
                <c:pt idx="1825">
                  <c:v>599</c:v>
                </c:pt>
                <c:pt idx="1826">
                  <c:v>2087</c:v>
                </c:pt>
                <c:pt idx="1827">
                  <c:v>199551</c:v>
                </c:pt>
                <c:pt idx="1828">
                  <c:v>0</c:v>
                </c:pt>
                <c:pt idx="1829">
                  <c:v>6118</c:v>
                </c:pt>
                <c:pt idx="1830">
                  <c:v>70</c:v>
                </c:pt>
                <c:pt idx="1831">
                  <c:v>71</c:v>
                </c:pt>
                <c:pt idx="1832">
                  <c:v>75</c:v>
                </c:pt>
                <c:pt idx="1833">
                  <c:v>74</c:v>
                </c:pt>
                <c:pt idx="1834">
                  <c:v>76</c:v>
                </c:pt>
                <c:pt idx="1835">
                  <c:v>73</c:v>
                </c:pt>
                <c:pt idx="1836">
                  <c:v>201944</c:v>
                </c:pt>
                <c:pt idx="1837">
                  <c:v>2086</c:v>
                </c:pt>
                <c:pt idx="1838">
                  <c:v>199553</c:v>
                </c:pt>
                <c:pt idx="1839">
                  <c:v>36777</c:v>
                </c:pt>
                <c:pt idx="1840">
                  <c:v>7946</c:v>
                </c:pt>
                <c:pt idx="1841">
                  <c:v>7954</c:v>
                </c:pt>
                <c:pt idx="1842">
                  <c:v>7955</c:v>
                </c:pt>
                <c:pt idx="1843">
                  <c:v>6119</c:v>
                </c:pt>
                <c:pt idx="1844">
                  <c:v>1520539</c:v>
                </c:pt>
                <c:pt idx="1845">
                  <c:v>1873</c:v>
                </c:pt>
                <c:pt idx="1846">
                  <c:v>3359</c:v>
                </c:pt>
                <c:pt idx="1847">
                  <c:v>4401</c:v>
                </c:pt>
                <c:pt idx="1848">
                  <c:v>9958</c:v>
                </c:pt>
                <c:pt idx="1849">
                  <c:v>2070</c:v>
                </c:pt>
                <c:pt idx="1850">
                  <c:v>1873</c:v>
                </c:pt>
                <c:pt idx="1851">
                  <c:v>0</c:v>
                </c:pt>
                <c:pt idx="1852">
                  <c:v>3359</c:v>
                </c:pt>
                <c:pt idx="1853">
                  <c:v>246199</c:v>
                </c:pt>
                <c:pt idx="1854">
                  <c:v>1923</c:v>
                </c:pt>
                <c:pt idx="1855">
                  <c:v>4438</c:v>
                </c:pt>
                <c:pt idx="1856">
                  <c:v>247178</c:v>
                </c:pt>
                <c:pt idx="1857">
                  <c:v>139</c:v>
                </c:pt>
                <c:pt idx="1858">
                  <c:v>2890023</c:v>
                </c:pt>
                <c:pt idx="1859">
                  <c:v>2890025</c:v>
                </c:pt>
                <c:pt idx="1860">
                  <c:v>2891639</c:v>
                </c:pt>
                <c:pt idx="1861">
                  <c:v>2890022</c:v>
                </c:pt>
                <c:pt idx="1862">
                  <c:v>2890021</c:v>
                </c:pt>
                <c:pt idx="1863">
                  <c:v>1929</c:v>
                </c:pt>
                <c:pt idx="1864">
                  <c:v>1875</c:v>
                </c:pt>
                <c:pt idx="1865">
                  <c:v>201945</c:v>
                </c:pt>
                <c:pt idx="1866">
                  <c:v>12</c:v>
                </c:pt>
                <c:pt idx="1867">
                  <c:v>1875</c:v>
                </c:pt>
                <c:pt idx="1868">
                  <c:v>2891637</c:v>
                </c:pt>
                <c:pt idx="1869">
                  <c:v>2890024</c:v>
                </c:pt>
                <c:pt idx="1870">
                  <c:v>2890027</c:v>
                </c:pt>
                <c:pt idx="1871">
                  <c:v>2891638</c:v>
                </c:pt>
                <c:pt idx="1872">
                  <c:v>2891636</c:v>
                </c:pt>
                <c:pt idx="1873">
                  <c:v>2891234</c:v>
                </c:pt>
                <c:pt idx="1874">
                  <c:v>2890026</c:v>
                </c:pt>
                <c:pt idx="1875">
                  <c:v>234503</c:v>
                </c:pt>
                <c:pt idx="1876">
                  <c:v>194762</c:v>
                </c:pt>
                <c:pt idx="1877">
                  <c:v>2669</c:v>
                </c:pt>
                <c:pt idx="1878">
                  <c:v>2559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140</c:v>
                </c:pt>
                <c:pt idx="1883">
                  <c:v>0</c:v>
                </c:pt>
                <c:pt idx="1884">
                  <c:v>16111109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19489</c:v>
                </c:pt>
                <c:pt idx="1889">
                  <c:v>0</c:v>
                </c:pt>
                <c:pt idx="1890">
                  <c:v>343919</c:v>
                </c:pt>
                <c:pt idx="1891">
                  <c:v>195565</c:v>
                </c:pt>
                <c:pt idx="1892">
                  <c:v>1520442</c:v>
                </c:pt>
                <c:pt idx="1893">
                  <c:v>195138</c:v>
                </c:pt>
                <c:pt idx="1894">
                  <c:v>194213</c:v>
                </c:pt>
                <c:pt idx="1895">
                  <c:v>194254</c:v>
                </c:pt>
                <c:pt idx="1896">
                  <c:v>289904</c:v>
                </c:pt>
                <c:pt idx="1897">
                  <c:v>2674</c:v>
                </c:pt>
                <c:pt idx="1898">
                  <c:v>194250</c:v>
                </c:pt>
                <c:pt idx="1899">
                  <c:v>195017</c:v>
                </c:pt>
                <c:pt idx="1900">
                  <c:v>2675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D3-4085-A09B-B89DD00D11D6}"/>
            </c:ext>
          </c:extLst>
        </c:ser>
        <c:ser>
          <c:idx val="8"/>
          <c:order val="8"/>
          <c:tx>
            <c:strRef>
              <c:f>'INVENTÁRIO 2026'!$I$2</c:f>
              <c:strCache>
                <c:ptCount val="1"/>
                <c:pt idx="0">
                  <c:v>FONTE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2026'!$I$3:$I$11861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16000000</c:v>
                </c:pt>
                <c:pt idx="6">
                  <c:v>15010000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15000000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16000000</c:v>
                </c:pt>
                <c:pt idx="16">
                  <c:v>15001002</c:v>
                </c:pt>
                <c:pt idx="17">
                  <c:v>15001002</c:v>
                </c:pt>
                <c:pt idx="18">
                  <c:v>16000000</c:v>
                </c:pt>
                <c:pt idx="19">
                  <c:v>15001002</c:v>
                </c:pt>
                <c:pt idx="20">
                  <c:v>16000000</c:v>
                </c:pt>
                <c:pt idx="21">
                  <c:v>15001002</c:v>
                </c:pt>
                <c:pt idx="22">
                  <c:v>16000000</c:v>
                </c:pt>
                <c:pt idx="23">
                  <c:v>15001002</c:v>
                </c:pt>
                <c:pt idx="24">
                  <c:v>15001002</c:v>
                </c:pt>
                <c:pt idx="25">
                  <c:v>15001002</c:v>
                </c:pt>
                <c:pt idx="26">
                  <c:v>15001002</c:v>
                </c:pt>
                <c:pt idx="27">
                  <c:v>15001002</c:v>
                </c:pt>
                <c:pt idx="28">
                  <c:v>15001002</c:v>
                </c:pt>
                <c:pt idx="29">
                  <c:v>15001002</c:v>
                </c:pt>
                <c:pt idx="30">
                  <c:v>15001002</c:v>
                </c:pt>
                <c:pt idx="31">
                  <c:v>15001002</c:v>
                </c:pt>
                <c:pt idx="32">
                  <c:v>15001002</c:v>
                </c:pt>
                <c:pt idx="33">
                  <c:v>15001002</c:v>
                </c:pt>
                <c:pt idx="34">
                  <c:v>16000000</c:v>
                </c:pt>
                <c:pt idx="35">
                  <c:v>16000000</c:v>
                </c:pt>
                <c:pt idx="36">
                  <c:v>16000000</c:v>
                </c:pt>
                <c:pt idx="37">
                  <c:v>15001002</c:v>
                </c:pt>
                <c:pt idx="38">
                  <c:v>15001002</c:v>
                </c:pt>
                <c:pt idx="39">
                  <c:v>15001002</c:v>
                </c:pt>
                <c:pt idx="40">
                  <c:v>15001002</c:v>
                </c:pt>
                <c:pt idx="41">
                  <c:v>15001002</c:v>
                </c:pt>
                <c:pt idx="42">
                  <c:v>15001002</c:v>
                </c:pt>
                <c:pt idx="43">
                  <c:v>16000000</c:v>
                </c:pt>
                <c:pt idx="44">
                  <c:v>15001002</c:v>
                </c:pt>
                <c:pt idx="45">
                  <c:v>0</c:v>
                </c:pt>
                <c:pt idx="46">
                  <c:v>16000000</c:v>
                </c:pt>
                <c:pt idx="47">
                  <c:v>16000000</c:v>
                </c:pt>
                <c:pt idx="48">
                  <c:v>16000000</c:v>
                </c:pt>
                <c:pt idx="49">
                  <c:v>16000000</c:v>
                </c:pt>
                <c:pt idx="50">
                  <c:v>16000000</c:v>
                </c:pt>
                <c:pt idx="51">
                  <c:v>16000000</c:v>
                </c:pt>
                <c:pt idx="52">
                  <c:v>16000000</c:v>
                </c:pt>
                <c:pt idx="53">
                  <c:v>15001002</c:v>
                </c:pt>
                <c:pt idx="54">
                  <c:v>16000000</c:v>
                </c:pt>
                <c:pt idx="55">
                  <c:v>16000000</c:v>
                </c:pt>
                <c:pt idx="56">
                  <c:v>16000000</c:v>
                </c:pt>
                <c:pt idx="57">
                  <c:v>0</c:v>
                </c:pt>
                <c:pt idx="58">
                  <c:v>15001002</c:v>
                </c:pt>
                <c:pt idx="59">
                  <c:v>0</c:v>
                </c:pt>
                <c:pt idx="60">
                  <c:v>15000000</c:v>
                </c:pt>
                <c:pt idx="61">
                  <c:v>0</c:v>
                </c:pt>
                <c:pt idx="62">
                  <c:v>15001002</c:v>
                </c:pt>
                <c:pt idx="63">
                  <c:v>15001002</c:v>
                </c:pt>
                <c:pt idx="64">
                  <c:v>0</c:v>
                </c:pt>
                <c:pt idx="65">
                  <c:v>0</c:v>
                </c:pt>
                <c:pt idx="66">
                  <c:v>15001002</c:v>
                </c:pt>
                <c:pt idx="67">
                  <c:v>15001002</c:v>
                </c:pt>
                <c:pt idx="68">
                  <c:v>16000000</c:v>
                </c:pt>
                <c:pt idx="69">
                  <c:v>15010000</c:v>
                </c:pt>
                <c:pt idx="70">
                  <c:v>0</c:v>
                </c:pt>
                <c:pt idx="71">
                  <c:v>0</c:v>
                </c:pt>
                <c:pt idx="72">
                  <c:v>15001002</c:v>
                </c:pt>
                <c:pt idx="73">
                  <c:v>15001002</c:v>
                </c:pt>
                <c:pt idx="74">
                  <c:v>15001002</c:v>
                </c:pt>
                <c:pt idx="75">
                  <c:v>15001002</c:v>
                </c:pt>
                <c:pt idx="76">
                  <c:v>26010000</c:v>
                </c:pt>
                <c:pt idx="77">
                  <c:v>16000000</c:v>
                </c:pt>
                <c:pt idx="78">
                  <c:v>15001002</c:v>
                </c:pt>
                <c:pt idx="79">
                  <c:v>16003110</c:v>
                </c:pt>
                <c:pt idx="80">
                  <c:v>16000000</c:v>
                </c:pt>
                <c:pt idx="81">
                  <c:v>16000000</c:v>
                </c:pt>
                <c:pt idx="82">
                  <c:v>16210000</c:v>
                </c:pt>
                <c:pt idx="83">
                  <c:v>16000000</c:v>
                </c:pt>
                <c:pt idx="84">
                  <c:v>16003110</c:v>
                </c:pt>
                <c:pt idx="85">
                  <c:v>16000000</c:v>
                </c:pt>
                <c:pt idx="86">
                  <c:v>16000000</c:v>
                </c:pt>
                <c:pt idx="87">
                  <c:v>16210000</c:v>
                </c:pt>
                <c:pt idx="88">
                  <c:v>15001002</c:v>
                </c:pt>
                <c:pt idx="89">
                  <c:v>15001002</c:v>
                </c:pt>
                <c:pt idx="90">
                  <c:v>15001002</c:v>
                </c:pt>
                <c:pt idx="91">
                  <c:v>16210000</c:v>
                </c:pt>
                <c:pt idx="92">
                  <c:v>16000000</c:v>
                </c:pt>
                <c:pt idx="93">
                  <c:v>16210000</c:v>
                </c:pt>
                <c:pt idx="94">
                  <c:v>16210000</c:v>
                </c:pt>
                <c:pt idx="95">
                  <c:v>16000000</c:v>
                </c:pt>
                <c:pt idx="96">
                  <c:v>16000000</c:v>
                </c:pt>
                <c:pt idx="97">
                  <c:v>16000000</c:v>
                </c:pt>
                <c:pt idx="98">
                  <c:v>16000000</c:v>
                </c:pt>
                <c:pt idx="99">
                  <c:v>15001002</c:v>
                </c:pt>
                <c:pt idx="100">
                  <c:v>16000000</c:v>
                </c:pt>
                <c:pt idx="101">
                  <c:v>16210000</c:v>
                </c:pt>
                <c:pt idx="102">
                  <c:v>16000000</c:v>
                </c:pt>
                <c:pt idx="103">
                  <c:v>16210000</c:v>
                </c:pt>
                <c:pt idx="104">
                  <c:v>15001002</c:v>
                </c:pt>
                <c:pt idx="105">
                  <c:v>26010000</c:v>
                </c:pt>
                <c:pt idx="106">
                  <c:v>16000000</c:v>
                </c:pt>
                <c:pt idx="107">
                  <c:v>16000000</c:v>
                </c:pt>
                <c:pt idx="108">
                  <c:v>16000000</c:v>
                </c:pt>
                <c:pt idx="109">
                  <c:v>16210000</c:v>
                </c:pt>
                <c:pt idx="110">
                  <c:v>16000000</c:v>
                </c:pt>
                <c:pt idx="111">
                  <c:v>16210000</c:v>
                </c:pt>
                <c:pt idx="112">
                  <c:v>16210000</c:v>
                </c:pt>
                <c:pt idx="113">
                  <c:v>16000000</c:v>
                </c:pt>
                <c:pt idx="114">
                  <c:v>16000000</c:v>
                </c:pt>
                <c:pt idx="115">
                  <c:v>16000000</c:v>
                </c:pt>
                <c:pt idx="116">
                  <c:v>16210000</c:v>
                </c:pt>
                <c:pt idx="117">
                  <c:v>16210000</c:v>
                </c:pt>
                <c:pt idx="118">
                  <c:v>16210000</c:v>
                </c:pt>
                <c:pt idx="119">
                  <c:v>16210000</c:v>
                </c:pt>
                <c:pt idx="120">
                  <c:v>26010000</c:v>
                </c:pt>
                <c:pt idx="121">
                  <c:v>16000000</c:v>
                </c:pt>
                <c:pt idx="122">
                  <c:v>16000000</c:v>
                </c:pt>
                <c:pt idx="123">
                  <c:v>16590000</c:v>
                </c:pt>
                <c:pt idx="124">
                  <c:v>16000000</c:v>
                </c:pt>
                <c:pt idx="125">
                  <c:v>16000000</c:v>
                </c:pt>
                <c:pt idx="126">
                  <c:v>16000000</c:v>
                </c:pt>
                <c:pt idx="127">
                  <c:v>16000000</c:v>
                </c:pt>
                <c:pt idx="128">
                  <c:v>16210000</c:v>
                </c:pt>
                <c:pt idx="129">
                  <c:v>16210000</c:v>
                </c:pt>
                <c:pt idx="130">
                  <c:v>16210000</c:v>
                </c:pt>
                <c:pt idx="131">
                  <c:v>16210000</c:v>
                </c:pt>
                <c:pt idx="132">
                  <c:v>16000000</c:v>
                </c:pt>
                <c:pt idx="133">
                  <c:v>16210000</c:v>
                </c:pt>
                <c:pt idx="134">
                  <c:v>16000000</c:v>
                </c:pt>
                <c:pt idx="135">
                  <c:v>16590000</c:v>
                </c:pt>
                <c:pt idx="136">
                  <c:v>15001002</c:v>
                </c:pt>
                <c:pt idx="137">
                  <c:v>16000000</c:v>
                </c:pt>
                <c:pt idx="138">
                  <c:v>15001002</c:v>
                </c:pt>
                <c:pt idx="139">
                  <c:v>26010000</c:v>
                </c:pt>
                <c:pt idx="140">
                  <c:v>26010000</c:v>
                </c:pt>
                <c:pt idx="141">
                  <c:v>16000000</c:v>
                </c:pt>
                <c:pt idx="142">
                  <c:v>16000000</c:v>
                </c:pt>
                <c:pt idx="143">
                  <c:v>16210000</c:v>
                </c:pt>
                <c:pt idx="144">
                  <c:v>15001002</c:v>
                </c:pt>
                <c:pt idx="145">
                  <c:v>16000000</c:v>
                </c:pt>
                <c:pt idx="146">
                  <c:v>16000000</c:v>
                </c:pt>
                <c:pt idx="147">
                  <c:v>16000000</c:v>
                </c:pt>
                <c:pt idx="148">
                  <c:v>25010000</c:v>
                </c:pt>
                <c:pt idx="149">
                  <c:v>15001002</c:v>
                </c:pt>
                <c:pt idx="150">
                  <c:v>15001002</c:v>
                </c:pt>
                <c:pt idx="151">
                  <c:v>15001002</c:v>
                </c:pt>
                <c:pt idx="152">
                  <c:v>15001002</c:v>
                </c:pt>
                <c:pt idx="153">
                  <c:v>0</c:v>
                </c:pt>
                <c:pt idx="154">
                  <c:v>160000000</c:v>
                </c:pt>
                <c:pt idx="155">
                  <c:v>0</c:v>
                </c:pt>
                <c:pt idx="156">
                  <c:v>0</c:v>
                </c:pt>
                <c:pt idx="157">
                  <c:v>16000000</c:v>
                </c:pt>
                <c:pt idx="158">
                  <c:v>15010000</c:v>
                </c:pt>
                <c:pt idx="159">
                  <c:v>16000000</c:v>
                </c:pt>
                <c:pt idx="160">
                  <c:v>16000000</c:v>
                </c:pt>
                <c:pt idx="161">
                  <c:v>15001002</c:v>
                </c:pt>
                <c:pt idx="162">
                  <c:v>15001002</c:v>
                </c:pt>
                <c:pt idx="163">
                  <c:v>15001002</c:v>
                </c:pt>
                <c:pt idx="164">
                  <c:v>15001002</c:v>
                </c:pt>
                <c:pt idx="165">
                  <c:v>16000000</c:v>
                </c:pt>
                <c:pt idx="166">
                  <c:v>16000000</c:v>
                </c:pt>
                <c:pt idx="167">
                  <c:v>16000000</c:v>
                </c:pt>
                <c:pt idx="168">
                  <c:v>16000000</c:v>
                </c:pt>
                <c:pt idx="169">
                  <c:v>16000000</c:v>
                </c:pt>
                <c:pt idx="170">
                  <c:v>15000000</c:v>
                </c:pt>
                <c:pt idx="171">
                  <c:v>0</c:v>
                </c:pt>
                <c:pt idx="172">
                  <c:v>15001002</c:v>
                </c:pt>
                <c:pt idx="173">
                  <c:v>16000000</c:v>
                </c:pt>
                <c:pt idx="174">
                  <c:v>16000000</c:v>
                </c:pt>
                <c:pt idx="175">
                  <c:v>16003110</c:v>
                </c:pt>
                <c:pt idx="176">
                  <c:v>16000000</c:v>
                </c:pt>
                <c:pt idx="177">
                  <c:v>16210000</c:v>
                </c:pt>
                <c:pt idx="178">
                  <c:v>26010000</c:v>
                </c:pt>
                <c:pt idx="179">
                  <c:v>0</c:v>
                </c:pt>
                <c:pt idx="180">
                  <c:v>15000000</c:v>
                </c:pt>
                <c:pt idx="181">
                  <c:v>15000000</c:v>
                </c:pt>
                <c:pt idx="182">
                  <c:v>15000000</c:v>
                </c:pt>
                <c:pt idx="183">
                  <c:v>15000000</c:v>
                </c:pt>
                <c:pt idx="184">
                  <c:v>15000000</c:v>
                </c:pt>
                <c:pt idx="185">
                  <c:v>0</c:v>
                </c:pt>
                <c:pt idx="186">
                  <c:v>15001002</c:v>
                </c:pt>
                <c:pt idx="187">
                  <c:v>17510000</c:v>
                </c:pt>
                <c:pt idx="188">
                  <c:v>15000000</c:v>
                </c:pt>
                <c:pt idx="189">
                  <c:v>15000000</c:v>
                </c:pt>
                <c:pt idx="190">
                  <c:v>15000000</c:v>
                </c:pt>
                <c:pt idx="191">
                  <c:v>15000000</c:v>
                </c:pt>
                <c:pt idx="192">
                  <c:v>17080000</c:v>
                </c:pt>
                <c:pt idx="193">
                  <c:v>15000000</c:v>
                </c:pt>
                <c:pt idx="194">
                  <c:v>15010000</c:v>
                </c:pt>
                <c:pt idx="195">
                  <c:v>15000000</c:v>
                </c:pt>
                <c:pt idx="196">
                  <c:v>15000000</c:v>
                </c:pt>
                <c:pt idx="197">
                  <c:v>15000000</c:v>
                </c:pt>
                <c:pt idx="198">
                  <c:v>15000000</c:v>
                </c:pt>
                <c:pt idx="199">
                  <c:v>15000000</c:v>
                </c:pt>
                <c:pt idx="200">
                  <c:v>15000000</c:v>
                </c:pt>
                <c:pt idx="201">
                  <c:v>0</c:v>
                </c:pt>
                <c:pt idx="202">
                  <c:v>15000000</c:v>
                </c:pt>
                <c:pt idx="203">
                  <c:v>15000000</c:v>
                </c:pt>
                <c:pt idx="204">
                  <c:v>15000000</c:v>
                </c:pt>
                <c:pt idx="205">
                  <c:v>16600000</c:v>
                </c:pt>
                <c:pt idx="206">
                  <c:v>26610000</c:v>
                </c:pt>
                <c:pt idx="207">
                  <c:v>15000000</c:v>
                </c:pt>
                <c:pt idx="208">
                  <c:v>16600000</c:v>
                </c:pt>
                <c:pt idx="209">
                  <c:v>16590000</c:v>
                </c:pt>
                <c:pt idx="210">
                  <c:v>15000000</c:v>
                </c:pt>
                <c:pt idx="211">
                  <c:v>15000000</c:v>
                </c:pt>
                <c:pt idx="212">
                  <c:v>15000000</c:v>
                </c:pt>
                <c:pt idx="213">
                  <c:v>15001002</c:v>
                </c:pt>
                <c:pt idx="214">
                  <c:v>15001002</c:v>
                </c:pt>
                <c:pt idx="215">
                  <c:v>15001002</c:v>
                </c:pt>
                <c:pt idx="216">
                  <c:v>15001002</c:v>
                </c:pt>
                <c:pt idx="217">
                  <c:v>16000000</c:v>
                </c:pt>
                <c:pt idx="218">
                  <c:v>15000000</c:v>
                </c:pt>
                <c:pt idx="219">
                  <c:v>26610000</c:v>
                </c:pt>
                <c:pt idx="220">
                  <c:v>16000000</c:v>
                </c:pt>
                <c:pt idx="221">
                  <c:v>16000000</c:v>
                </c:pt>
                <c:pt idx="222">
                  <c:v>15001002</c:v>
                </c:pt>
                <c:pt idx="223">
                  <c:v>15000000</c:v>
                </c:pt>
                <c:pt idx="224">
                  <c:v>16610000</c:v>
                </c:pt>
                <c:pt idx="225">
                  <c:v>16600000</c:v>
                </c:pt>
                <c:pt idx="226">
                  <c:v>15000000</c:v>
                </c:pt>
                <c:pt idx="227">
                  <c:v>16610000</c:v>
                </c:pt>
                <c:pt idx="228">
                  <c:v>0</c:v>
                </c:pt>
                <c:pt idx="229">
                  <c:v>0</c:v>
                </c:pt>
                <c:pt idx="230">
                  <c:v>17080000</c:v>
                </c:pt>
                <c:pt idx="231">
                  <c:v>15000000</c:v>
                </c:pt>
                <c:pt idx="232">
                  <c:v>15000000</c:v>
                </c:pt>
                <c:pt idx="233">
                  <c:v>15000000</c:v>
                </c:pt>
                <c:pt idx="234">
                  <c:v>15000000</c:v>
                </c:pt>
                <c:pt idx="235">
                  <c:v>15000000</c:v>
                </c:pt>
                <c:pt idx="236">
                  <c:v>15000000</c:v>
                </c:pt>
                <c:pt idx="237">
                  <c:v>15000000</c:v>
                </c:pt>
                <c:pt idx="238">
                  <c:v>15000000</c:v>
                </c:pt>
                <c:pt idx="239">
                  <c:v>15000000</c:v>
                </c:pt>
                <c:pt idx="240">
                  <c:v>15000000</c:v>
                </c:pt>
                <c:pt idx="241">
                  <c:v>16000000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15000000</c:v>
                </c:pt>
                <c:pt idx="246">
                  <c:v>15000000</c:v>
                </c:pt>
                <c:pt idx="247">
                  <c:v>0</c:v>
                </c:pt>
                <c:pt idx="248">
                  <c:v>15000000</c:v>
                </c:pt>
                <c:pt idx="249">
                  <c:v>15000000</c:v>
                </c:pt>
                <c:pt idx="250">
                  <c:v>0</c:v>
                </c:pt>
                <c:pt idx="251">
                  <c:v>15000000</c:v>
                </c:pt>
                <c:pt idx="252">
                  <c:v>0</c:v>
                </c:pt>
                <c:pt idx="253">
                  <c:v>15000000</c:v>
                </c:pt>
                <c:pt idx="254">
                  <c:v>15000000</c:v>
                </c:pt>
                <c:pt idx="255">
                  <c:v>15000000</c:v>
                </c:pt>
                <c:pt idx="256">
                  <c:v>15001002</c:v>
                </c:pt>
                <c:pt idx="257">
                  <c:v>15001001</c:v>
                </c:pt>
                <c:pt idx="258">
                  <c:v>15000000</c:v>
                </c:pt>
                <c:pt idx="259">
                  <c:v>15000000</c:v>
                </c:pt>
                <c:pt idx="260">
                  <c:v>15000000</c:v>
                </c:pt>
                <c:pt idx="261">
                  <c:v>15000000</c:v>
                </c:pt>
                <c:pt idx="262">
                  <c:v>16000000</c:v>
                </c:pt>
                <c:pt idx="263">
                  <c:v>15001002</c:v>
                </c:pt>
                <c:pt idx="264">
                  <c:v>16000000</c:v>
                </c:pt>
                <c:pt idx="265">
                  <c:v>15001002</c:v>
                </c:pt>
                <c:pt idx="266">
                  <c:v>16000000</c:v>
                </c:pt>
                <c:pt idx="267">
                  <c:v>15001002</c:v>
                </c:pt>
                <c:pt idx="268">
                  <c:v>15000000</c:v>
                </c:pt>
                <c:pt idx="269">
                  <c:v>16610000</c:v>
                </c:pt>
                <c:pt idx="270">
                  <c:v>16610000</c:v>
                </c:pt>
                <c:pt idx="271">
                  <c:v>16610000</c:v>
                </c:pt>
                <c:pt idx="272">
                  <c:v>16610000</c:v>
                </c:pt>
                <c:pt idx="273">
                  <c:v>16600000</c:v>
                </c:pt>
                <c:pt idx="274">
                  <c:v>0</c:v>
                </c:pt>
                <c:pt idx="275">
                  <c:v>0</c:v>
                </c:pt>
                <c:pt idx="276">
                  <c:v>15001002</c:v>
                </c:pt>
                <c:pt idx="277">
                  <c:v>15001002</c:v>
                </c:pt>
                <c:pt idx="278">
                  <c:v>0</c:v>
                </c:pt>
                <c:pt idx="279">
                  <c:v>15001002</c:v>
                </c:pt>
                <c:pt idx="280">
                  <c:v>15001002</c:v>
                </c:pt>
                <c:pt idx="281">
                  <c:v>16000000</c:v>
                </c:pt>
                <c:pt idx="282">
                  <c:v>16000000</c:v>
                </c:pt>
                <c:pt idx="283">
                  <c:v>15000000</c:v>
                </c:pt>
                <c:pt idx="284">
                  <c:v>15010000</c:v>
                </c:pt>
                <c:pt idx="285">
                  <c:v>0</c:v>
                </c:pt>
                <c:pt idx="286">
                  <c:v>15000000</c:v>
                </c:pt>
                <c:pt idx="287">
                  <c:v>16600000</c:v>
                </c:pt>
                <c:pt idx="288">
                  <c:v>16600000</c:v>
                </c:pt>
                <c:pt idx="289">
                  <c:v>16600000</c:v>
                </c:pt>
                <c:pt idx="290">
                  <c:v>16600000</c:v>
                </c:pt>
                <c:pt idx="291">
                  <c:v>15010000</c:v>
                </c:pt>
                <c:pt idx="292">
                  <c:v>15000000</c:v>
                </c:pt>
                <c:pt idx="293">
                  <c:v>15010000</c:v>
                </c:pt>
                <c:pt idx="294">
                  <c:v>15000000</c:v>
                </c:pt>
                <c:pt idx="295">
                  <c:v>16600000</c:v>
                </c:pt>
                <c:pt idx="296">
                  <c:v>0</c:v>
                </c:pt>
                <c:pt idx="297">
                  <c:v>0</c:v>
                </c:pt>
                <c:pt idx="298">
                  <c:v>15001001</c:v>
                </c:pt>
                <c:pt idx="299">
                  <c:v>15001002</c:v>
                </c:pt>
                <c:pt idx="300">
                  <c:v>16000000</c:v>
                </c:pt>
                <c:pt idx="301">
                  <c:v>26010000</c:v>
                </c:pt>
                <c:pt idx="302">
                  <c:v>15001002</c:v>
                </c:pt>
                <c:pt idx="303">
                  <c:v>17080000</c:v>
                </c:pt>
                <c:pt idx="304">
                  <c:v>15000000</c:v>
                </c:pt>
                <c:pt idx="305">
                  <c:v>16000000</c:v>
                </c:pt>
                <c:pt idx="306">
                  <c:v>15000000</c:v>
                </c:pt>
                <c:pt idx="307">
                  <c:v>15000000</c:v>
                </c:pt>
                <c:pt idx="308">
                  <c:v>15000000</c:v>
                </c:pt>
                <c:pt idx="309">
                  <c:v>15000000</c:v>
                </c:pt>
                <c:pt idx="310">
                  <c:v>15001002</c:v>
                </c:pt>
                <c:pt idx="311">
                  <c:v>15000000</c:v>
                </c:pt>
                <c:pt idx="312">
                  <c:v>16210000</c:v>
                </c:pt>
                <c:pt idx="313">
                  <c:v>15000000</c:v>
                </c:pt>
                <c:pt idx="314">
                  <c:v>15000000</c:v>
                </c:pt>
                <c:pt idx="315">
                  <c:v>16000000</c:v>
                </c:pt>
                <c:pt idx="316">
                  <c:v>15000000</c:v>
                </c:pt>
                <c:pt idx="317">
                  <c:v>0</c:v>
                </c:pt>
                <c:pt idx="318">
                  <c:v>17040000</c:v>
                </c:pt>
                <c:pt idx="319">
                  <c:v>15001001</c:v>
                </c:pt>
                <c:pt idx="320">
                  <c:v>15000000</c:v>
                </c:pt>
                <c:pt idx="321">
                  <c:v>15000000</c:v>
                </c:pt>
                <c:pt idx="322">
                  <c:v>15000000</c:v>
                </c:pt>
                <c:pt idx="323">
                  <c:v>15001001</c:v>
                </c:pt>
                <c:pt idx="324">
                  <c:v>15001001</c:v>
                </c:pt>
                <c:pt idx="325">
                  <c:v>0</c:v>
                </c:pt>
                <c:pt idx="326">
                  <c:v>15001001</c:v>
                </c:pt>
                <c:pt idx="327">
                  <c:v>16210000</c:v>
                </c:pt>
                <c:pt idx="328">
                  <c:v>0</c:v>
                </c:pt>
                <c:pt idx="329">
                  <c:v>15000000</c:v>
                </c:pt>
                <c:pt idx="330">
                  <c:v>16000000</c:v>
                </c:pt>
                <c:pt idx="331">
                  <c:v>15000000</c:v>
                </c:pt>
                <c:pt idx="332">
                  <c:v>16000000</c:v>
                </c:pt>
                <c:pt idx="333">
                  <c:v>16000000</c:v>
                </c:pt>
                <c:pt idx="334">
                  <c:v>15000000</c:v>
                </c:pt>
                <c:pt idx="335">
                  <c:v>0</c:v>
                </c:pt>
                <c:pt idx="336">
                  <c:v>15001002</c:v>
                </c:pt>
                <c:pt idx="337">
                  <c:v>15001002</c:v>
                </c:pt>
                <c:pt idx="338">
                  <c:v>15000000</c:v>
                </c:pt>
                <c:pt idx="339">
                  <c:v>15500000</c:v>
                </c:pt>
                <c:pt idx="340">
                  <c:v>15500000</c:v>
                </c:pt>
                <c:pt idx="341">
                  <c:v>15500000</c:v>
                </c:pt>
                <c:pt idx="342">
                  <c:v>15000000</c:v>
                </c:pt>
                <c:pt idx="343">
                  <c:v>15000000</c:v>
                </c:pt>
                <c:pt idx="344">
                  <c:v>15000000</c:v>
                </c:pt>
                <c:pt idx="345">
                  <c:v>15000000</c:v>
                </c:pt>
                <c:pt idx="346">
                  <c:v>15000000</c:v>
                </c:pt>
                <c:pt idx="347">
                  <c:v>15000000</c:v>
                </c:pt>
                <c:pt idx="348">
                  <c:v>0</c:v>
                </c:pt>
                <c:pt idx="349">
                  <c:v>15000000</c:v>
                </c:pt>
                <c:pt idx="350">
                  <c:v>15000000</c:v>
                </c:pt>
                <c:pt idx="351">
                  <c:v>15000000</c:v>
                </c:pt>
                <c:pt idx="352">
                  <c:v>15010000</c:v>
                </c:pt>
                <c:pt idx="353">
                  <c:v>15000000</c:v>
                </c:pt>
                <c:pt idx="354">
                  <c:v>15000000</c:v>
                </c:pt>
                <c:pt idx="355">
                  <c:v>15001002</c:v>
                </c:pt>
                <c:pt idx="356">
                  <c:v>15001002</c:v>
                </c:pt>
                <c:pt idx="357">
                  <c:v>15001002</c:v>
                </c:pt>
                <c:pt idx="358">
                  <c:v>15001002</c:v>
                </c:pt>
                <c:pt idx="359">
                  <c:v>15001002</c:v>
                </c:pt>
                <c:pt idx="360">
                  <c:v>15001002</c:v>
                </c:pt>
                <c:pt idx="361">
                  <c:v>15000000</c:v>
                </c:pt>
                <c:pt idx="362">
                  <c:v>16610000</c:v>
                </c:pt>
                <c:pt idx="363">
                  <c:v>16600000</c:v>
                </c:pt>
                <c:pt idx="364">
                  <c:v>15000000</c:v>
                </c:pt>
                <c:pt idx="365">
                  <c:v>16000000</c:v>
                </c:pt>
                <c:pt idx="367">
                  <c:v>15010000</c:v>
                </c:pt>
                <c:pt idx="368">
                  <c:v>15000000</c:v>
                </c:pt>
                <c:pt idx="369">
                  <c:v>15000000</c:v>
                </c:pt>
                <c:pt idx="370">
                  <c:v>15001002</c:v>
                </c:pt>
                <c:pt idx="371">
                  <c:v>15000000</c:v>
                </c:pt>
                <c:pt idx="372">
                  <c:v>16000000</c:v>
                </c:pt>
                <c:pt idx="373">
                  <c:v>15001002</c:v>
                </c:pt>
                <c:pt idx="374">
                  <c:v>16000000</c:v>
                </c:pt>
                <c:pt idx="375">
                  <c:v>15001002</c:v>
                </c:pt>
                <c:pt idx="376">
                  <c:v>15001002</c:v>
                </c:pt>
                <c:pt idx="377">
                  <c:v>15001002</c:v>
                </c:pt>
                <c:pt idx="378">
                  <c:v>15001002</c:v>
                </c:pt>
                <c:pt idx="379">
                  <c:v>15001002</c:v>
                </c:pt>
                <c:pt idx="380">
                  <c:v>16000000</c:v>
                </c:pt>
                <c:pt idx="381">
                  <c:v>15001002</c:v>
                </c:pt>
                <c:pt idx="382">
                  <c:v>15001002</c:v>
                </c:pt>
                <c:pt idx="383">
                  <c:v>15001002</c:v>
                </c:pt>
                <c:pt idx="384">
                  <c:v>15001002</c:v>
                </c:pt>
                <c:pt idx="385">
                  <c:v>15001002</c:v>
                </c:pt>
                <c:pt idx="386">
                  <c:v>15001002</c:v>
                </c:pt>
                <c:pt idx="387">
                  <c:v>15001002</c:v>
                </c:pt>
                <c:pt idx="388">
                  <c:v>15001002</c:v>
                </c:pt>
                <c:pt idx="389">
                  <c:v>15001002</c:v>
                </c:pt>
                <c:pt idx="390">
                  <c:v>15001002</c:v>
                </c:pt>
                <c:pt idx="391">
                  <c:v>15001002</c:v>
                </c:pt>
                <c:pt idx="392">
                  <c:v>15001002</c:v>
                </c:pt>
                <c:pt idx="393">
                  <c:v>15001002</c:v>
                </c:pt>
                <c:pt idx="394">
                  <c:v>15001002</c:v>
                </c:pt>
                <c:pt idx="395">
                  <c:v>15001002</c:v>
                </c:pt>
                <c:pt idx="396">
                  <c:v>15001002</c:v>
                </c:pt>
                <c:pt idx="397">
                  <c:v>15001002</c:v>
                </c:pt>
                <c:pt idx="398">
                  <c:v>15001002</c:v>
                </c:pt>
                <c:pt idx="399">
                  <c:v>15000000</c:v>
                </c:pt>
                <c:pt idx="400">
                  <c:v>15000000</c:v>
                </c:pt>
                <c:pt idx="401">
                  <c:v>15000000</c:v>
                </c:pt>
                <c:pt idx="402">
                  <c:v>15001002</c:v>
                </c:pt>
                <c:pt idx="403">
                  <c:v>15000000</c:v>
                </c:pt>
                <c:pt idx="404">
                  <c:v>15001001</c:v>
                </c:pt>
                <c:pt idx="405">
                  <c:v>15400000</c:v>
                </c:pt>
                <c:pt idx="406">
                  <c:v>15000000</c:v>
                </c:pt>
                <c:pt idx="407">
                  <c:v>15001001</c:v>
                </c:pt>
                <c:pt idx="408">
                  <c:v>0</c:v>
                </c:pt>
                <c:pt idx="409">
                  <c:v>15000000</c:v>
                </c:pt>
                <c:pt idx="410">
                  <c:v>16000000</c:v>
                </c:pt>
                <c:pt idx="411">
                  <c:v>15000000</c:v>
                </c:pt>
                <c:pt idx="412">
                  <c:v>16000000</c:v>
                </c:pt>
                <c:pt idx="413">
                  <c:v>15001002</c:v>
                </c:pt>
                <c:pt idx="414">
                  <c:v>0</c:v>
                </c:pt>
                <c:pt idx="415">
                  <c:v>15000000</c:v>
                </c:pt>
                <c:pt idx="416">
                  <c:v>0</c:v>
                </c:pt>
                <c:pt idx="417">
                  <c:v>15000000</c:v>
                </c:pt>
                <c:pt idx="418">
                  <c:v>15001002</c:v>
                </c:pt>
                <c:pt idx="419">
                  <c:v>16000000</c:v>
                </c:pt>
                <c:pt idx="420">
                  <c:v>15001002</c:v>
                </c:pt>
                <c:pt idx="421">
                  <c:v>15000000</c:v>
                </c:pt>
                <c:pt idx="422">
                  <c:v>15000000</c:v>
                </c:pt>
                <c:pt idx="423">
                  <c:v>15001002</c:v>
                </c:pt>
                <c:pt idx="424">
                  <c:v>15001002</c:v>
                </c:pt>
                <c:pt idx="425">
                  <c:v>15001002</c:v>
                </c:pt>
                <c:pt idx="426">
                  <c:v>15001002</c:v>
                </c:pt>
                <c:pt idx="427">
                  <c:v>15001002</c:v>
                </c:pt>
                <c:pt idx="428">
                  <c:v>15001002</c:v>
                </c:pt>
                <c:pt idx="429">
                  <c:v>16000000</c:v>
                </c:pt>
                <c:pt idx="430">
                  <c:v>15001002</c:v>
                </c:pt>
                <c:pt idx="431">
                  <c:v>0</c:v>
                </c:pt>
                <c:pt idx="432">
                  <c:v>15001001</c:v>
                </c:pt>
                <c:pt idx="433">
                  <c:v>15000000</c:v>
                </c:pt>
                <c:pt idx="434">
                  <c:v>15001002</c:v>
                </c:pt>
                <c:pt idx="435">
                  <c:v>15001002</c:v>
                </c:pt>
                <c:pt idx="436">
                  <c:v>15500000</c:v>
                </c:pt>
                <c:pt idx="437">
                  <c:v>15001002</c:v>
                </c:pt>
                <c:pt idx="438">
                  <c:v>0</c:v>
                </c:pt>
                <c:pt idx="439">
                  <c:v>17510000</c:v>
                </c:pt>
                <c:pt idx="440">
                  <c:v>15001002</c:v>
                </c:pt>
                <c:pt idx="441">
                  <c:v>15000000</c:v>
                </c:pt>
                <c:pt idx="442">
                  <c:v>15000000</c:v>
                </c:pt>
                <c:pt idx="443">
                  <c:v>15000000</c:v>
                </c:pt>
                <c:pt idx="444">
                  <c:v>15000000</c:v>
                </c:pt>
                <c:pt idx="445">
                  <c:v>0</c:v>
                </c:pt>
                <c:pt idx="446">
                  <c:v>15001001</c:v>
                </c:pt>
                <c:pt idx="447">
                  <c:v>15000000</c:v>
                </c:pt>
                <c:pt idx="448">
                  <c:v>15000000</c:v>
                </c:pt>
                <c:pt idx="449">
                  <c:v>15000000</c:v>
                </c:pt>
                <c:pt idx="450">
                  <c:v>15000000</c:v>
                </c:pt>
                <c:pt idx="451">
                  <c:v>15000000</c:v>
                </c:pt>
                <c:pt idx="452">
                  <c:v>15000000</c:v>
                </c:pt>
                <c:pt idx="453">
                  <c:v>15000000</c:v>
                </c:pt>
                <c:pt idx="454">
                  <c:v>15000000</c:v>
                </c:pt>
                <c:pt idx="455">
                  <c:v>16000000</c:v>
                </c:pt>
                <c:pt idx="456">
                  <c:v>0</c:v>
                </c:pt>
                <c:pt idx="457">
                  <c:v>15000000</c:v>
                </c:pt>
                <c:pt idx="458">
                  <c:v>15000000</c:v>
                </c:pt>
                <c:pt idx="459">
                  <c:v>15000000</c:v>
                </c:pt>
                <c:pt idx="460">
                  <c:v>15000000</c:v>
                </c:pt>
                <c:pt idx="461">
                  <c:v>15001002</c:v>
                </c:pt>
                <c:pt idx="462">
                  <c:v>15000000</c:v>
                </c:pt>
                <c:pt idx="463">
                  <c:v>15001001</c:v>
                </c:pt>
                <c:pt idx="464">
                  <c:v>15000000</c:v>
                </c:pt>
                <c:pt idx="465">
                  <c:v>15001001</c:v>
                </c:pt>
                <c:pt idx="466">
                  <c:v>15001001</c:v>
                </c:pt>
                <c:pt idx="467">
                  <c:v>15000000</c:v>
                </c:pt>
                <c:pt idx="468">
                  <c:v>15000000</c:v>
                </c:pt>
                <c:pt idx="469">
                  <c:v>15000000</c:v>
                </c:pt>
                <c:pt idx="470">
                  <c:v>15000000</c:v>
                </c:pt>
                <c:pt idx="471">
                  <c:v>16600000</c:v>
                </c:pt>
                <c:pt idx="472">
                  <c:v>16600000</c:v>
                </c:pt>
                <c:pt idx="473">
                  <c:v>16610000</c:v>
                </c:pt>
                <c:pt idx="474">
                  <c:v>15000000</c:v>
                </c:pt>
                <c:pt idx="475">
                  <c:v>16600000</c:v>
                </c:pt>
                <c:pt idx="476">
                  <c:v>15000000</c:v>
                </c:pt>
                <c:pt idx="477">
                  <c:v>15000000</c:v>
                </c:pt>
                <c:pt idx="478">
                  <c:v>15000000</c:v>
                </c:pt>
                <c:pt idx="479">
                  <c:v>15000000</c:v>
                </c:pt>
                <c:pt idx="480">
                  <c:v>15000000</c:v>
                </c:pt>
                <c:pt idx="481">
                  <c:v>16000000</c:v>
                </c:pt>
                <c:pt idx="482">
                  <c:v>15001002</c:v>
                </c:pt>
                <c:pt idx="483">
                  <c:v>15001002</c:v>
                </c:pt>
                <c:pt idx="484">
                  <c:v>15001002</c:v>
                </c:pt>
                <c:pt idx="485">
                  <c:v>15000000</c:v>
                </c:pt>
                <c:pt idx="486">
                  <c:v>15000000</c:v>
                </c:pt>
                <c:pt idx="487">
                  <c:v>15000000</c:v>
                </c:pt>
                <c:pt idx="488">
                  <c:v>15500000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15001001</c:v>
                </c:pt>
                <c:pt idx="495">
                  <c:v>15000000</c:v>
                </c:pt>
                <c:pt idx="496">
                  <c:v>15000000</c:v>
                </c:pt>
                <c:pt idx="497">
                  <c:v>15000000</c:v>
                </c:pt>
                <c:pt idx="498">
                  <c:v>0</c:v>
                </c:pt>
                <c:pt idx="499">
                  <c:v>15000000</c:v>
                </c:pt>
                <c:pt idx="500">
                  <c:v>15001002</c:v>
                </c:pt>
                <c:pt idx="501">
                  <c:v>17080000</c:v>
                </c:pt>
                <c:pt idx="502">
                  <c:v>15000000</c:v>
                </c:pt>
                <c:pt idx="503">
                  <c:v>15500000</c:v>
                </c:pt>
                <c:pt idx="504">
                  <c:v>15000000</c:v>
                </c:pt>
                <c:pt idx="505">
                  <c:v>15000000</c:v>
                </c:pt>
                <c:pt idx="506">
                  <c:v>15001002</c:v>
                </c:pt>
                <c:pt idx="507">
                  <c:v>15001002</c:v>
                </c:pt>
                <c:pt idx="508">
                  <c:v>15001002</c:v>
                </c:pt>
                <c:pt idx="509">
                  <c:v>15000000</c:v>
                </c:pt>
                <c:pt idx="510">
                  <c:v>0</c:v>
                </c:pt>
                <c:pt idx="511">
                  <c:v>15000000</c:v>
                </c:pt>
                <c:pt idx="512">
                  <c:v>16000000</c:v>
                </c:pt>
                <c:pt idx="513">
                  <c:v>16000000</c:v>
                </c:pt>
                <c:pt idx="514">
                  <c:v>15000000</c:v>
                </c:pt>
                <c:pt idx="515">
                  <c:v>16600000</c:v>
                </c:pt>
                <c:pt idx="516">
                  <c:v>16610000</c:v>
                </c:pt>
                <c:pt idx="517">
                  <c:v>15010000</c:v>
                </c:pt>
                <c:pt idx="518">
                  <c:v>16600000</c:v>
                </c:pt>
                <c:pt idx="519">
                  <c:v>15000000</c:v>
                </c:pt>
                <c:pt idx="520">
                  <c:v>15500000</c:v>
                </c:pt>
                <c:pt idx="521">
                  <c:v>15001002</c:v>
                </c:pt>
                <c:pt idx="522">
                  <c:v>26010000</c:v>
                </c:pt>
                <c:pt idx="523">
                  <c:v>16000000</c:v>
                </c:pt>
                <c:pt idx="524">
                  <c:v>15001002</c:v>
                </c:pt>
                <c:pt idx="525">
                  <c:v>15000000</c:v>
                </c:pt>
                <c:pt idx="526">
                  <c:v>16000000</c:v>
                </c:pt>
                <c:pt idx="527">
                  <c:v>16000000</c:v>
                </c:pt>
                <c:pt idx="528">
                  <c:v>27000000</c:v>
                </c:pt>
                <c:pt idx="529">
                  <c:v>27000000</c:v>
                </c:pt>
                <c:pt idx="530">
                  <c:v>15000000</c:v>
                </c:pt>
                <c:pt idx="531">
                  <c:v>16600000</c:v>
                </c:pt>
                <c:pt idx="532">
                  <c:v>16600000</c:v>
                </c:pt>
                <c:pt idx="533">
                  <c:v>16610000</c:v>
                </c:pt>
                <c:pt idx="534">
                  <c:v>15001001</c:v>
                </c:pt>
                <c:pt idx="535">
                  <c:v>15001001</c:v>
                </c:pt>
                <c:pt idx="536">
                  <c:v>15001001</c:v>
                </c:pt>
                <c:pt idx="537">
                  <c:v>16600000</c:v>
                </c:pt>
                <c:pt idx="538">
                  <c:v>16600000</c:v>
                </c:pt>
                <c:pt idx="539">
                  <c:v>15000000</c:v>
                </c:pt>
                <c:pt idx="540">
                  <c:v>15000001</c:v>
                </c:pt>
                <c:pt idx="541">
                  <c:v>15000000</c:v>
                </c:pt>
                <c:pt idx="542">
                  <c:v>16000000</c:v>
                </c:pt>
                <c:pt idx="543">
                  <c:v>15001001</c:v>
                </c:pt>
                <c:pt idx="544">
                  <c:v>15001001</c:v>
                </c:pt>
                <c:pt idx="545">
                  <c:v>15001001</c:v>
                </c:pt>
                <c:pt idx="546">
                  <c:v>15001001</c:v>
                </c:pt>
                <c:pt idx="547">
                  <c:v>15001001</c:v>
                </c:pt>
                <c:pt idx="548">
                  <c:v>15000000</c:v>
                </c:pt>
                <c:pt idx="549">
                  <c:v>15001001</c:v>
                </c:pt>
                <c:pt idx="550">
                  <c:v>0</c:v>
                </c:pt>
                <c:pt idx="551">
                  <c:v>15000000</c:v>
                </c:pt>
                <c:pt idx="552">
                  <c:v>15000000</c:v>
                </c:pt>
                <c:pt idx="553">
                  <c:v>15000000</c:v>
                </c:pt>
                <c:pt idx="554">
                  <c:v>15500000</c:v>
                </c:pt>
                <c:pt idx="555">
                  <c:v>15500000</c:v>
                </c:pt>
                <c:pt idx="556">
                  <c:v>15001002</c:v>
                </c:pt>
                <c:pt idx="557">
                  <c:v>16000000</c:v>
                </c:pt>
                <c:pt idx="558">
                  <c:v>15001001</c:v>
                </c:pt>
                <c:pt idx="559">
                  <c:v>15001002</c:v>
                </c:pt>
                <c:pt idx="560">
                  <c:v>15001002</c:v>
                </c:pt>
                <c:pt idx="561">
                  <c:v>16590000</c:v>
                </c:pt>
                <c:pt idx="562">
                  <c:v>16000000</c:v>
                </c:pt>
                <c:pt idx="563">
                  <c:v>15001002</c:v>
                </c:pt>
                <c:pt idx="564">
                  <c:v>16000000</c:v>
                </c:pt>
                <c:pt idx="565">
                  <c:v>15001002</c:v>
                </c:pt>
                <c:pt idx="566">
                  <c:v>16000000</c:v>
                </c:pt>
                <c:pt idx="567">
                  <c:v>15001002</c:v>
                </c:pt>
                <c:pt idx="568">
                  <c:v>16000000</c:v>
                </c:pt>
                <c:pt idx="569">
                  <c:v>16000000</c:v>
                </c:pt>
                <c:pt idx="570">
                  <c:v>15000000</c:v>
                </c:pt>
                <c:pt idx="571">
                  <c:v>15000000</c:v>
                </c:pt>
                <c:pt idx="572">
                  <c:v>15000000</c:v>
                </c:pt>
                <c:pt idx="573">
                  <c:v>15000000</c:v>
                </c:pt>
                <c:pt idx="574">
                  <c:v>15000000</c:v>
                </c:pt>
                <c:pt idx="575">
                  <c:v>15000000</c:v>
                </c:pt>
                <c:pt idx="576">
                  <c:v>15000000</c:v>
                </c:pt>
                <c:pt idx="579">
                  <c:v>15000000</c:v>
                </c:pt>
                <c:pt idx="580">
                  <c:v>15001001</c:v>
                </c:pt>
                <c:pt idx="581">
                  <c:v>15000000</c:v>
                </c:pt>
                <c:pt idx="582">
                  <c:v>15000000</c:v>
                </c:pt>
                <c:pt idx="583">
                  <c:v>15000000</c:v>
                </c:pt>
                <c:pt idx="584">
                  <c:v>16000000</c:v>
                </c:pt>
                <c:pt idx="585">
                  <c:v>16210000</c:v>
                </c:pt>
                <c:pt idx="586">
                  <c:v>15000000</c:v>
                </c:pt>
                <c:pt idx="587">
                  <c:v>15001002</c:v>
                </c:pt>
                <c:pt idx="588">
                  <c:v>15001002</c:v>
                </c:pt>
                <c:pt idx="589">
                  <c:v>15001002</c:v>
                </c:pt>
                <c:pt idx="590">
                  <c:v>15001002</c:v>
                </c:pt>
                <c:pt idx="591">
                  <c:v>16600000</c:v>
                </c:pt>
                <c:pt idx="592">
                  <c:v>0</c:v>
                </c:pt>
                <c:pt idx="593">
                  <c:v>15000000</c:v>
                </c:pt>
                <c:pt idx="594">
                  <c:v>0</c:v>
                </c:pt>
                <c:pt idx="595">
                  <c:v>16210000</c:v>
                </c:pt>
                <c:pt idx="596">
                  <c:v>15001002</c:v>
                </c:pt>
                <c:pt idx="597">
                  <c:v>16000000</c:v>
                </c:pt>
                <c:pt idx="598">
                  <c:v>15000000</c:v>
                </c:pt>
                <c:pt idx="599">
                  <c:v>16000000</c:v>
                </c:pt>
                <c:pt idx="600">
                  <c:v>15000000</c:v>
                </c:pt>
                <c:pt idx="601">
                  <c:v>15000000</c:v>
                </c:pt>
                <c:pt idx="602">
                  <c:v>16000000</c:v>
                </c:pt>
                <c:pt idx="603">
                  <c:v>15001002</c:v>
                </c:pt>
                <c:pt idx="604">
                  <c:v>15001002</c:v>
                </c:pt>
                <c:pt idx="605">
                  <c:v>15000000</c:v>
                </c:pt>
                <c:pt idx="606">
                  <c:v>15000000</c:v>
                </c:pt>
                <c:pt idx="607">
                  <c:v>15000000</c:v>
                </c:pt>
                <c:pt idx="608">
                  <c:v>15000000</c:v>
                </c:pt>
                <c:pt idx="609">
                  <c:v>15000000</c:v>
                </c:pt>
                <c:pt idx="610">
                  <c:v>15001002</c:v>
                </c:pt>
                <c:pt idx="611">
                  <c:v>15001002</c:v>
                </c:pt>
                <c:pt idx="612">
                  <c:v>15001002</c:v>
                </c:pt>
                <c:pt idx="613">
                  <c:v>15001002</c:v>
                </c:pt>
                <c:pt idx="614">
                  <c:v>15000000</c:v>
                </c:pt>
                <c:pt idx="615">
                  <c:v>15000000</c:v>
                </c:pt>
                <c:pt idx="616">
                  <c:v>16000000</c:v>
                </c:pt>
                <c:pt idx="617">
                  <c:v>15000000</c:v>
                </c:pt>
                <c:pt idx="618">
                  <c:v>15000000</c:v>
                </c:pt>
                <c:pt idx="619">
                  <c:v>15000000</c:v>
                </c:pt>
                <c:pt idx="620">
                  <c:v>0</c:v>
                </c:pt>
                <c:pt idx="621">
                  <c:v>16210000</c:v>
                </c:pt>
                <c:pt idx="622">
                  <c:v>0</c:v>
                </c:pt>
                <c:pt idx="623">
                  <c:v>15000000</c:v>
                </c:pt>
                <c:pt idx="624">
                  <c:v>15001001</c:v>
                </c:pt>
                <c:pt idx="625">
                  <c:v>15000000</c:v>
                </c:pt>
                <c:pt idx="626">
                  <c:v>15400000</c:v>
                </c:pt>
                <c:pt idx="627">
                  <c:v>16600000</c:v>
                </c:pt>
                <c:pt idx="628">
                  <c:v>15400000</c:v>
                </c:pt>
                <c:pt idx="629">
                  <c:v>15001002</c:v>
                </c:pt>
                <c:pt idx="630">
                  <c:v>15001002</c:v>
                </c:pt>
                <c:pt idx="631">
                  <c:v>15001002</c:v>
                </c:pt>
                <c:pt idx="632">
                  <c:v>15001002</c:v>
                </c:pt>
                <c:pt idx="633">
                  <c:v>15001002</c:v>
                </c:pt>
                <c:pt idx="634">
                  <c:v>15500000</c:v>
                </c:pt>
                <c:pt idx="635">
                  <c:v>15001002</c:v>
                </c:pt>
                <c:pt idx="636">
                  <c:v>15001002</c:v>
                </c:pt>
                <c:pt idx="637">
                  <c:v>15001002</c:v>
                </c:pt>
                <c:pt idx="638">
                  <c:v>15001002</c:v>
                </c:pt>
                <c:pt idx="639">
                  <c:v>15001002</c:v>
                </c:pt>
                <c:pt idx="640">
                  <c:v>15001002</c:v>
                </c:pt>
                <c:pt idx="641">
                  <c:v>15001002</c:v>
                </c:pt>
                <c:pt idx="642">
                  <c:v>15001002</c:v>
                </c:pt>
                <c:pt idx="643">
                  <c:v>15001002</c:v>
                </c:pt>
                <c:pt idx="644">
                  <c:v>15500000</c:v>
                </c:pt>
                <c:pt idx="645">
                  <c:v>15001002</c:v>
                </c:pt>
                <c:pt idx="646">
                  <c:v>15001002</c:v>
                </c:pt>
                <c:pt idx="647">
                  <c:v>15001002</c:v>
                </c:pt>
                <c:pt idx="648">
                  <c:v>15000000</c:v>
                </c:pt>
                <c:pt idx="649">
                  <c:v>15001001</c:v>
                </c:pt>
                <c:pt idx="650">
                  <c:v>15000000</c:v>
                </c:pt>
                <c:pt idx="651">
                  <c:v>15400000</c:v>
                </c:pt>
                <c:pt idx="652">
                  <c:v>16000000</c:v>
                </c:pt>
                <c:pt idx="653">
                  <c:v>15001002</c:v>
                </c:pt>
                <c:pt idx="654">
                  <c:v>15001002</c:v>
                </c:pt>
                <c:pt idx="655">
                  <c:v>15001002</c:v>
                </c:pt>
                <c:pt idx="656">
                  <c:v>16590000</c:v>
                </c:pt>
                <c:pt idx="657">
                  <c:v>16000000</c:v>
                </c:pt>
                <c:pt idx="658">
                  <c:v>15000000</c:v>
                </c:pt>
                <c:pt idx="659">
                  <c:v>16000000</c:v>
                </c:pt>
                <c:pt idx="660">
                  <c:v>15001001</c:v>
                </c:pt>
                <c:pt idx="661">
                  <c:v>15001001</c:v>
                </c:pt>
                <c:pt idx="662">
                  <c:v>15001001</c:v>
                </c:pt>
                <c:pt idx="663">
                  <c:v>15001001</c:v>
                </c:pt>
                <c:pt idx="664">
                  <c:v>15001001</c:v>
                </c:pt>
                <c:pt idx="665">
                  <c:v>15000000</c:v>
                </c:pt>
                <c:pt idx="666">
                  <c:v>0</c:v>
                </c:pt>
                <c:pt idx="667">
                  <c:v>15000000</c:v>
                </c:pt>
                <c:pt idx="668">
                  <c:v>16610000</c:v>
                </c:pt>
                <c:pt idx="669">
                  <c:v>15000000</c:v>
                </c:pt>
                <c:pt idx="670">
                  <c:v>16600000</c:v>
                </c:pt>
                <c:pt idx="671">
                  <c:v>15000000</c:v>
                </c:pt>
                <c:pt idx="672">
                  <c:v>15001001</c:v>
                </c:pt>
                <c:pt idx="673">
                  <c:v>15001002</c:v>
                </c:pt>
                <c:pt idx="674">
                  <c:v>15001002</c:v>
                </c:pt>
                <c:pt idx="675">
                  <c:v>15001002</c:v>
                </c:pt>
                <c:pt idx="676">
                  <c:v>15001002</c:v>
                </c:pt>
                <c:pt idx="677">
                  <c:v>15000000</c:v>
                </c:pt>
                <c:pt idx="678">
                  <c:v>15000000</c:v>
                </c:pt>
                <c:pt idx="679">
                  <c:v>15000000</c:v>
                </c:pt>
                <c:pt idx="680">
                  <c:v>15001002</c:v>
                </c:pt>
                <c:pt idx="681">
                  <c:v>15001002</c:v>
                </c:pt>
                <c:pt idx="682">
                  <c:v>15000000</c:v>
                </c:pt>
                <c:pt idx="683">
                  <c:v>15001002</c:v>
                </c:pt>
                <c:pt idx="684">
                  <c:v>15010000</c:v>
                </c:pt>
                <c:pt idx="685">
                  <c:v>15000000</c:v>
                </c:pt>
                <c:pt idx="686">
                  <c:v>16600000</c:v>
                </c:pt>
                <c:pt idx="687">
                  <c:v>16600000</c:v>
                </c:pt>
                <c:pt idx="688">
                  <c:v>16600000</c:v>
                </c:pt>
                <c:pt idx="689">
                  <c:v>15000000</c:v>
                </c:pt>
                <c:pt idx="690">
                  <c:v>15001001</c:v>
                </c:pt>
                <c:pt idx="691">
                  <c:v>15400000</c:v>
                </c:pt>
                <c:pt idx="692">
                  <c:v>15000000</c:v>
                </c:pt>
                <c:pt idx="693">
                  <c:v>15000000</c:v>
                </c:pt>
                <c:pt idx="694">
                  <c:v>15000000</c:v>
                </c:pt>
                <c:pt idx="695">
                  <c:v>16600000</c:v>
                </c:pt>
                <c:pt idx="696">
                  <c:v>16600000</c:v>
                </c:pt>
                <c:pt idx="697">
                  <c:v>16600000</c:v>
                </c:pt>
                <c:pt idx="698">
                  <c:v>16610000</c:v>
                </c:pt>
                <c:pt idx="699">
                  <c:v>16600000</c:v>
                </c:pt>
                <c:pt idx="700">
                  <c:v>15000000</c:v>
                </c:pt>
                <c:pt idx="701">
                  <c:v>16600000</c:v>
                </c:pt>
                <c:pt idx="702">
                  <c:v>15001001</c:v>
                </c:pt>
                <c:pt idx="703">
                  <c:v>16600000</c:v>
                </c:pt>
                <c:pt idx="704">
                  <c:v>15001001</c:v>
                </c:pt>
                <c:pt idx="705">
                  <c:v>15001001</c:v>
                </c:pt>
                <c:pt idx="706">
                  <c:v>15001002</c:v>
                </c:pt>
                <c:pt idx="707">
                  <c:v>16600000</c:v>
                </c:pt>
                <c:pt idx="708">
                  <c:v>15000000</c:v>
                </c:pt>
                <c:pt idx="709">
                  <c:v>0</c:v>
                </c:pt>
                <c:pt idx="710">
                  <c:v>15001002</c:v>
                </c:pt>
                <c:pt idx="711">
                  <c:v>15001002</c:v>
                </c:pt>
                <c:pt idx="712">
                  <c:v>15001002</c:v>
                </c:pt>
                <c:pt idx="713">
                  <c:v>15001002</c:v>
                </c:pt>
                <c:pt idx="714">
                  <c:v>15000000</c:v>
                </c:pt>
                <c:pt idx="715">
                  <c:v>16600000</c:v>
                </c:pt>
                <c:pt idx="716">
                  <c:v>16600000</c:v>
                </c:pt>
                <c:pt idx="717">
                  <c:v>15000000</c:v>
                </c:pt>
                <c:pt idx="718">
                  <c:v>16610000</c:v>
                </c:pt>
                <c:pt idx="719">
                  <c:v>16610000</c:v>
                </c:pt>
                <c:pt idx="720">
                  <c:v>15000000</c:v>
                </c:pt>
                <c:pt idx="721">
                  <c:v>16600000</c:v>
                </c:pt>
                <c:pt idx="722">
                  <c:v>15000000</c:v>
                </c:pt>
                <c:pt idx="723">
                  <c:v>15000000</c:v>
                </c:pt>
                <c:pt idx="724">
                  <c:v>15000000</c:v>
                </c:pt>
                <c:pt idx="725">
                  <c:v>15000000</c:v>
                </c:pt>
                <c:pt idx="726">
                  <c:v>15001002</c:v>
                </c:pt>
                <c:pt idx="727">
                  <c:v>15000000</c:v>
                </c:pt>
                <c:pt idx="728">
                  <c:v>16000000</c:v>
                </c:pt>
                <c:pt idx="729">
                  <c:v>15001002</c:v>
                </c:pt>
                <c:pt idx="730">
                  <c:v>15001002</c:v>
                </c:pt>
                <c:pt idx="731">
                  <c:v>15001002</c:v>
                </c:pt>
                <c:pt idx="732">
                  <c:v>15001002</c:v>
                </c:pt>
                <c:pt idx="733">
                  <c:v>16000000</c:v>
                </c:pt>
                <c:pt idx="734">
                  <c:v>0</c:v>
                </c:pt>
                <c:pt idx="735">
                  <c:v>16000000</c:v>
                </c:pt>
                <c:pt idx="736">
                  <c:v>15001002</c:v>
                </c:pt>
                <c:pt idx="737">
                  <c:v>15000000</c:v>
                </c:pt>
                <c:pt idx="738">
                  <c:v>15000000</c:v>
                </c:pt>
                <c:pt idx="739">
                  <c:v>15000000</c:v>
                </c:pt>
                <c:pt idx="740">
                  <c:v>15000000</c:v>
                </c:pt>
                <c:pt idx="741">
                  <c:v>16000000</c:v>
                </c:pt>
                <c:pt idx="742">
                  <c:v>15000000</c:v>
                </c:pt>
                <c:pt idx="743">
                  <c:v>15000000</c:v>
                </c:pt>
                <c:pt idx="744">
                  <c:v>15001002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15000000</c:v>
                </c:pt>
                <c:pt idx="751">
                  <c:v>15000000</c:v>
                </c:pt>
                <c:pt idx="752">
                  <c:v>15001002</c:v>
                </c:pt>
                <c:pt idx="753">
                  <c:v>15001002</c:v>
                </c:pt>
                <c:pt idx="754">
                  <c:v>15001001</c:v>
                </c:pt>
                <c:pt idx="755">
                  <c:v>15000000</c:v>
                </c:pt>
                <c:pt idx="756">
                  <c:v>15000000</c:v>
                </c:pt>
                <c:pt idx="757">
                  <c:v>15000000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15000000</c:v>
                </c:pt>
                <c:pt idx="764">
                  <c:v>15001002</c:v>
                </c:pt>
                <c:pt idx="765">
                  <c:v>15001002</c:v>
                </c:pt>
                <c:pt idx="766">
                  <c:v>15000000</c:v>
                </c:pt>
                <c:pt idx="767">
                  <c:v>15001002</c:v>
                </c:pt>
                <c:pt idx="768">
                  <c:v>15001002</c:v>
                </c:pt>
                <c:pt idx="769">
                  <c:v>15001002</c:v>
                </c:pt>
                <c:pt idx="770">
                  <c:v>15001002</c:v>
                </c:pt>
                <c:pt idx="771">
                  <c:v>15001001</c:v>
                </c:pt>
                <c:pt idx="772">
                  <c:v>15001001</c:v>
                </c:pt>
                <c:pt idx="773">
                  <c:v>15001001</c:v>
                </c:pt>
                <c:pt idx="774">
                  <c:v>15001001</c:v>
                </c:pt>
                <c:pt idx="775">
                  <c:v>15001001</c:v>
                </c:pt>
                <c:pt idx="776">
                  <c:v>15000000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15001002</c:v>
                </c:pt>
                <c:pt idx="781">
                  <c:v>16000000</c:v>
                </c:pt>
                <c:pt idx="782">
                  <c:v>16000000</c:v>
                </c:pt>
                <c:pt idx="783">
                  <c:v>15001002</c:v>
                </c:pt>
                <c:pt idx="784">
                  <c:v>15001002</c:v>
                </c:pt>
                <c:pt idx="785">
                  <c:v>15001002</c:v>
                </c:pt>
                <c:pt idx="786">
                  <c:v>15001002</c:v>
                </c:pt>
                <c:pt idx="787">
                  <c:v>16003110</c:v>
                </c:pt>
                <c:pt idx="788">
                  <c:v>15000000</c:v>
                </c:pt>
                <c:pt idx="789">
                  <c:v>15000000</c:v>
                </c:pt>
                <c:pt idx="790">
                  <c:v>15000000</c:v>
                </c:pt>
                <c:pt idx="791">
                  <c:v>15000000</c:v>
                </c:pt>
                <c:pt idx="792">
                  <c:v>15000000</c:v>
                </c:pt>
                <c:pt idx="793">
                  <c:v>15000000</c:v>
                </c:pt>
                <c:pt idx="794">
                  <c:v>15001002</c:v>
                </c:pt>
                <c:pt idx="795">
                  <c:v>16000000</c:v>
                </c:pt>
                <c:pt idx="796">
                  <c:v>15001002</c:v>
                </c:pt>
                <c:pt idx="797">
                  <c:v>15500000</c:v>
                </c:pt>
                <c:pt idx="798">
                  <c:v>15000000</c:v>
                </c:pt>
                <c:pt idx="799">
                  <c:v>15000000</c:v>
                </c:pt>
                <c:pt idx="800">
                  <c:v>15001002</c:v>
                </c:pt>
                <c:pt idx="801">
                  <c:v>0</c:v>
                </c:pt>
                <c:pt idx="802">
                  <c:v>15001002</c:v>
                </c:pt>
                <c:pt idx="803">
                  <c:v>15000000</c:v>
                </c:pt>
                <c:pt idx="804">
                  <c:v>15000000</c:v>
                </c:pt>
                <c:pt idx="805">
                  <c:v>16000000</c:v>
                </c:pt>
                <c:pt idx="806">
                  <c:v>16000000</c:v>
                </c:pt>
                <c:pt idx="807">
                  <c:v>16000000</c:v>
                </c:pt>
                <c:pt idx="808">
                  <c:v>15000000</c:v>
                </c:pt>
                <c:pt idx="809">
                  <c:v>15000000</c:v>
                </c:pt>
                <c:pt idx="810">
                  <c:v>16000000</c:v>
                </c:pt>
                <c:pt idx="811">
                  <c:v>16600000</c:v>
                </c:pt>
                <c:pt idx="812">
                  <c:v>16600000</c:v>
                </c:pt>
                <c:pt idx="813">
                  <c:v>16600000</c:v>
                </c:pt>
                <c:pt idx="814">
                  <c:v>15000000</c:v>
                </c:pt>
                <c:pt idx="815">
                  <c:v>16600000</c:v>
                </c:pt>
                <c:pt idx="816">
                  <c:v>17510000</c:v>
                </c:pt>
                <c:pt idx="817">
                  <c:v>15000000</c:v>
                </c:pt>
                <c:pt idx="818">
                  <c:v>15000000</c:v>
                </c:pt>
                <c:pt idx="819">
                  <c:v>15000000</c:v>
                </c:pt>
                <c:pt idx="820">
                  <c:v>15000000</c:v>
                </c:pt>
                <c:pt idx="821">
                  <c:v>15000000</c:v>
                </c:pt>
                <c:pt idx="822">
                  <c:v>16600000</c:v>
                </c:pt>
                <c:pt idx="823">
                  <c:v>16610000</c:v>
                </c:pt>
                <c:pt idx="824">
                  <c:v>16600000</c:v>
                </c:pt>
                <c:pt idx="825">
                  <c:v>15000000</c:v>
                </c:pt>
                <c:pt idx="826">
                  <c:v>15010000</c:v>
                </c:pt>
                <c:pt idx="827">
                  <c:v>15000000</c:v>
                </c:pt>
                <c:pt idx="828">
                  <c:v>15500000</c:v>
                </c:pt>
                <c:pt idx="829">
                  <c:v>15001001</c:v>
                </c:pt>
                <c:pt idx="830">
                  <c:v>15000000</c:v>
                </c:pt>
                <c:pt idx="831">
                  <c:v>15000000</c:v>
                </c:pt>
                <c:pt idx="832">
                  <c:v>17510000</c:v>
                </c:pt>
                <c:pt idx="833">
                  <c:v>15001002</c:v>
                </c:pt>
                <c:pt idx="834">
                  <c:v>0</c:v>
                </c:pt>
                <c:pt idx="835">
                  <c:v>15400000</c:v>
                </c:pt>
                <c:pt idx="836">
                  <c:v>15001001</c:v>
                </c:pt>
                <c:pt idx="837">
                  <c:v>17400000</c:v>
                </c:pt>
                <c:pt idx="838">
                  <c:v>15000000</c:v>
                </c:pt>
                <c:pt idx="839">
                  <c:v>15001001</c:v>
                </c:pt>
                <c:pt idx="840">
                  <c:v>15001001</c:v>
                </c:pt>
                <c:pt idx="841">
                  <c:v>15001001</c:v>
                </c:pt>
                <c:pt idx="842">
                  <c:v>15001001</c:v>
                </c:pt>
                <c:pt idx="843">
                  <c:v>0</c:v>
                </c:pt>
                <c:pt idx="844">
                  <c:v>0</c:v>
                </c:pt>
                <c:pt idx="845">
                  <c:v>15001002</c:v>
                </c:pt>
                <c:pt idx="846">
                  <c:v>15001002</c:v>
                </c:pt>
                <c:pt idx="847">
                  <c:v>15000000</c:v>
                </c:pt>
                <c:pt idx="848">
                  <c:v>16000000</c:v>
                </c:pt>
                <c:pt idx="849">
                  <c:v>16000000</c:v>
                </c:pt>
                <c:pt idx="850">
                  <c:v>16000000</c:v>
                </c:pt>
                <c:pt idx="851">
                  <c:v>16000000</c:v>
                </c:pt>
                <c:pt idx="852">
                  <c:v>16000000</c:v>
                </c:pt>
                <c:pt idx="853">
                  <c:v>15000000</c:v>
                </c:pt>
                <c:pt idx="854">
                  <c:v>15001001</c:v>
                </c:pt>
                <c:pt idx="855">
                  <c:v>15001002</c:v>
                </c:pt>
                <c:pt idx="856">
                  <c:v>15000000</c:v>
                </c:pt>
                <c:pt idx="857">
                  <c:v>0</c:v>
                </c:pt>
                <c:pt idx="858">
                  <c:v>15000000</c:v>
                </c:pt>
                <c:pt idx="859">
                  <c:v>15000000</c:v>
                </c:pt>
                <c:pt idx="860">
                  <c:v>15000000</c:v>
                </c:pt>
                <c:pt idx="861">
                  <c:v>0</c:v>
                </c:pt>
                <c:pt idx="862">
                  <c:v>15000000</c:v>
                </c:pt>
                <c:pt idx="863">
                  <c:v>15000000</c:v>
                </c:pt>
                <c:pt idx="864">
                  <c:v>15000000</c:v>
                </c:pt>
                <c:pt idx="865">
                  <c:v>15000000</c:v>
                </c:pt>
                <c:pt idx="866">
                  <c:v>15000000</c:v>
                </c:pt>
                <c:pt idx="867">
                  <c:v>15000000</c:v>
                </c:pt>
                <c:pt idx="868">
                  <c:v>15000000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15001002</c:v>
                </c:pt>
                <c:pt idx="874">
                  <c:v>16000000</c:v>
                </c:pt>
                <c:pt idx="875">
                  <c:v>15400000</c:v>
                </c:pt>
                <c:pt idx="876">
                  <c:v>15000000</c:v>
                </c:pt>
                <c:pt idx="877">
                  <c:v>15000000</c:v>
                </c:pt>
                <c:pt idx="878">
                  <c:v>15000000</c:v>
                </c:pt>
                <c:pt idx="879">
                  <c:v>15000000</c:v>
                </c:pt>
                <c:pt idx="880">
                  <c:v>15000000</c:v>
                </c:pt>
                <c:pt idx="881">
                  <c:v>15000000</c:v>
                </c:pt>
                <c:pt idx="882">
                  <c:v>15000000</c:v>
                </c:pt>
                <c:pt idx="883">
                  <c:v>15001001</c:v>
                </c:pt>
                <c:pt idx="884">
                  <c:v>16590000</c:v>
                </c:pt>
                <c:pt idx="885">
                  <c:v>15001002</c:v>
                </c:pt>
                <c:pt idx="886">
                  <c:v>15000000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15000000</c:v>
                </c:pt>
                <c:pt idx="893">
                  <c:v>15500000</c:v>
                </c:pt>
                <c:pt idx="894">
                  <c:v>15000000</c:v>
                </c:pt>
                <c:pt idx="895">
                  <c:v>15000000</c:v>
                </c:pt>
                <c:pt idx="896">
                  <c:v>15001001</c:v>
                </c:pt>
                <c:pt idx="897">
                  <c:v>15000000</c:v>
                </c:pt>
                <c:pt idx="898">
                  <c:v>16600000</c:v>
                </c:pt>
                <c:pt idx="899">
                  <c:v>16600000</c:v>
                </c:pt>
                <c:pt idx="900">
                  <c:v>15000000</c:v>
                </c:pt>
                <c:pt idx="901">
                  <c:v>16600000</c:v>
                </c:pt>
                <c:pt idx="902">
                  <c:v>15000000</c:v>
                </c:pt>
                <c:pt idx="903">
                  <c:v>15000000</c:v>
                </c:pt>
                <c:pt idx="904">
                  <c:v>15000000</c:v>
                </c:pt>
                <c:pt idx="905">
                  <c:v>0</c:v>
                </c:pt>
                <c:pt idx="906">
                  <c:v>15000000</c:v>
                </c:pt>
                <c:pt idx="907">
                  <c:v>16600000</c:v>
                </c:pt>
                <c:pt idx="908">
                  <c:v>16600000</c:v>
                </c:pt>
                <c:pt idx="909">
                  <c:v>15000000</c:v>
                </c:pt>
                <c:pt idx="910">
                  <c:v>15000000</c:v>
                </c:pt>
                <c:pt idx="911">
                  <c:v>15001002</c:v>
                </c:pt>
                <c:pt idx="912">
                  <c:v>16000000</c:v>
                </c:pt>
                <c:pt idx="913">
                  <c:v>15001002</c:v>
                </c:pt>
                <c:pt idx="914">
                  <c:v>15001002</c:v>
                </c:pt>
                <c:pt idx="915">
                  <c:v>15001002</c:v>
                </c:pt>
                <c:pt idx="916">
                  <c:v>15000000</c:v>
                </c:pt>
                <c:pt idx="917">
                  <c:v>16210000</c:v>
                </c:pt>
                <c:pt idx="918">
                  <c:v>16210000</c:v>
                </c:pt>
                <c:pt idx="919">
                  <c:v>16000000</c:v>
                </c:pt>
                <c:pt idx="920">
                  <c:v>16003130</c:v>
                </c:pt>
                <c:pt idx="921">
                  <c:v>15001002</c:v>
                </c:pt>
                <c:pt idx="922">
                  <c:v>15001002</c:v>
                </c:pt>
                <c:pt idx="923">
                  <c:v>15000000</c:v>
                </c:pt>
                <c:pt idx="924">
                  <c:v>0</c:v>
                </c:pt>
                <c:pt idx="925">
                  <c:v>15000000</c:v>
                </c:pt>
                <c:pt idx="926">
                  <c:v>15000000</c:v>
                </c:pt>
                <c:pt idx="927">
                  <c:v>15000000</c:v>
                </c:pt>
                <c:pt idx="928">
                  <c:v>15000000</c:v>
                </c:pt>
                <c:pt idx="929">
                  <c:v>16000000</c:v>
                </c:pt>
                <c:pt idx="930">
                  <c:v>16210000</c:v>
                </c:pt>
                <c:pt idx="931">
                  <c:v>0</c:v>
                </c:pt>
                <c:pt idx="932">
                  <c:v>16000000</c:v>
                </c:pt>
                <c:pt idx="933">
                  <c:v>15001002</c:v>
                </c:pt>
                <c:pt idx="934">
                  <c:v>15001002</c:v>
                </c:pt>
                <c:pt idx="935">
                  <c:v>15001002</c:v>
                </c:pt>
                <c:pt idx="936">
                  <c:v>15001002</c:v>
                </c:pt>
                <c:pt idx="937">
                  <c:v>16210000</c:v>
                </c:pt>
                <c:pt idx="938">
                  <c:v>15000000</c:v>
                </c:pt>
                <c:pt idx="939">
                  <c:v>15000000</c:v>
                </c:pt>
                <c:pt idx="940">
                  <c:v>15000000</c:v>
                </c:pt>
                <c:pt idx="941">
                  <c:v>15000000</c:v>
                </c:pt>
                <c:pt idx="942">
                  <c:v>16000000</c:v>
                </c:pt>
                <c:pt idx="943">
                  <c:v>15000000</c:v>
                </c:pt>
                <c:pt idx="944">
                  <c:v>15000000</c:v>
                </c:pt>
                <c:pt idx="945">
                  <c:v>15000000</c:v>
                </c:pt>
                <c:pt idx="946">
                  <c:v>15001001</c:v>
                </c:pt>
                <c:pt idx="947">
                  <c:v>15000000</c:v>
                </c:pt>
                <c:pt idx="948">
                  <c:v>15000000</c:v>
                </c:pt>
                <c:pt idx="949">
                  <c:v>15000000</c:v>
                </c:pt>
                <c:pt idx="950">
                  <c:v>15001001</c:v>
                </c:pt>
                <c:pt idx="951">
                  <c:v>15001001</c:v>
                </c:pt>
                <c:pt idx="952">
                  <c:v>17040000</c:v>
                </c:pt>
                <c:pt idx="959">
                  <c:v>15000000</c:v>
                </c:pt>
                <c:pt idx="960">
                  <c:v>15000000</c:v>
                </c:pt>
                <c:pt idx="961">
                  <c:v>15000000</c:v>
                </c:pt>
                <c:pt idx="962">
                  <c:v>15000000</c:v>
                </c:pt>
                <c:pt idx="966">
                  <c:v>16000000</c:v>
                </c:pt>
                <c:pt idx="967">
                  <c:v>15001001</c:v>
                </c:pt>
                <c:pt idx="968">
                  <c:v>16000000</c:v>
                </c:pt>
                <c:pt idx="969">
                  <c:v>15001002</c:v>
                </c:pt>
                <c:pt idx="970">
                  <c:v>16000000</c:v>
                </c:pt>
                <c:pt idx="971">
                  <c:v>16210000</c:v>
                </c:pt>
                <c:pt idx="972">
                  <c:v>15001002</c:v>
                </c:pt>
                <c:pt idx="973">
                  <c:v>15001002</c:v>
                </c:pt>
                <c:pt idx="974">
                  <c:v>15400000</c:v>
                </c:pt>
                <c:pt idx="975">
                  <c:v>16000000</c:v>
                </c:pt>
                <c:pt idx="976">
                  <c:v>16000000</c:v>
                </c:pt>
                <c:pt idx="977">
                  <c:v>15000000</c:v>
                </c:pt>
                <c:pt idx="980">
                  <c:v>15001002</c:v>
                </c:pt>
                <c:pt idx="981">
                  <c:v>15000000</c:v>
                </c:pt>
                <c:pt idx="982">
                  <c:v>15000000</c:v>
                </c:pt>
                <c:pt idx="983">
                  <c:v>15000000</c:v>
                </c:pt>
                <c:pt idx="985">
                  <c:v>15000000</c:v>
                </c:pt>
                <c:pt idx="986">
                  <c:v>15010000</c:v>
                </c:pt>
                <c:pt idx="987">
                  <c:v>16003110</c:v>
                </c:pt>
                <c:pt idx="988">
                  <c:v>16210000</c:v>
                </c:pt>
                <c:pt idx="989">
                  <c:v>15500000</c:v>
                </c:pt>
                <c:pt idx="990">
                  <c:v>15000000</c:v>
                </c:pt>
                <c:pt idx="991">
                  <c:v>16000000</c:v>
                </c:pt>
                <c:pt idx="992">
                  <c:v>15000000</c:v>
                </c:pt>
                <c:pt idx="993">
                  <c:v>15000000</c:v>
                </c:pt>
                <c:pt idx="995">
                  <c:v>15000000</c:v>
                </c:pt>
                <c:pt idx="996">
                  <c:v>15000000</c:v>
                </c:pt>
                <c:pt idx="997">
                  <c:v>15000000</c:v>
                </c:pt>
                <c:pt idx="998">
                  <c:v>15420000</c:v>
                </c:pt>
                <c:pt idx="999">
                  <c:v>15000000</c:v>
                </c:pt>
                <c:pt idx="1000">
                  <c:v>15000000</c:v>
                </c:pt>
                <c:pt idx="1001">
                  <c:v>15000000</c:v>
                </c:pt>
                <c:pt idx="1002">
                  <c:v>15001002</c:v>
                </c:pt>
                <c:pt idx="1003">
                  <c:v>16000000</c:v>
                </c:pt>
                <c:pt idx="1004">
                  <c:v>15001002</c:v>
                </c:pt>
                <c:pt idx="1005">
                  <c:v>15001002</c:v>
                </c:pt>
                <c:pt idx="1006">
                  <c:v>16000000</c:v>
                </c:pt>
                <c:pt idx="1007">
                  <c:v>16000000</c:v>
                </c:pt>
                <c:pt idx="1008">
                  <c:v>15001002</c:v>
                </c:pt>
                <c:pt idx="1009">
                  <c:v>15001002</c:v>
                </c:pt>
                <c:pt idx="1010">
                  <c:v>15001002</c:v>
                </c:pt>
                <c:pt idx="1011">
                  <c:v>15001002</c:v>
                </c:pt>
                <c:pt idx="1012">
                  <c:v>16000000</c:v>
                </c:pt>
                <c:pt idx="1013">
                  <c:v>15001002</c:v>
                </c:pt>
                <c:pt idx="1014">
                  <c:v>16000000</c:v>
                </c:pt>
                <c:pt idx="1015">
                  <c:v>15000000</c:v>
                </c:pt>
                <c:pt idx="1016">
                  <c:v>16000000</c:v>
                </c:pt>
                <c:pt idx="1017">
                  <c:v>15001001</c:v>
                </c:pt>
                <c:pt idx="1018">
                  <c:v>15001001</c:v>
                </c:pt>
                <c:pt idx="1019">
                  <c:v>16210000</c:v>
                </c:pt>
                <c:pt idx="1020">
                  <c:v>16210000</c:v>
                </c:pt>
                <c:pt idx="1021">
                  <c:v>15000000</c:v>
                </c:pt>
                <c:pt idx="1022">
                  <c:v>15001002</c:v>
                </c:pt>
                <c:pt idx="1023">
                  <c:v>16610000</c:v>
                </c:pt>
                <c:pt idx="1024">
                  <c:v>15000000</c:v>
                </c:pt>
                <c:pt idx="1025">
                  <c:v>16000000</c:v>
                </c:pt>
                <c:pt idx="1026">
                  <c:v>15000000</c:v>
                </c:pt>
                <c:pt idx="1027">
                  <c:v>15000000</c:v>
                </c:pt>
                <c:pt idx="1028">
                  <c:v>16600000</c:v>
                </c:pt>
                <c:pt idx="1029">
                  <c:v>15500000</c:v>
                </c:pt>
                <c:pt idx="1030">
                  <c:v>15500000</c:v>
                </c:pt>
                <c:pt idx="1031">
                  <c:v>15000000</c:v>
                </c:pt>
                <c:pt idx="1032">
                  <c:v>16610000</c:v>
                </c:pt>
                <c:pt idx="1033">
                  <c:v>0</c:v>
                </c:pt>
                <c:pt idx="1034">
                  <c:v>15000000</c:v>
                </c:pt>
                <c:pt idx="1035">
                  <c:v>15000000</c:v>
                </c:pt>
                <c:pt idx="1036">
                  <c:v>15000000</c:v>
                </c:pt>
                <c:pt idx="1037">
                  <c:v>15000000</c:v>
                </c:pt>
                <c:pt idx="1038">
                  <c:v>0</c:v>
                </c:pt>
                <c:pt idx="1039">
                  <c:v>15000000</c:v>
                </c:pt>
                <c:pt idx="1040">
                  <c:v>15000000</c:v>
                </c:pt>
                <c:pt idx="1041">
                  <c:v>15000000</c:v>
                </c:pt>
                <c:pt idx="1042">
                  <c:v>0</c:v>
                </c:pt>
                <c:pt idx="1043">
                  <c:v>0</c:v>
                </c:pt>
                <c:pt idx="1045">
                  <c:v>15000000</c:v>
                </c:pt>
                <c:pt idx="1046">
                  <c:v>15000000</c:v>
                </c:pt>
                <c:pt idx="1047">
                  <c:v>0</c:v>
                </c:pt>
                <c:pt idx="1048">
                  <c:v>15400000</c:v>
                </c:pt>
                <c:pt idx="1049">
                  <c:v>15500000</c:v>
                </c:pt>
                <c:pt idx="1050">
                  <c:v>15500000</c:v>
                </c:pt>
                <c:pt idx="1051">
                  <c:v>15001002</c:v>
                </c:pt>
                <c:pt idx="1052">
                  <c:v>0</c:v>
                </c:pt>
                <c:pt idx="1053">
                  <c:v>15001002</c:v>
                </c:pt>
                <c:pt idx="1054">
                  <c:v>15000000</c:v>
                </c:pt>
                <c:pt idx="1055">
                  <c:v>15000000</c:v>
                </c:pt>
                <c:pt idx="1056">
                  <c:v>15001001</c:v>
                </c:pt>
                <c:pt idx="1057">
                  <c:v>0</c:v>
                </c:pt>
                <c:pt idx="1058">
                  <c:v>15000000</c:v>
                </c:pt>
                <c:pt idx="1059">
                  <c:v>15000000</c:v>
                </c:pt>
                <c:pt idx="1060">
                  <c:v>15010000</c:v>
                </c:pt>
                <c:pt idx="1061">
                  <c:v>15000000</c:v>
                </c:pt>
                <c:pt idx="1062">
                  <c:v>15420000</c:v>
                </c:pt>
                <c:pt idx="1063">
                  <c:v>15001001</c:v>
                </c:pt>
                <c:pt idx="1064">
                  <c:v>0</c:v>
                </c:pt>
                <c:pt idx="1065">
                  <c:v>15000000</c:v>
                </c:pt>
                <c:pt idx="1066">
                  <c:v>15000000</c:v>
                </c:pt>
                <c:pt idx="1067">
                  <c:v>15000000</c:v>
                </c:pt>
                <c:pt idx="1068">
                  <c:v>0</c:v>
                </c:pt>
                <c:pt idx="1069">
                  <c:v>15000000</c:v>
                </c:pt>
                <c:pt idx="1070">
                  <c:v>15000000</c:v>
                </c:pt>
                <c:pt idx="1071">
                  <c:v>15000000</c:v>
                </c:pt>
                <c:pt idx="1072">
                  <c:v>15001002</c:v>
                </c:pt>
                <c:pt idx="1073">
                  <c:v>17190000</c:v>
                </c:pt>
                <c:pt idx="1074">
                  <c:v>0</c:v>
                </c:pt>
                <c:pt idx="1075">
                  <c:v>26600000</c:v>
                </c:pt>
                <c:pt idx="1076">
                  <c:v>0</c:v>
                </c:pt>
                <c:pt idx="1077">
                  <c:v>15000000</c:v>
                </c:pt>
                <c:pt idx="1078">
                  <c:v>0</c:v>
                </c:pt>
                <c:pt idx="1079">
                  <c:v>15001001</c:v>
                </c:pt>
                <c:pt idx="1080">
                  <c:v>17190000</c:v>
                </c:pt>
                <c:pt idx="1081">
                  <c:v>17900000</c:v>
                </c:pt>
                <c:pt idx="1082">
                  <c:v>17190000</c:v>
                </c:pt>
                <c:pt idx="1083">
                  <c:v>15001001</c:v>
                </c:pt>
                <c:pt idx="1084">
                  <c:v>15001001</c:v>
                </c:pt>
                <c:pt idx="1085">
                  <c:v>15001001</c:v>
                </c:pt>
                <c:pt idx="1086">
                  <c:v>15001001</c:v>
                </c:pt>
                <c:pt idx="1087">
                  <c:v>0</c:v>
                </c:pt>
                <c:pt idx="1088">
                  <c:v>15520000</c:v>
                </c:pt>
                <c:pt idx="1089">
                  <c:v>15000000</c:v>
                </c:pt>
                <c:pt idx="1090">
                  <c:v>15000000</c:v>
                </c:pt>
                <c:pt idx="1091">
                  <c:v>0</c:v>
                </c:pt>
                <c:pt idx="1092">
                  <c:v>15001002</c:v>
                </c:pt>
                <c:pt idx="1093">
                  <c:v>15500000</c:v>
                </c:pt>
                <c:pt idx="1094">
                  <c:v>15000000</c:v>
                </c:pt>
                <c:pt idx="1095">
                  <c:v>15000000</c:v>
                </c:pt>
                <c:pt idx="1096">
                  <c:v>15000000</c:v>
                </c:pt>
                <c:pt idx="1097">
                  <c:v>15500000</c:v>
                </c:pt>
                <c:pt idx="1098">
                  <c:v>15000000</c:v>
                </c:pt>
                <c:pt idx="1099">
                  <c:v>15000000</c:v>
                </c:pt>
                <c:pt idx="1100">
                  <c:v>15000000</c:v>
                </c:pt>
                <c:pt idx="1101">
                  <c:v>15001001</c:v>
                </c:pt>
                <c:pt idx="1103">
                  <c:v>15001001</c:v>
                </c:pt>
                <c:pt idx="1104">
                  <c:v>0</c:v>
                </c:pt>
                <c:pt idx="1105">
                  <c:v>15000000</c:v>
                </c:pt>
                <c:pt idx="1106">
                  <c:v>15000000</c:v>
                </c:pt>
                <c:pt idx="1107">
                  <c:v>15000000</c:v>
                </c:pt>
                <c:pt idx="1108">
                  <c:v>15000000</c:v>
                </c:pt>
                <c:pt idx="1109">
                  <c:v>15000000</c:v>
                </c:pt>
                <c:pt idx="1110">
                  <c:v>15001002</c:v>
                </c:pt>
                <c:pt idx="1111">
                  <c:v>15000000</c:v>
                </c:pt>
                <c:pt idx="1112">
                  <c:v>15000000</c:v>
                </c:pt>
                <c:pt idx="1113">
                  <c:v>17040000</c:v>
                </c:pt>
                <c:pt idx="1114">
                  <c:v>15001002</c:v>
                </c:pt>
                <c:pt idx="1115">
                  <c:v>15001002</c:v>
                </c:pt>
                <c:pt idx="1116">
                  <c:v>15001002</c:v>
                </c:pt>
                <c:pt idx="1117">
                  <c:v>15001002</c:v>
                </c:pt>
                <c:pt idx="1118">
                  <c:v>15001002</c:v>
                </c:pt>
                <c:pt idx="1119">
                  <c:v>15001002</c:v>
                </c:pt>
                <c:pt idx="1120">
                  <c:v>15001001</c:v>
                </c:pt>
                <c:pt idx="1121">
                  <c:v>15001002</c:v>
                </c:pt>
                <c:pt idx="1122">
                  <c:v>15001002</c:v>
                </c:pt>
                <c:pt idx="1123">
                  <c:v>15520000</c:v>
                </c:pt>
                <c:pt idx="1124">
                  <c:v>15000000</c:v>
                </c:pt>
                <c:pt idx="1125">
                  <c:v>15001002</c:v>
                </c:pt>
                <c:pt idx="1126">
                  <c:v>15001002</c:v>
                </c:pt>
                <c:pt idx="1127">
                  <c:v>15001002</c:v>
                </c:pt>
                <c:pt idx="1128">
                  <c:v>15001002</c:v>
                </c:pt>
                <c:pt idx="1129">
                  <c:v>15001002</c:v>
                </c:pt>
                <c:pt idx="1130">
                  <c:v>15001002</c:v>
                </c:pt>
                <c:pt idx="1131">
                  <c:v>15000000</c:v>
                </c:pt>
                <c:pt idx="1132">
                  <c:v>15000000</c:v>
                </c:pt>
                <c:pt idx="1133">
                  <c:v>15000000</c:v>
                </c:pt>
                <c:pt idx="1134">
                  <c:v>15001002</c:v>
                </c:pt>
                <c:pt idx="1135">
                  <c:v>15000000</c:v>
                </c:pt>
                <c:pt idx="1136">
                  <c:v>15001002</c:v>
                </c:pt>
                <c:pt idx="1137">
                  <c:v>15001002</c:v>
                </c:pt>
                <c:pt idx="1138">
                  <c:v>15400000</c:v>
                </c:pt>
                <c:pt idx="1139">
                  <c:v>15001002</c:v>
                </c:pt>
                <c:pt idx="1140">
                  <c:v>16210000</c:v>
                </c:pt>
                <c:pt idx="1141">
                  <c:v>15001002</c:v>
                </c:pt>
                <c:pt idx="1142">
                  <c:v>15000000</c:v>
                </c:pt>
                <c:pt idx="1143">
                  <c:v>15001002</c:v>
                </c:pt>
                <c:pt idx="1144">
                  <c:v>16000000</c:v>
                </c:pt>
                <c:pt idx="1145">
                  <c:v>15001002</c:v>
                </c:pt>
                <c:pt idx="1146">
                  <c:v>15001002</c:v>
                </c:pt>
                <c:pt idx="1147">
                  <c:v>15001002</c:v>
                </c:pt>
                <c:pt idx="1148">
                  <c:v>0</c:v>
                </c:pt>
                <c:pt idx="1149">
                  <c:v>15001002</c:v>
                </c:pt>
                <c:pt idx="1150">
                  <c:v>15001002</c:v>
                </c:pt>
                <c:pt idx="1151">
                  <c:v>15001002</c:v>
                </c:pt>
                <c:pt idx="1152">
                  <c:v>15000000</c:v>
                </c:pt>
                <c:pt idx="1153">
                  <c:v>15001002</c:v>
                </c:pt>
                <c:pt idx="1154">
                  <c:v>16600000</c:v>
                </c:pt>
                <c:pt idx="1155">
                  <c:v>15000000</c:v>
                </c:pt>
                <c:pt idx="1156">
                  <c:v>16600000</c:v>
                </c:pt>
                <c:pt idx="1157">
                  <c:v>16600000</c:v>
                </c:pt>
                <c:pt idx="1158">
                  <c:v>16600000</c:v>
                </c:pt>
                <c:pt idx="1159">
                  <c:v>15001002</c:v>
                </c:pt>
                <c:pt idx="1160">
                  <c:v>15000000</c:v>
                </c:pt>
                <c:pt idx="1161">
                  <c:v>15001002</c:v>
                </c:pt>
                <c:pt idx="1162">
                  <c:v>15001002</c:v>
                </c:pt>
                <c:pt idx="1163">
                  <c:v>15001002</c:v>
                </c:pt>
                <c:pt idx="1164">
                  <c:v>15001002</c:v>
                </c:pt>
                <c:pt idx="1165">
                  <c:v>15001002</c:v>
                </c:pt>
                <c:pt idx="1166">
                  <c:v>15000000</c:v>
                </c:pt>
                <c:pt idx="1167">
                  <c:v>0</c:v>
                </c:pt>
                <c:pt idx="1168">
                  <c:v>16000000</c:v>
                </c:pt>
                <c:pt idx="1169">
                  <c:v>16000000</c:v>
                </c:pt>
                <c:pt idx="1170">
                  <c:v>15001002</c:v>
                </c:pt>
                <c:pt idx="1171">
                  <c:v>15001002</c:v>
                </c:pt>
                <c:pt idx="1172">
                  <c:v>15001002</c:v>
                </c:pt>
                <c:pt idx="1173">
                  <c:v>15001002</c:v>
                </c:pt>
                <c:pt idx="1174">
                  <c:v>15000000</c:v>
                </c:pt>
                <c:pt idx="1175">
                  <c:v>15000000</c:v>
                </c:pt>
                <c:pt idx="1176">
                  <c:v>15001001</c:v>
                </c:pt>
                <c:pt idx="1177">
                  <c:v>15000000</c:v>
                </c:pt>
                <c:pt idx="1178">
                  <c:v>15000000</c:v>
                </c:pt>
                <c:pt idx="1179">
                  <c:v>15001001</c:v>
                </c:pt>
                <c:pt idx="1180">
                  <c:v>0</c:v>
                </c:pt>
                <c:pt idx="1181">
                  <c:v>0</c:v>
                </c:pt>
                <c:pt idx="1182">
                  <c:v>16000000</c:v>
                </c:pt>
                <c:pt idx="1183">
                  <c:v>15001002</c:v>
                </c:pt>
                <c:pt idx="1184">
                  <c:v>15001001</c:v>
                </c:pt>
                <c:pt idx="1185">
                  <c:v>15000000</c:v>
                </c:pt>
                <c:pt idx="1186">
                  <c:v>15001002</c:v>
                </c:pt>
                <c:pt idx="1187">
                  <c:v>15000000</c:v>
                </c:pt>
                <c:pt idx="1188">
                  <c:v>16610000</c:v>
                </c:pt>
                <c:pt idx="1189">
                  <c:v>15000000</c:v>
                </c:pt>
                <c:pt idx="1190">
                  <c:v>15000000</c:v>
                </c:pt>
                <c:pt idx="1191">
                  <c:v>16000000</c:v>
                </c:pt>
                <c:pt idx="1192">
                  <c:v>15001002</c:v>
                </c:pt>
                <c:pt idx="1193">
                  <c:v>15001001</c:v>
                </c:pt>
                <c:pt idx="1194">
                  <c:v>15001001</c:v>
                </c:pt>
                <c:pt idx="1195">
                  <c:v>15001001</c:v>
                </c:pt>
                <c:pt idx="1196">
                  <c:v>15001002</c:v>
                </c:pt>
                <c:pt idx="1197">
                  <c:v>16600000</c:v>
                </c:pt>
                <c:pt idx="1198">
                  <c:v>16600000</c:v>
                </c:pt>
                <c:pt idx="1199">
                  <c:v>15000000</c:v>
                </c:pt>
                <c:pt idx="1200">
                  <c:v>15000000</c:v>
                </c:pt>
                <c:pt idx="1201">
                  <c:v>15010000</c:v>
                </c:pt>
                <c:pt idx="1202">
                  <c:v>15000000</c:v>
                </c:pt>
                <c:pt idx="1203">
                  <c:v>15000000</c:v>
                </c:pt>
                <c:pt idx="1204">
                  <c:v>0</c:v>
                </c:pt>
                <c:pt idx="1205">
                  <c:v>15000000</c:v>
                </c:pt>
                <c:pt idx="1206">
                  <c:v>15001001</c:v>
                </c:pt>
                <c:pt idx="1207">
                  <c:v>15001002</c:v>
                </c:pt>
                <c:pt idx="1208">
                  <c:v>16000000</c:v>
                </c:pt>
                <c:pt idx="1209">
                  <c:v>15000000</c:v>
                </c:pt>
                <c:pt idx="1210">
                  <c:v>17040000</c:v>
                </c:pt>
                <c:pt idx="1211">
                  <c:v>16000000</c:v>
                </c:pt>
                <c:pt idx="1212">
                  <c:v>16000000</c:v>
                </c:pt>
                <c:pt idx="1213">
                  <c:v>0</c:v>
                </c:pt>
                <c:pt idx="1214">
                  <c:v>16000000</c:v>
                </c:pt>
                <c:pt idx="1215">
                  <c:v>15001001</c:v>
                </c:pt>
                <c:pt idx="1216">
                  <c:v>15001002</c:v>
                </c:pt>
                <c:pt idx="1217">
                  <c:v>15000000</c:v>
                </c:pt>
                <c:pt idx="1218">
                  <c:v>15001001</c:v>
                </c:pt>
                <c:pt idx="1219">
                  <c:v>15001001</c:v>
                </c:pt>
                <c:pt idx="1220">
                  <c:v>15001002</c:v>
                </c:pt>
                <c:pt idx="1221">
                  <c:v>15500000</c:v>
                </c:pt>
                <c:pt idx="1222">
                  <c:v>15001001</c:v>
                </c:pt>
                <c:pt idx="1223">
                  <c:v>15000000</c:v>
                </c:pt>
                <c:pt idx="1224">
                  <c:v>15000000</c:v>
                </c:pt>
                <c:pt idx="1225">
                  <c:v>15000000</c:v>
                </c:pt>
                <c:pt idx="1226">
                  <c:v>15000000</c:v>
                </c:pt>
                <c:pt idx="1227">
                  <c:v>15000000</c:v>
                </c:pt>
                <c:pt idx="1228">
                  <c:v>0</c:v>
                </c:pt>
                <c:pt idx="1229">
                  <c:v>15000000</c:v>
                </c:pt>
                <c:pt idx="1230">
                  <c:v>15001002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15500000</c:v>
                </c:pt>
                <c:pt idx="1236">
                  <c:v>15001002</c:v>
                </c:pt>
                <c:pt idx="1237">
                  <c:v>15001002</c:v>
                </c:pt>
                <c:pt idx="1238">
                  <c:v>16000000</c:v>
                </c:pt>
                <c:pt idx="1239">
                  <c:v>16000000</c:v>
                </c:pt>
                <c:pt idx="1240">
                  <c:v>16000000</c:v>
                </c:pt>
                <c:pt idx="1241">
                  <c:v>15001002</c:v>
                </c:pt>
                <c:pt idx="1242">
                  <c:v>17190000</c:v>
                </c:pt>
                <c:pt idx="1243">
                  <c:v>15000000</c:v>
                </c:pt>
                <c:pt idx="1244">
                  <c:v>15001002</c:v>
                </c:pt>
                <c:pt idx="1245">
                  <c:v>15000000</c:v>
                </c:pt>
                <c:pt idx="1246">
                  <c:v>15000000</c:v>
                </c:pt>
                <c:pt idx="1247">
                  <c:v>16600000</c:v>
                </c:pt>
                <c:pt idx="1248">
                  <c:v>16610000</c:v>
                </c:pt>
                <c:pt idx="1249">
                  <c:v>16610000</c:v>
                </c:pt>
                <c:pt idx="1250">
                  <c:v>15001001</c:v>
                </c:pt>
                <c:pt idx="1251">
                  <c:v>15001001</c:v>
                </c:pt>
                <c:pt idx="1252">
                  <c:v>15000000</c:v>
                </c:pt>
                <c:pt idx="1253">
                  <c:v>15000000</c:v>
                </c:pt>
                <c:pt idx="1254">
                  <c:v>0</c:v>
                </c:pt>
                <c:pt idx="1255">
                  <c:v>15000000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16000000</c:v>
                </c:pt>
                <c:pt idx="1262">
                  <c:v>15001002</c:v>
                </c:pt>
                <c:pt idx="1263">
                  <c:v>15001002</c:v>
                </c:pt>
                <c:pt idx="1264">
                  <c:v>15000000</c:v>
                </c:pt>
                <c:pt idx="1265">
                  <c:v>15000000</c:v>
                </c:pt>
                <c:pt idx="1266">
                  <c:v>15500000</c:v>
                </c:pt>
                <c:pt idx="1267">
                  <c:v>15001002</c:v>
                </c:pt>
                <c:pt idx="1268">
                  <c:v>15001002</c:v>
                </c:pt>
                <c:pt idx="1269">
                  <c:v>15001002</c:v>
                </c:pt>
                <c:pt idx="1270">
                  <c:v>15001002</c:v>
                </c:pt>
                <c:pt idx="1271">
                  <c:v>150010</c:v>
                </c:pt>
                <c:pt idx="1272">
                  <c:v>15001002</c:v>
                </c:pt>
                <c:pt idx="1273">
                  <c:v>15001001</c:v>
                </c:pt>
                <c:pt idx="1274">
                  <c:v>15000000</c:v>
                </c:pt>
                <c:pt idx="1275">
                  <c:v>15000000</c:v>
                </c:pt>
                <c:pt idx="1276">
                  <c:v>15000000</c:v>
                </c:pt>
                <c:pt idx="1277">
                  <c:v>15000000</c:v>
                </c:pt>
                <c:pt idx="1278">
                  <c:v>15400000</c:v>
                </c:pt>
                <c:pt idx="1279">
                  <c:v>16610000</c:v>
                </c:pt>
                <c:pt idx="1280">
                  <c:v>16660000</c:v>
                </c:pt>
                <c:pt idx="1281">
                  <c:v>15000000</c:v>
                </c:pt>
                <c:pt idx="1282">
                  <c:v>16600000</c:v>
                </c:pt>
                <c:pt idx="1283">
                  <c:v>16000000</c:v>
                </c:pt>
                <c:pt idx="1284">
                  <c:v>16000000</c:v>
                </c:pt>
                <c:pt idx="1285">
                  <c:v>16000000</c:v>
                </c:pt>
                <c:pt idx="1286">
                  <c:v>16600000</c:v>
                </c:pt>
                <c:pt idx="1287">
                  <c:v>15000000</c:v>
                </c:pt>
                <c:pt idx="1288">
                  <c:v>16600000</c:v>
                </c:pt>
                <c:pt idx="1289">
                  <c:v>16000000</c:v>
                </c:pt>
                <c:pt idx="1290">
                  <c:v>16000000</c:v>
                </c:pt>
                <c:pt idx="1291">
                  <c:v>16000000</c:v>
                </c:pt>
                <c:pt idx="1292">
                  <c:v>0</c:v>
                </c:pt>
                <c:pt idx="1293">
                  <c:v>16000000</c:v>
                </c:pt>
                <c:pt idx="1294">
                  <c:v>16600000</c:v>
                </c:pt>
                <c:pt idx="1295">
                  <c:v>15000000</c:v>
                </c:pt>
                <c:pt idx="1296">
                  <c:v>15400000</c:v>
                </c:pt>
                <c:pt idx="1297">
                  <c:v>15000000</c:v>
                </c:pt>
                <c:pt idx="1298">
                  <c:v>16600000</c:v>
                </c:pt>
                <c:pt idx="1299">
                  <c:v>16600000</c:v>
                </c:pt>
                <c:pt idx="1300">
                  <c:v>16600000</c:v>
                </c:pt>
                <c:pt idx="1301">
                  <c:v>16210000</c:v>
                </c:pt>
                <c:pt idx="1302">
                  <c:v>15001002</c:v>
                </c:pt>
                <c:pt idx="1303">
                  <c:v>15001002</c:v>
                </c:pt>
                <c:pt idx="1304">
                  <c:v>15001001</c:v>
                </c:pt>
                <c:pt idx="1305">
                  <c:v>15420000</c:v>
                </c:pt>
                <c:pt idx="1306">
                  <c:v>15001001</c:v>
                </c:pt>
                <c:pt idx="1307">
                  <c:v>15000000</c:v>
                </c:pt>
                <c:pt idx="1308">
                  <c:v>15000000</c:v>
                </c:pt>
                <c:pt idx="1309">
                  <c:v>15000000</c:v>
                </c:pt>
                <c:pt idx="1310">
                  <c:v>15000000</c:v>
                </c:pt>
                <c:pt idx="1311">
                  <c:v>15001002</c:v>
                </c:pt>
                <c:pt idx="1312">
                  <c:v>15000000</c:v>
                </c:pt>
                <c:pt idx="1313">
                  <c:v>15000000</c:v>
                </c:pt>
                <c:pt idx="1314">
                  <c:v>15000000</c:v>
                </c:pt>
                <c:pt idx="1315">
                  <c:v>15000000</c:v>
                </c:pt>
                <c:pt idx="1316">
                  <c:v>15400000</c:v>
                </c:pt>
                <c:pt idx="1318">
                  <c:v>15001001</c:v>
                </c:pt>
                <c:pt idx="1319">
                  <c:v>15000000</c:v>
                </c:pt>
                <c:pt idx="1320">
                  <c:v>15000000</c:v>
                </c:pt>
                <c:pt idx="1321">
                  <c:v>15000000</c:v>
                </c:pt>
                <c:pt idx="1322">
                  <c:v>16590000</c:v>
                </c:pt>
                <c:pt idx="1323">
                  <c:v>16600000</c:v>
                </c:pt>
                <c:pt idx="1324">
                  <c:v>16600000</c:v>
                </c:pt>
                <c:pt idx="1325">
                  <c:v>16600000</c:v>
                </c:pt>
                <c:pt idx="1326">
                  <c:v>15000000</c:v>
                </c:pt>
                <c:pt idx="1327">
                  <c:v>0</c:v>
                </c:pt>
                <c:pt idx="1328">
                  <c:v>0</c:v>
                </c:pt>
                <c:pt idx="1329">
                  <c:v>15000000</c:v>
                </c:pt>
                <c:pt idx="1330">
                  <c:v>15001001</c:v>
                </c:pt>
                <c:pt idx="1331">
                  <c:v>17510000</c:v>
                </c:pt>
                <c:pt idx="1332">
                  <c:v>16000000</c:v>
                </c:pt>
                <c:pt idx="1333">
                  <c:v>0</c:v>
                </c:pt>
                <c:pt idx="1334">
                  <c:v>15000000</c:v>
                </c:pt>
                <c:pt idx="1335">
                  <c:v>15001001</c:v>
                </c:pt>
                <c:pt idx="1336">
                  <c:v>15001002</c:v>
                </c:pt>
                <c:pt idx="1337">
                  <c:v>15001002</c:v>
                </c:pt>
                <c:pt idx="1338">
                  <c:v>15001002</c:v>
                </c:pt>
                <c:pt idx="1339">
                  <c:v>15000000</c:v>
                </c:pt>
                <c:pt idx="1340">
                  <c:v>15000000</c:v>
                </c:pt>
                <c:pt idx="1341">
                  <c:v>15000000</c:v>
                </c:pt>
                <c:pt idx="1342">
                  <c:v>15000000</c:v>
                </c:pt>
                <c:pt idx="1343">
                  <c:v>15001002</c:v>
                </c:pt>
                <c:pt idx="1344">
                  <c:v>15001001</c:v>
                </c:pt>
                <c:pt idx="1345">
                  <c:v>15001001</c:v>
                </c:pt>
                <c:pt idx="1346">
                  <c:v>15000000</c:v>
                </c:pt>
                <c:pt idx="1347">
                  <c:v>25440000</c:v>
                </c:pt>
                <c:pt idx="1348">
                  <c:v>15000000</c:v>
                </c:pt>
                <c:pt idx="1349">
                  <c:v>15000000</c:v>
                </c:pt>
                <c:pt idx="1350">
                  <c:v>16210000</c:v>
                </c:pt>
                <c:pt idx="1351">
                  <c:v>15001002</c:v>
                </c:pt>
                <c:pt idx="1352">
                  <c:v>15001002</c:v>
                </c:pt>
                <c:pt idx="1353">
                  <c:v>16000000</c:v>
                </c:pt>
                <c:pt idx="1354">
                  <c:v>15001002</c:v>
                </c:pt>
                <c:pt idx="1356">
                  <c:v>0</c:v>
                </c:pt>
                <c:pt idx="1357">
                  <c:v>15500000</c:v>
                </c:pt>
                <c:pt idx="1358">
                  <c:v>15520000</c:v>
                </c:pt>
                <c:pt idx="1359">
                  <c:v>0</c:v>
                </c:pt>
                <c:pt idx="1360">
                  <c:v>15000000</c:v>
                </c:pt>
                <c:pt idx="1361">
                  <c:v>15000000</c:v>
                </c:pt>
                <c:pt idx="1362">
                  <c:v>15520000</c:v>
                </c:pt>
                <c:pt idx="1363">
                  <c:v>15001002</c:v>
                </c:pt>
                <c:pt idx="1364">
                  <c:v>15500000</c:v>
                </c:pt>
                <c:pt idx="1365">
                  <c:v>15001001</c:v>
                </c:pt>
                <c:pt idx="1366">
                  <c:v>15520000</c:v>
                </c:pt>
                <c:pt idx="1367">
                  <c:v>15010000</c:v>
                </c:pt>
                <c:pt idx="1368">
                  <c:v>15000000</c:v>
                </c:pt>
                <c:pt idx="1369">
                  <c:v>15000000</c:v>
                </c:pt>
                <c:pt idx="1370">
                  <c:v>0</c:v>
                </c:pt>
                <c:pt idx="1371">
                  <c:v>0</c:v>
                </c:pt>
                <c:pt idx="1372">
                  <c:v>16000000</c:v>
                </c:pt>
                <c:pt idx="1373">
                  <c:v>16210000</c:v>
                </c:pt>
                <c:pt idx="1374">
                  <c:v>15000000</c:v>
                </c:pt>
                <c:pt idx="1375">
                  <c:v>15000000</c:v>
                </c:pt>
                <c:pt idx="1376">
                  <c:v>15000000</c:v>
                </c:pt>
                <c:pt idx="1377">
                  <c:v>16210000</c:v>
                </c:pt>
                <c:pt idx="1378">
                  <c:v>15000000</c:v>
                </c:pt>
                <c:pt idx="1379">
                  <c:v>16000000</c:v>
                </c:pt>
                <c:pt idx="1380">
                  <c:v>15001002</c:v>
                </c:pt>
                <c:pt idx="1381">
                  <c:v>15001002</c:v>
                </c:pt>
                <c:pt idx="1382">
                  <c:v>16003130</c:v>
                </c:pt>
                <c:pt idx="1383">
                  <c:v>0</c:v>
                </c:pt>
                <c:pt idx="1384">
                  <c:v>15000000</c:v>
                </c:pt>
                <c:pt idx="1385">
                  <c:v>15520000</c:v>
                </c:pt>
                <c:pt idx="1386">
                  <c:v>15000000</c:v>
                </c:pt>
                <c:pt idx="1387">
                  <c:v>0</c:v>
                </c:pt>
                <c:pt idx="1388">
                  <c:v>15000000</c:v>
                </c:pt>
                <c:pt idx="1389">
                  <c:v>15000000</c:v>
                </c:pt>
                <c:pt idx="1390">
                  <c:v>15000000</c:v>
                </c:pt>
                <c:pt idx="1391">
                  <c:v>15000000</c:v>
                </c:pt>
                <c:pt idx="1392">
                  <c:v>15001002</c:v>
                </c:pt>
                <c:pt idx="1393">
                  <c:v>16000000</c:v>
                </c:pt>
                <c:pt idx="1394">
                  <c:v>15001001</c:v>
                </c:pt>
                <c:pt idx="1395">
                  <c:v>0</c:v>
                </c:pt>
                <c:pt idx="1396">
                  <c:v>15001002</c:v>
                </c:pt>
                <c:pt idx="1397">
                  <c:v>15001002</c:v>
                </c:pt>
                <c:pt idx="1398">
                  <c:v>16000000</c:v>
                </c:pt>
                <c:pt idx="1399">
                  <c:v>15400000</c:v>
                </c:pt>
                <c:pt idx="1400">
                  <c:v>0</c:v>
                </c:pt>
                <c:pt idx="1401">
                  <c:v>15000000</c:v>
                </c:pt>
                <c:pt idx="1402">
                  <c:v>15000000</c:v>
                </c:pt>
                <c:pt idx="1403">
                  <c:v>0</c:v>
                </c:pt>
                <c:pt idx="1404">
                  <c:v>15001002</c:v>
                </c:pt>
                <c:pt idx="1405">
                  <c:v>16000000</c:v>
                </c:pt>
                <c:pt idx="1406">
                  <c:v>15001002</c:v>
                </c:pt>
                <c:pt idx="1407">
                  <c:v>15400000</c:v>
                </c:pt>
                <c:pt idx="1408">
                  <c:v>15000000</c:v>
                </c:pt>
                <c:pt idx="1409">
                  <c:v>15001001</c:v>
                </c:pt>
                <c:pt idx="1410">
                  <c:v>15000000</c:v>
                </c:pt>
                <c:pt idx="1411">
                  <c:v>15400000</c:v>
                </c:pt>
                <c:pt idx="1412">
                  <c:v>15500000</c:v>
                </c:pt>
                <c:pt idx="1413">
                  <c:v>15000000</c:v>
                </c:pt>
                <c:pt idx="1414">
                  <c:v>15000000</c:v>
                </c:pt>
                <c:pt idx="1415">
                  <c:v>15000000</c:v>
                </c:pt>
                <c:pt idx="1416">
                  <c:v>15000000</c:v>
                </c:pt>
                <c:pt idx="1417">
                  <c:v>15000000</c:v>
                </c:pt>
                <c:pt idx="1418">
                  <c:v>16000000</c:v>
                </c:pt>
                <c:pt idx="1419">
                  <c:v>15001002</c:v>
                </c:pt>
                <c:pt idx="1420">
                  <c:v>16000000</c:v>
                </c:pt>
                <c:pt idx="1421">
                  <c:v>15001002</c:v>
                </c:pt>
                <c:pt idx="1422">
                  <c:v>16600000</c:v>
                </c:pt>
                <c:pt idx="1423">
                  <c:v>0</c:v>
                </c:pt>
                <c:pt idx="1424">
                  <c:v>0</c:v>
                </c:pt>
                <c:pt idx="1425">
                  <c:v>15001001</c:v>
                </c:pt>
                <c:pt idx="1426">
                  <c:v>15001001</c:v>
                </c:pt>
                <c:pt idx="1427">
                  <c:v>0</c:v>
                </c:pt>
                <c:pt idx="1428">
                  <c:v>15000000</c:v>
                </c:pt>
                <c:pt idx="1429">
                  <c:v>15001001</c:v>
                </c:pt>
                <c:pt idx="1430">
                  <c:v>15420000</c:v>
                </c:pt>
                <c:pt idx="1431">
                  <c:v>15000000</c:v>
                </c:pt>
                <c:pt idx="1432">
                  <c:v>0</c:v>
                </c:pt>
                <c:pt idx="1433">
                  <c:v>15000000</c:v>
                </c:pt>
                <c:pt idx="1434">
                  <c:v>15001002</c:v>
                </c:pt>
                <c:pt idx="1435">
                  <c:v>16000000</c:v>
                </c:pt>
                <c:pt idx="1436">
                  <c:v>15001002</c:v>
                </c:pt>
                <c:pt idx="1437">
                  <c:v>16000000</c:v>
                </c:pt>
                <c:pt idx="1438">
                  <c:v>16210000</c:v>
                </c:pt>
                <c:pt idx="1439">
                  <c:v>16000000</c:v>
                </c:pt>
                <c:pt idx="1440">
                  <c:v>15000000</c:v>
                </c:pt>
                <c:pt idx="1441">
                  <c:v>15000000</c:v>
                </c:pt>
                <c:pt idx="1442">
                  <c:v>15000000</c:v>
                </c:pt>
                <c:pt idx="1443">
                  <c:v>15000000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16210000</c:v>
                </c:pt>
                <c:pt idx="1449">
                  <c:v>15000000</c:v>
                </c:pt>
                <c:pt idx="1450">
                  <c:v>15001002</c:v>
                </c:pt>
                <c:pt idx="1451">
                  <c:v>15001002</c:v>
                </c:pt>
                <c:pt idx="1452">
                  <c:v>15000000</c:v>
                </c:pt>
                <c:pt idx="1453">
                  <c:v>15000000</c:v>
                </c:pt>
                <c:pt idx="1454">
                  <c:v>15000000</c:v>
                </c:pt>
                <c:pt idx="1455">
                  <c:v>15000000</c:v>
                </c:pt>
                <c:pt idx="1456">
                  <c:v>15010000</c:v>
                </c:pt>
                <c:pt idx="1457">
                  <c:v>15000000</c:v>
                </c:pt>
                <c:pt idx="1458">
                  <c:v>16610000</c:v>
                </c:pt>
                <c:pt idx="1459">
                  <c:v>16600000</c:v>
                </c:pt>
                <c:pt idx="1460">
                  <c:v>15000000</c:v>
                </c:pt>
                <c:pt idx="1461">
                  <c:v>15000000</c:v>
                </c:pt>
                <c:pt idx="1462">
                  <c:v>16600000</c:v>
                </c:pt>
                <c:pt idx="1463">
                  <c:v>15000000</c:v>
                </c:pt>
                <c:pt idx="1464">
                  <c:v>15000000</c:v>
                </c:pt>
                <c:pt idx="1465">
                  <c:v>16610000</c:v>
                </c:pt>
                <c:pt idx="1466">
                  <c:v>16600000</c:v>
                </c:pt>
                <c:pt idx="1467">
                  <c:v>15001001</c:v>
                </c:pt>
                <c:pt idx="1468">
                  <c:v>26010000</c:v>
                </c:pt>
                <c:pt idx="1469">
                  <c:v>15500000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15000000</c:v>
                </c:pt>
                <c:pt idx="1474">
                  <c:v>15000000</c:v>
                </c:pt>
                <c:pt idx="1475">
                  <c:v>15001001</c:v>
                </c:pt>
                <c:pt idx="1476">
                  <c:v>15001001</c:v>
                </c:pt>
                <c:pt idx="1477">
                  <c:v>15001001</c:v>
                </c:pt>
                <c:pt idx="1478">
                  <c:v>17040000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15001001</c:v>
                </c:pt>
                <c:pt idx="1483">
                  <c:v>0</c:v>
                </c:pt>
                <c:pt idx="1484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15000000</c:v>
                </c:pt>
                <c:pt idx="1491">
                  <c:v>15001002</c:v>
                </c:pt>
                <c:pt idx="1492">
                  <c:v>16000000</c:v>
                </c:pt>
                <c:pt idx="1493">
                  <c:v>15001002</c:v>
                </c:pt>
                <c:pt idx="1494">
                  <c:v>15000000</c:v>
                </c:pt>
                <c:pt idx="1495">
                  <c:v>16210000</c:v>
                </c:pt>
                <c:pt idx="1496">
                  <c:v>15001002</c:v>
                </c:pt>
                <c:pt idx="1497">
                  <c:v>15001002</c:v>
                </c:pt>
                <c:pt idx="1498">
                  <c:v>16000000</c:v>
                </c:pt>
                <c:pt idx="1499">
                  <c:v>15001002</c:v>
                </c:pt>
                <c:pt idx="1500">
                  <c:v>15001001</c:v>
                </c:pt>
                <c:pt idx="1501">
                  <c:v>25460000</c:v>
                </c:pt>
                <c:pt idx="1502">
                  <c:v>25460000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15000000</c:v>
                </c:pt>
                <c:pt idx="1509">
                  <c:v>15420000</c:v>
                </c:pt>
                <c:pt idx="1510">
                  <c:v>15001001</c:v>
                </c:pt>
                <c:pt idx="1511">
                  <c:v>15400000</c:v>
                </c:pt>
                <c:pt idx="1512">
                  <c:v>15001001</c:v>
                </c:pt>
                <c:pt idx="1513">
                  <c:v>15000000</c:v>
                </c:pt>
                <c:pt idx="1514">
                  <c:v>15000000</c:v>
                </c:pt>
                <c:pt idx="1515">
                  <c:v>15000000</c:v>
                </c:pt>
                <c:pt idx="1516">
                  <c:v>15520000</c:v>
                </c:pt>
                <c:pt idx="1517">
                  <c:v>15520000</c:v>
                </c:pt>
                <c:pt idx="1518">
                  <c:v>15000000</c:v>
                </c:pt>
                <c:pt idx="1519">
                  <c:v>11621000</c:v>
                </c:pt>
                <c:pt idx="1520">
                  <c:v>16590000</c:v>
                </c:pt>
                <c:pt idx="1521">
                  <c:v>15001002</c:v>
                </c:pt>
                <c:pt idx="1522">
                  <c:v>15001002</c:v>
                </c:pt>
                <c:pt idx="1523">
                  <c:v>16000000</c:v>
                </c:pt>
                <c:pt idx="1524">
                  <c:v>150000000</c:v>
                </c:pt>
                <c:pt idx="1525">
                  <c:v>0</c:v>
                </c:pt>
                <c:pt idx="1526">
                  <c:v>15001002</c:v>
                </c:pt>
                <c:pt idx="1527">
                  <c:v>15001002</c:v>
                </c:pt>
                <c:pt idx="1528">
                  <c:v>15001001</c:v>
                </c:pt>
                <c:pt idx="1529">
                  <c:v>15000000</c:v>
                </c:pt>
                <c:pt idx="1530">
                  <c:v>15000000</c:v>
                </c:pt>
                <c:pt idx="1531">
                  <c:v>15500000</c:v>
                </c:pt>
                <c:pt idx="1532">
                  <c:v>16600000</c:v>
                </c:pt>
                <c:pt idx="1533">
                  <c:v>15000000</c:v>
                </c:pt>
                <c:pt idx="1534">
                  <c:v>15000000</c:v>
                </c:pt>
                <c:pt idx="1535">
                  <c:v>15001001</c:v>
                </c:pt>
                <c:pt idx="1536">
                  <c:v>15001001</c:v>
                </c:pt>
                <c:pt idx="1537">
                  <c:v>16000000</c:v>
                </c:pt>
                <c:pt idx="1538">
                  <c:v>15001002</c:v>
                </c:pt>
                <c:pt idx="1539">
                  <c:v>15001002</c:v>
                </c:pt>
                <c:pt idx="1540">
                  <c:v>16000000</c:v>
                </c:pt>
                <c:pt idx="1541">
                  <c:v>16210000</c:v>
                </c:pt>
                <c:pt idx="1542">
                  <c:v>16000000</c:v>
                </c:pt>
                <c:pt idx="1543">
                  <c:v>16000000</c:v>
                </c:pt>
                <c:pt idx="1544">
                  <c:v>15001002</c:v>
                </c:pt>
                <c:pt idx="1545">
                  <c:v>15000000</c:v>
                </c:pt>
                <c:pt idx="1546">
                  <c:v>15001002</c:v>
                </c:pt>
                <c:pt idx="1547">
                  <c:v>16600000</c:v>
                </c:pt>
                <c:pt idx="1548">
                  <c:v>16000000</c:v>
                </c:pt>
                <c:pt idx="1549">
                  <c:v>16000000</c:v>
                </c:pt>
                <c:pt idx="1550">
                  <c:v>16000000</c:v>
                </c:pt>
                <c:pt idx="1551">
                  <c:v>0</c:v>
                </c:pt>
                <c:pt idx="1552">
                  <c:v>16610000</c:v>
                </c:pt>
                <c:pt idx="1553">
                  <c:v>15000000</c:v>
                </c:pt>
                <c:pt idx="1554">
                  <c:v>15000000</c:v>
                </c:pt>
                <c:pt idx="1555">
                  <c:v>15001001</c:v>
                </c:pt>
                <c:pt idx="1556">
                  <c:v>16600000</c:v>
                </c:pt>
                <c:pt idx="1557">
                  <c:v>16610000</c:v>
                </c:pt>
                <c:pt idx="1558">
                  <c:v>15000000</c:v>
                </c:pt>
                <c:pt idx="1559">
                  <c:v>15000000</c:v>
                </c:pt>
                <c:pt idx="1560">
                  <c:v>15000000</c:v>
                </c:pt>
                <c:pt idx="1561">
                  <c:v>15001001</c:v>
                </c:pt>
                <c:pt idx="1562">
                  <c:v>15001002</c:v>
                </c:pt>
                <c:pt idx="1563">
                  <c:v>15001002</c:v>
                </c:pt>
                <c:pt idx="1564">
                  <c:v>16000000</c:v>
                </c:pt>
                <c:pt idx="1565">
                  <c:v>15001002</c:v>
                </c:pt>
                <c:pt idx="1566">
                  <c:v>15001002</c:v>
                </c:pt>
                <c:pt idx="1567">
                  <c:v>15001002</c:v>
                </c:pt>
                <c:pt idx="1568">
                  <c:v>15001002</c:v>
                </c:pt>
                <c:pt idx="1569">
                  <c:v>15001002</c:v>
                </c:pt>
                <c:pt idx="1570">
                  <c:v>15001001</c:v>
                </c:pt>
                <c:pt idx="1571">
                  <c:v>15001002</c:v>
                </c:pt>
                <c:pt idx="1572">
                  <c:v>15001002</c:v>
                </c:pt>
                <c:pt idx="1573">
                  <c:v>16000000</c:v>
                </c:pt>
                <c:pt idx="1574">
                  <c:v>16000000</c:v>
                </c:pt>
                <c:pt idx="1575">
                  <c:v>16000000</c:v>
                </c:pt>
                <c:pt idx="1576">
                  <c:v>15001001</c:v>
                </c:pt>
                <c:pt idx="1577">
                  <c:v>15000000</c:v>
                </c:pt>
                <c:pt idx="1578">
                  <c:v>15001002</c:v>
                </c:pt>
                <c:pt idx="1579">
                  <c:v>0</c:v>
                </c:pt>
                <c:pt idx="1580">
                  <c:v>15001002</c:v>
                </c:pt>
                <c:pt idx="1581">
                  <c:v>15000000</c:v>
                </c:pt>
                <c:pt idx="1582">
                  <c:v>15001002</c:v>
                </c:pt>
                <c:pt idx="1583">
                  <c:v>15001002</c:v>
                </c:pt>
                <c:pt idx="1584">
                  <c:v>15001002</c:v>
                </c:pt>
                <c:pt idx="1585">
                  <c:v>15001002</c:v>
                </c:pt>
                <c:pt idx="1586">
                  <c:v>15001002</c:v>
                </c:pt>
                <c:pt idx="1587">
                  <c:v>15001002</c:v>
                </c:pt>
                <c:pt idx="1588">
                  <c:v>15001002</c:v>
                </c:pt>
                <c:pt idx="1589">
                  <c:v>15001002</c:v>
                </c:pt>
                <c:pt idx="1590">
                  <c:v>15001002</c:v>
                </c:pt>
                <c:pt idx="1591">
                  <c:v>15001002</c:v>
                </c:pt>
                <c:pt idx="1592">
                  <c:v>15001002</c:v>
                </c:pt>
                <c:pt idx="1593">
                  <c:v>15001002</c:v>
                </c:pt>
                <c:pt idx="1594">
                  <c:v>15001002</c:v>
                </c:pt>
                <c:pt idx="1595">
                  <c:v>15001002</c:v>
                </c:pt>
                <c:pt idx="1596">
                  <c:v>15001002</c:v>
                </c:pt>
                <c:pt idx="1597">
                  <c:v>15001002</c:v>
                </c:pt>
                <c:pt idx="1598">
                  <c:v>15001002</c:v>
                </c:pt>
                <c:pt idx="1599">
                  <c:v>15001002</c:v>
                </c:pt>
                <c:pt idx="1600">
                  <c:v>15001002</c:v>
                </c:pt>
                <c:pt idx="1601">
                  <c:v>15000000</c:v>
                </c:pt>
                <c:pt idx="1602">
                  <c:v>15001002</c:v>
                </c:pt>
                <c:pt idx="1603">
                  <c:v>15001002</c:v>
                </c:pt>
                <c:pt idx="1604">
                  <c:v>15001002</c:v>
                </c:pt>
                <c:pt idx="1605">
                  <c:v>15000000</c:v>
                </c:pt>
                <c:pt idx="1606">
                  <c:v>15000000</c:v>
                </c:pt>
                <c:pt idx="1607">
                  <c:v>16000000</c:v>
                </c:pt>
                <c:pt idx="1608">
                  <c:v>15001002</c:v>
                </c:pt>
                <c:pt idx="1609">
                  <c:v>15001002</c:v>
                </c:pt>
                <c:pt idx="1610">
                  <c:v>15001001</c:v>
                </c:pt>
                <c:pt idx="1611">
                  <c:v>15001001</c:v>
                </c:pt>
                <c:pt idx="1612">
                  <c:v>15000000</c:v>
                </c:pt>
                <c:pt idx="1613">
                  <c:v>15400000</c:v>
                </c:pt>
                <c:pt idx="1614">
                  <c:v>15400000</c:v>
                </c:pt>
                <c:pt idx="1615">
                  <c:v>16600000</c:v>
                </c:pt>
                <c:pt idx="1616">
                  <c:v>15001001</c:v>
                </c:pt>
                <c:pt idx="1617">
                  <c:v>15000000</c:v>
                </c:pt>
                <c:pt idx="1618">
                  <c:v>15000000</c:v>
                </c:pt>
                <c:pt idx="1619">
                  <c:v>15000000</c:v>
                </c:pt>
                <c:pt idx="1620">
                  <c:v>15001002</c:v>
                </c:pt>
                <c:pt idx="1621">
                  <c:v>15001002</c:v>
                </c:pt>
                <c:pt idx="1622">
                  <c:v>15001002</c:v>
                </c:pt>
                <c:pt idx="1623">
                  <c:v>15001002</c:v>
                </c:pt>
                <c:pt idx="1624">
                  <c:v>15000000</c:v>
                </c:pt>
                <c:pt idx="1625">
                  <c:v>15000000</c:v>
                </c:pt>
                <c:pt idx="1626">
                  <c:v>15000000</c:v>
                </c:pt>
                <c:pt idx="1627">
                  <c:v>15001002</c:v>
                </c:pt>
                <c:pt idx="1628">
                  <c:v>15001002</c:v>
                </c:pt>
                <c:pt idx="1629">
                  <c:v>15000000</c:v>
                </c:pt>
                <c:pt idx="1630">
                  <c:v>15001002</c:v>
                </c:pt>
                <c:pt idx="1631">
                  <c:v>15001001</c:v>
                </c:pt>
                <c:pt idx="1632">
                  <c:v>15001002</c:v>
                </c:pt>
                <c:pt idx="1633">
                  <c:v>15000000</c:v>
                </c:pt>
                <c:pt idx="1634">
                  <c:v>16600000</c:v>
                </c:pt>
                <c:pt idx="1635">
                  <c:v>16600000</c:v>
                </c:pt>
                <c:pt idx="1636">
                  <c:v>16600000</c:v>
                </c:pt>
                <c:pt idx="1637">
                  <c:v>15001002</c:v>
                </c:pt>
                <c:pt idx="1638">
                  <c:v>15000000</c:v>
                </c:pt>
                <c:pt idx="1639">
                  <c:v>15000000</c:v>
                </c:pt>
                <c:pt idx="1640">
                  <c:v>15000000</c:v>
                </c:pt>
                <c:pt idx="1641">
                  <c:v>15000000</c:v>
                </c:pt>
                <c:pt idx="1642">
                  <c:v>15000000</c:v>
                </c:pt>
                <c:pt idx="1643">
                  <c:v>15000000</c:v>
                </c:pt>
                <c:pt idx="1644">
                  <c:v>15000000</c:v>
                </c:pt>
                <c:pt idx="1646">
                  <c:v>15000000</c:v>
                </c:pt>
                <c:pt idx="1647">
                  <c:v>15000000</c:v>
                </c:pt>
                <c:pt idx="1648">
                  <c:v>15000000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15001001</c:v>
                </c:pt>
                <c:pt idx="1656">
                  <c:v>15001002</c:v>
                </c:pt>
                <c:pt idx="1657">
                  <c:v>15001002</c:v>
                </c:pt>
                <c:pt idx="1658">
                  <c:v>15001002</c:v>
                </c:pt>
                <c:pt idx="1659">
                  <c:v>15001002</c:v>
                </c:pt>
                <c:pt idx="1660">
                  <c:v>15001002</c:v>
                </c:pt>
                <c:pt idx="1661">
                  <c:v>15001002</c:v>
                </c:pt>
                <c:pt idx="1662">
                  <c:v>0</c:v>
                </c:pt>
                <c:pt idx="1663">
                  <c:v>0</c:v>
                </c:pt>
                <c:pt idx="1664">
                  <c:v>15001001</c:v>
                </c:pt>
                <c:pt idx="1665">
                  <c:v>15000000</c:v>
                </c:pt>
                <c:pt idx="1666">
                  <c:v>15001001</c:v>
                </c:pt>
                <c:pt idx="1667">
                  <c:v>15000000</c:v>
                </c:pt>
                <c:pt idx="1668">
                  <c:v>15000000</c:v>
                </c:pt>
                <c:pt idx="1669">
                  <c:v>15000000</c:v>
                </c:pt>
                <c:pt idx="1670">
                  <c:v>15001001</c:v>
                </c:pt>
                <c:pt idx="1671">
                  <c:v>15001002</c:v>
                </c:pt>
                <c:pt idx="1672">
                  <c:v>15001002</c:v>
                </c:pt>
                <c:pt idx="1673">
                  <c:v>15001002</c:v>
                </c:pt>
                <c:pt idx="1674">
                  <c:v>15001002</c:v>
                </c:pt>
                <c:pt idx="1675">
                  <c:v>16000000</c:v>
                </c:pt>
                <c:pt idx="1676">
                  <c:v>15001001</c:v>
                </c:pt>
                <c:pt idx="1677">
                  <c:v>15001001</c:v>
                </c:pt>
                <c:pt idx="1678">
                  <c:v>15001002</c:v>
                </c:pt>
                <c:pt idx="1679">
                  <c:v>16610000</c:v>
                </c:pt>
                <c:pt idx="1680">
                  <c:v>16600000</c:v>
                </c:pt>
                <c:pt idx="1681">
                  <c:v>16600000</c:v>
                </c:pt>
                <c:pt idx="1682">
                  <c:v>16600000</c:v>
                </c:pt>
                <c:pt idx="1683">
                  <c:v>15000000</c:v>
                </c:pt>
                <c:pt idx="1684">
                  <c:v>15000000</c:v>
                </c:pt>
                <c:pt idx="1685">
                  <c:v>0</c:v>
                </c:pt>
                <c:pt idx="1686">
                  <c:v>15000000</c:v>
                </c:pt>
                <c:pt idx="1687">
                  <c:v>15000000</c:v>
                </c:pt>
                <c:pt idx="1688">
                  <c:v>15000000</c:v>
                </c:pt>
                <c:pt idx="1689">
                  <c:v>15000000</c:v>
                </c:pt>
                <c:pt idx="1690">
                  <c:v>15000000</c:v>
                </c:pt>
                <c:pt idx="1691">
                  <c:v>15000000</c:v>
                </c:pt>
                <c:pt idx="1692">
                  <c:v>15001002</c:v>
                </c:pt>
                <c:pt idx="1693">
                  <c:v>15001002</c:v>
                </c:pt>
                <c:pt idx="1694">
                  <c:v>25500000</c:v>
                </c:pt>
                <c:pt idx="1697">
                  <c:v>16590000</c:v>
                </c:pt>
                <c:pt idx="1698">
                  <c:v>15001002</c:v>
                </c:pt>
                <c:pt idx="1699">
                  <c:v>15001001</c:v>
                </c:pt>
                <c:pt idx="1700">
                  <c:v>15000000</c:v>
                </c:pt>
                <c:pt idx="1701">
                  <c:v>15000000</c:v>
                </c:pt>
                <c:pt idx="1702">
                  <c:v>15001001</c:v>
                </c:pt>
                <c:pt idx="1703">
                  <c:v>0</c:v>
                </c:pt>
                <c:pt idx="1704">
                  <c:v>15001001</c:v>
                </c:pt>
                <c:pt idx="1705">
                  <c:v>15001002</c:v>
                </c:pt>
                <c:pt idx="1706">
                  <c:v>15000000</c:v>
                </c:pt>
                <c:pt idx="1707">
                  <c:v>15000000</c:v>
                </c:pt>
                <c:pt idx="1708">
                  <c:v>15000000</c:v>
                </c:pt>
                <c:pt idx="1709">
                  <c:v>15000000</c:v>
                </c:pt>
                <c:pt idx="1710">
                  <c:v>15010000</c:v>
                </c:pt>
                <c:pt idx="1711">
                  <c:v>15000000</c:v>
                </c:pt>
                <c:pt idx="1712">
                  <c:v>15001002</c:v>
                </c:pt>
                <c:pt idx="1713">
                  <c:v>15000000</c:v>
                </c:pt>
                <c:pt idx="1714">
                  <c:v>0</c:v>
                </c:pt>
                <c:pt idx="1715">
                  <c:v>0</c:v>
                </c:pt>
                <c:pt idx="1716">
                  <c:v>15500000</c:v>
                </c:pt>
                <c:pt idx="1717">
                  <c:v>16610000</c:v>
                </c:pt>
                <c:pt idx="1718">
                  <c:v>15000000</c:v>
                </c:pt>
                <c:pt idx="1719">
                  <c:v>16600000</c:v>
                </c:pt>
                <c:pt idx="1720">
                  <c:v>15000000</c:v>
                </c:pt>
                <c:pt idx="1721">
                  <c:v>16600000</c:v>
                </c:pt>
                <c:pt idx="1722">
                  <c:v>15000000</c:v>
                </c:pt>
                <c:pt idx="1723">
                  <c:v>0</c:v>
                </c:pt>
                <c:pt idx="1724">
                  <c:v>15000000</c:v>
                </c:pt>
                <c:pt idx="1725">
                  <c:v>16600000</c:v>
                </c:pt>
                <c:pt idx="1726">
                  <c:v>15520000</c:v>
                </c:pt>
                <c:pt idx="1727">
                  <c:v>16610000</c:v>
                </c:pt>
                <c:pt idx="1728">
                  <c:v>16000000</c:v>
                </c:pt>
                <c:pt idx="1729">
                  <c:v>15001002</c:v>
                </c:pt>
                <c:pt idx="1730">
                  <c:v>15001002</c:v>
                </c:pt>
                <c:pt idx="1731">
                  <c:v>25440000</c:v>
                </c:pt>
                <c:pt idx="1732">
                  <c:v>15001002</c:v>
                </c:pt>
                <c:pt idx="1733">
                  <c:v>16000000</c:v>
                </c:pt>
                <c:pt idx="1734">
                  <c:v>16000000</c:v>
                </c:pt>
                <c:pt idx="1735">
                  <c:v>16000000</c:v>
                </c:pt>
                <c:pt idx="1736">
                  <c:v>15001001</c:v>
                </c:pt>
                <c:pt idx="1737">
                  <c:v>15500000</c:v>
                </c:pt>
                <c:pt idx="1738">
                  <c:v>0</c:v>
                </c:pt>
                <c:pt idx="1739">
                  <c:v>15001002</c:v>
                </c:pt>
                <c:pt idx="1740">
                  <c:v>17510000</c:v>
                </c:pt>
                <c:pt idx="1741">
                  <c:v>15001002</c:v>
                </c:pt>
                <c:pt idx="1742">
                  <c:v>15001002</c:v>
                </c:pt>
                <c:pt idx="1743">
                  <c:v>15000000</c:v>
                </c:pt>
                <c:pt idx="1744">
                  <c:v>16000000</c:v>
                </c:pt>
                <c:pt idx="1745">
                  <c:v>15001002</c:v>
                </c:pt>
                <c:pt idx="1746">
                  <c:v>15001002</c:v>
                </c:pt>
                <c:pt idx="1747">
                  <c:v>15001001</c:v>
                </c:pt>
                <c:pt idx="1748">
                  <c:v>16000000</c:v>
                </c:pt>
                <c:pt idx="1749">
                  <c:v>15000000</c:v>
                </c:pt>
                <c:pt idx="1750">
                  <c:v>15001001</c:v>
                </c:pt>
                <c:pt idx="1751">
                  <c:v>15001002</c:v>
                </c:pt>
                <c:pt idx="1752">
                  <c:v>0</c:v>
                </c:pt>
                <c:pt idx="1753">
                  <c:v>0</c:v>
                </c:pt>
                <c:pt idx="1754">
                  <c:v>15000000</c:v>
                </c:pt>
                <c:pt idx="1755">
                  <c:v>16600000</c:v>
                </c:pt>
                <c:pt idx="1756">
                  <c:v>16600000</c:v>
                </c:pt>
                <c:pt idx="1757">
                  <c:v>16600000</c:v>
                </c:pt>
                <c:pt idx="1758">
                  <c:v>15001002</c:v>
                </c:pt>
                <c:pt idx="1759">
                  <c:v>15001001</c:v>
                </c:pt>
                <c:pt idx="1760">
                  <c:v>16210000</c:v>
                </c:pt>
                <c:pt idx="1761">
                  <c:v>25500000</c:v>
                </c:pt>
                <c:pt idx="1762">
                  <c:v>16210000</c:v>
                </c:pt>
                <c:pt idx="1763">
                  <c:v>16210000</c:v>
                </c:pt>
                <c:pt idx="1764">
                  <c:v>15001002</c:v>
                </c:pt>
                <c:pt idx="1765">
                  <c:v>15520000</c:v>
                </c:pt>
                <c:pt idx="1766">
                  <c:v>15500000</c:v>
                </c:pt>
                <c:pt idx="1767">
                  <c:v>16000000</c:v>
                </c:pt>
                <c:pt idx="1768">
                  <c:v>15001002</c:v>
                </c:pt>
                <c:pt idx="1769">
                  <c:v>16000000</c:v>
                </c:pt>
                <c:pt idx="1770">
                  <c:v>16600000</c:v>
                </c:pt>
                <c:pt idx="1771">
                  <c:v>15000000</c:v>
                </c:pt>
                <c:pt idx="1772">
                  <c:v>16610000</c:v>
                </c:pt>
                <c:pt idx="1773">
                  <c:v>16610000</c:v>
                </c:pt>
                <c:pt idx="1774">
                  <c:v>16000000</c:v>
                </c:pt>
                <c:pt idx="1775">
                  <c:v>16000000</c:v>
                </c:pt>
                <c:pt idx="1776">
                  <c:v>15001002</c:v>
                </c:pt>
                <c:pt idx="1777">
                  <c:v>15010000</c:v>
                </c:pt>
                <c:pt idx="1778">
                  <c:v>16000000</c:v>
                </c:pt>
                <c:pt idx="1779">
                  <c:v>15001002</c:v>
                </c:pt>
                <c:pt idx="1780">
                  <c:v>16000000</c:v>
                </c:pt>
                <c:pt idx="1781">
                  <c:v>16210000</c:v>
                </c:pt>
                <c:pt idx="1782">
                  <c:v>0</c:v>
                </c:pt>
                <c:pt idx="1783">
                  <c:v>0</c:v>
                </c:pt>
                <c:pt idx="1784">
                  <c:v>16600000</c:v>
                </c:pt>
                <c:pt idx="1785">
                  <c:v>15000000</c:v>
                </c:pt>
                <c:pt idx="1786">
                  <c:v>15001002</c:v>
                </c:pt>
                <c:pt idx="1787">
                  <c:v>15000000</c:v>
                </c:pt>
                <c:pt idx="1788">
                  <c:v>25520000</c:v>
                </c:pt>
                <c:pt idx="1789">
                  <c:v>15000000</c:v>
                </c:pt>
                <c:pt idx="1790">
                  <c:v>15001002</c:v>
                </c:pt>
                <c:pt idx="1791">
                  <c:v>15001002</c:v>
                </c:pt>
                <c:pt idx="1792">
                  <c:v>16210000</c:v>
                </c:pt>
                <c:pt idx="1793">
                  <c:v>15001001</c:v>
                </c:pt>
                <c:pt idx="1794">
                  <c:v>0</c:v>
                </c:pt>
                <c:pt idx="1795">
                  <c:v>15001002</c:v>
                </c:pt>
                <c:pt idx="1796">
                  <c:v>15001002</c:v>
                </c:pt>
                <c:pt idx="1797">
                  <c:v>15001002</c:v>
                </c:pt>
                <c:pt idx="1798">
                  <c:v>16000000</c:v>
                </c:pt>
                <c:pt idx="1799">
                  <c:v>16000000</c:v>
                </c:pt>
                <c:pt idx="1800">
                  <c:v>15001002</c:v>
                </c:pt>
                <c:pt idx="1801">
                  <c:v>16210000</c:v>
                </c:pt>
                <c:pt idx="1802">
                  <c:v>16000000</c:v>
                </c:pt>
                <c:pt idx="1803">
                  <c:v>15000000</c:v>
                </c:pt>
                <c:pt idx="1804">
                  <c:v>0</c:v>
                </c:pt>
                <c:pt idx="1805">
                  <c:v>15000000</c:v>
                </c:pt>
                <c:pt idx="1806">
                  <c:v>15000000</c:v>
                </c:pt>
                <c:pt idx="1807">
                  <c:v>15000000</c:v>
                </c:pt>
                <c:pt idx="1808">
                  <c:v>25500000</c:v>
                </c:pt>
                <c:pt idx="1809">
                  <c:v>15500000</c:v>
                </c:pt>
                <c:pt idx="1810">
                  <c:v>15001002</c:v>
                </c:pt>
                <c:pt idx="1811">
                  <c:v>15001002</c:v>
                </c:pt>
                <c:pt idx="1812">
                  <c:v>15001002</c:v>
                </c:pt>
                <c:pt idx="1813">
                  <c:v>16000000</c:v>
                </c:pt>
                <c:pt idx="1814">
                  <c:v>15001002</c:v>
                </c:pt>
                <c:pt idx="1815">
                  <c:v>15001002</c:v>
                </c:pt>
                <c:pt idx="1816">
                  <c:v>26003130</c:v>
                </c:pt>
                <c:pt idx="1817">
                  <c:v>16000000</c:v>
                </c:pt>
                <c:pt idx="1818">
                  <c:v>26000000</c:v>
                </c:pt>
                <c:pt idx="1819">
                  <c:v>16210000</c:v>
                </c:pt>
                <c:pt idx="1820">
                  <c:v>15001002</c:v>
                </c:pt>
                <c:pt idx="1821">
                  <c:v>16000000</c:v>
                </c:pt>
                <c:pt idx="1822">
                  <c:v>15001002</c:v>
                </c:pt>
                <c:pt idx="1823">
                  <c:v>15000000</c:v>
                </c:pt>
                <c:pt idx="1824">
                  <c:v>16000000</c:v>
                </c:pt>
                <c:pt idx="1825">
                  <c:v>16000000</c:v>
                </c:pt>
                <c:pt idx="1826">
                  <c:v>26003130</c:v>
                </c:pt>
                <c:pt idx="1827">
                  <c:v>26010000</c:v>
                </c:pt>
                <c:pt idx="1828">
                  <c:v>15001002</c:v>
                </c:pt>
                <c:pt idx="1829">
                  <c:v>26003110</c:v>
                </c:pt>
                <c:pt idx="1830">
                  <c:v>26003130</c:v>
                </c:pt>
                <c:pt idx="1831">
                  <c:v>16000000</c:v>
                </c:pt>
                <c:pt idx="1832">
                  <c:v>26010000</c:v>
                </c:pt>
                <c:pt idx="1833">
                  <c:v>16590000</c:v>
                </c:pt>
                <c:pt idx="1834">
                  <c:v>16590000</c:v>
                </c:pt>
                <c:pt idx="1835">
                  <c:v>15001002</c:v>
                </c:pt>
                <c:pt idx="1836">
                  <c:v>26010000</c:v>
                </c:pt>
                <c:pt idx="1837">
                  <c:v>16000000</c:v>
                </c:pt>
                <c:pt idx="1838">
                  <c:v>16590000</c:v>
                </c:pt>
                <c:pt idx="1839">
                  <c:v>15000000</c:v>
                </c:pt>
                <c:pt idx="1840">
                  <c:v>26003130</c:v>
                </c:pt>
                <c:pt idx="1841">
                  <c:v>16000000</c:v>
                </c:pt>
                <c:pt idx="1842">
                  <c:v>26003130</c:v>
                </c:pt>
                <c:pt idx="1843">
                  <c:v>26003130</c:v>
                </c:pt>
                <c:pt idx="1844">
                  <c:v>16000000</c:v>
                </c:pt>
                <c:pt idx="1845">
                  <c:v>15001002</c:v>
                </c:pt>
                <c:pt idx="1846">
                  <c:v>16000000</c:v>
                </c:pt>
                <c:pt idx="1847">
                  <c:v>15001002</c:v>
                </c:pt>
                <c:pt idx="1848">
                  <c:v>15001002</c:v>
                </c:pt>
                <c:pt idx="1849">
                  <c:v>26003130</c:v>
                </c:pt>
                <c:pt idx="1850">
                  <c:v>16000000</c:v>
                </c:pt>
                <c:pt idx="1851">
                  <c:v>15001002</c:v>
                </c:pt>
                <c:pt idx="1852">
                  <c:v>15001002</c:v>
                </c:pt>
                <c:pt idx="1853">
                  <c:v>16210000</c:v>
                </c:pt>
                <c:pt idx="1854">
                  <c:v>15001002</c:v>
                </c:pt>
                <c:pt idx="1855">
                  <c:v>26003130</c:v>
                </c:pt>
                <c:pt idx="1856">
                  <c:v>15000000</c:v>
                </c:pt>
                <c:pt idx="1857">
                  <c:v>15000000</c:v>
                </c:pt>
                <c:pt idx="1858">
                  <c:v>15001002</c:v>
                </c:pt>
                <c:pt idx="1859">
                  <c:v>16000000</c:v>
                </c:pt>
                <c:pt idx="1860">
                  <c:v>16000000</c:v>
                </c:pt>
                <c:pt idx="1861">
                  <c:v>15001002</c:v>
                </c:pt>
                <c:pt idx="1862">
                  <c:v>15001002</c:v>
                </c:pt>
                <c:pt idx="1863">
                  <c:v>15000000</c:v>
                </c:pt>
                <c:pt idx="1864">
                  <c:v>15001002</c:v>
                </c:pt>
                <c:pt idx="1865">
                  <c:v>16590000</c:v>
                </c:pt>
                <c:pt idx="1866">
                  <c:v>15001002</c:v>
                </c:pt>
                <c:pt idx="1867">
                  <c:v>16000000</c:v>
                </c:pt>
                <c:pt idx="1868">
                  <c:v>15001002</c:v>
                </c:pt>
                <c:pt idx="1869">
                  <c:v>15001002</c:v>
                </c:pt>
                <c:pt idx="1870">
                  <c:v>16000000</c:v>
                </c:pt>
                <c:pt idx="1871">
                  <c:v>15001002</c:v>
                </c:pt>
                <c:pt idx="1872">
                  <c:v>16000000</c:v>
                </c:pt>
                <c:pt idx="1873">
                  <c:v>15001002</c:v>
                </c:pt>
                <c:pt idx="1874">
                  <c:v>16000000</c:v>
                </c:pt>
                <c:pt idx="1875">
                  <c:v>15500000</c:v>
                </c:pt>
                <c:pt idx="1876">
                  <c:v>16000000</c:v>
                </c:pt>
                <c:pt idx="1877">
                  <c:v>15000000</c:v>
                </c:pt>
                <c:pt idx="1878">
                  <c:v>15000000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16610000</c:v>
                </c:pt>
                <c:pt idx="1883">
                  <c:v>15000000</c:v>
                </c:pt>
                <c:pt idx="1884">
                  <c:v>15000000</c:v>
                </c:pt>
                <c:pt idx="1885">
                  <c:v>15000000</c:v>
                </c:pt>
                <c:pt idx="1886">
                  <c:v>0</c:v>
                </c:pt>
                <c:pt idx="1887">
                  <c:v>0</c:v>
                </c:pt>
                <c:pt idx="1888">
                  <c:v>16000000</c:v>
                </c:pt>
                <c:pt idx="1889">
                  <c:v>15000000</c:v>
                </c:pt>
                <c:pt idx="1890">
                  <c:v>16000000</c:v>
                </c:pt>
                <c:pt idx="1891">
                  <c:v>15001002</c:v>
                </c:pt>
                <c:pt idx="1892">
                  <c:v>16000000</c:v>
                </c:pt>
                <c:pt idx="1893">
                  <c:v>16000000</c:v>
                </c:pt>
                <c:pt idx="1894">
                  <c:v>16000000</c:v>
                </c:pt>
                <c:pt idx="1895">
                  <c:v>16000000</c:v>
                </c:pt>
                <c:pt idx="1896">
                  <c:v>16000000</c:v>
                </c:pt>
                <c:pt idx="1897">
                  <c:v>15000000</c:v>
                </c:pt>
                <c:pt idx="1898">
                  <c:v>16000000</c:v>
                </c:pt>
                <c:pt idx="1899">
                  <c:v>15001002</c:v>
                </c:pt>
                <c:pt idx="1900">
                  <c:v>15000000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D3-4085-A09B-B89DD00D11D6}"/>
            </c:ext>
          </c:extLst>
        </c:ser>
        <c:ser>
          <c:idx val="9"/>
          <c:order val="9"/>
          <c:tx>
            <c:strRef>
              <c:f>'INVENTÁRIO 2026'!$J$2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2026'!$J$3:$J$11861</c:f>
              <c:numCache>
                <c:formatCode>"R$"\ #,##0.00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9168</c:v>
                </c:pt>
                <c:pt idx="5">
                  <c:v>235000</c:v>
                </c:pt>
                <c:pt idx="6">
                  <c:v>1190062.3799999999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16520</c:v>
                </c:pt>
                <c:pt idx="16">
                  <c:v>10360</c:v>
                </c:pt>
                <c:pt idx="17">
                  <c:v>7080</c:v>
                </c:pt>
                <c:pt idx="18">
                  <c:v>18850</c:v>
                </c:pt>
                <c:pt idx="19">
                  <c:v>1220</c:v>
                </c:pt>
                <c:pt idx="20">
                  <c:v>26200</c:v>
                </c:pt>
                <c:pt idx="21">
                  <c:v>11800</c:v>
                </c:pt>
                <c:pt idx="22">
                  <c:v>5800</c:v>
                </c:pt>
                <c:pt idx="23">
                  <c:v>14500</c:v>
                </c:pt>
                <c:pt idx="24">
                  <c:v>18850</c:v>
                </c:pt>
                <c:pt idx="25">
                  <c:v>10620</c:v>
                </c:pt>
                <c:pt idx="26">
                  <c:v>2900</c:v>
                </c:pt>
                <c:pt idx="27">
                  <c:v>7080</c:v>
                </c:pt>
                <c:pt idx="28">
                  <c:v>14500</c:v>
                </c:pt>
                <c:pt idx="29">
                  <c:v>5800</c:v>
                </c:pt>
                <c:pt idx="30">
                  <c:v>35525</c:v>
                </c:pt>
                <c:pt idx="31">
                  <c:v>8260</c:v>
                </c:pt>
                <c:pt idx="32">
                  <c:v>16460</c:v>
                </c:pt>
                <c:pt idx="33">
                  <c:v>16520</c:v>
                </c:pt>
                <c:pt idx="34">
                  <c:v>29280</c:v>
                </c:pt>
                <c:pt idx="35">
                  <c:v>14500</c:v>
                </c:pt>
                <c:pt idx="36">
                  <c:v>14500</c:v>
                </c:pt>
                <c:pt idx="37">
                  <c:v>14640</c:v>
                </c:pt>
                <c:pt idx="38">
                  <c:v>26520</c:v>
                </c:pt>
                <c:pt idx="39">
                  <c:v>11800</c:v>
                </c:pt>
                <c:pt idx="40">
                  <c:v>13050</c:v>
                </c:pt>
                <c:pt idx="41">
                  <c:v>9440</c:v>
                </c:pt>
                <c:pt idx="42">
                  <c:v>30387.55</c:v>
                </c:pt>
                <c:pt idx="43">
                  <c:v>78905.399999999994</c:v>
                </c:pt>
                <c:pt idx="44">
                  <c:v>8797.83</c:v>
                </c:pt>
                <c:pt idx="45">
                  <c:v>0</c:v>
                </c:pt>
                <c:pt idx="46">
                  <c:v>1480</c:v>
                </c:pt>
                <c:pt idx="47">
                  <c:v>380</c:v>
                </c:pt>
                <c:pt idx="48">
                  <c:v>1100</c:v>
                </c:pt>
                <c:pt idx="49">
                  <c:v>1100</c:v>
                </c:pt>
                <c:pt idx="50">
                  <c:v>1500</c:v>
                </c:pt>
                <c:pt idx="51">
                  <c:v>1100</c:v>
                </c:pt>
                <c:pt idx="52">
                  <c:v>1100</c:v>
                </c:pt>
                <c:pt idx="53">
                  <c:v>4000</c:v>
                </c:pt>
                <c:pt idx="54">
                  <c:v>1978.19</c:v>
                </c:pt>
                <c:pt idx="55">
                  <c:v>3683.64</c:v>
                </c:pt>
                <c:pt idx="56">
                  <c:v>4274.3599999999997</c:v>
                </c:pt>
                <c:pt idx="57">
                  <c:v>0</c:v>
                </c:pt>
                <c:pt idx="58">
                  <c:v>3570.8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9760</c:v>
                </c:pt>
                <c:pt idx="63">
                  <c:v>9440</c:v>
                </c:pt>
                <c:pt idx="64">
                  <c:v>9813548.4000000004</c:v>
                </c:pt>
                <c:pt idx="65">
                  <c:v>0</c:v>
                </c:pt>
                <c:pt idx="66">
                  <c:v>34740</c:v>
                </c:pt>
                <c:pt idx="67">
                  <c:v>7080</c:v>
                </c:pt>
                <c:pt idx="68">
                  <c:v>189950.09</c:v>
                </c:pt>
                <c:pt idx="69">
                  <c:v>360957.41</c:v>
                </c:pt>
                <c:pt idx="70">
                  <c:v>0</c:v>
                </c:pt>
                <c:pt idx="71">
                  <c:v>0</c:v>
                </c:pt>
                <c:pt idx="72">
                  <c:v>8814</c:v>
                </c:pt>
                <c:pt idx="73">
                  <c:v>86748.95</c:v>
                </c:pt>
                <c:pt idx="74">
                  <c:v>74.459999999999994</c:v>
                </c:pt>
                <c:pt idx="75">
                  <c:v>6241.41</c:v>
                </c:pt>
                <c:pt idx="76">
                  <c:v>490</c:v>
                </c:pt>
                <c:pt idx="77">
                  <c:v>13916.66</c:v>
                </c:pt>
                <c:pt idx="78">
                  <c:v>8893.2000000000007</c:v>
                </c:pt>
                <c:pt idx="79">
                  <c:v>300</c:v>
                </c:pt>
                <c:pt idx="80">
                  <c:v>2448</c:v>
                </c:pt>
                <c:pt idx="81">
                  <c:v>529.20000000000005</c:v>
                </c:pt>
                <c:pt idx="82">
                  <c:v>2160</c:v>
                </c:pt>
                <c:pt idx="83">
                  <c:v>150</c:v>
                </c:pt>
                <c:pt idx="84">
                  <c:v>9101.4</c:v>
                </c:pt>
                <c:pt idx="85">
                  <c:v>732</c:v>
                </c:pt>
                <c:pt idx="86">
                  <c:v>1560.24</c:v>
                </c:pt>
                <c:pt idx="87">
                  <c:v>11780</c:v>
                </c:pt>
                <c:pt idx="88">
                  <c:v>161</c:v>
                </c:pt>
                <c:pt idx="89">
                  <c:v>1615.4</c:v>
                </c:pt>
                <c:pt idx="90">
                  <c:v>2500</c:v>
                </c:pt>
                <c:pt idx="91">
                  <c:v>3720</c:v>
                </c:pt>
                <c:pt idx="92">
                  <c:v>798</c:v>
                </c:pt>
                <c:pt idx="93">
                  <c:v>662.5</c:v>
                </c:pt>
                <c:pt idx="94">
                  <c:v>8396.64</c:v>
                </c:pt>
                <c:pt idx="95">
                  <c:v>1518</c:v>
                </c:pt>
                <c:pt idx="96">
                  <c:v>4890</c:v>
                </c:pt>
                <c:pt idx="97">
                  <c:v>78.599999999999994</c:v>
                </c:pt>
                <c:pt idx="98">
                  <c:v>2000</c:v>
                </c:pt>
                <c:pt idx="99">
                  <c:v>13226.4</c:v>
                </c:pt>
                <c:pt idx="100">
                  <c:v>7350</c:v>
                </c:pt>
                <c:pt idx="101">
                  <c:v>3030</c:v>
                </c:pt>
                <c:pt idx="102">
                  <c:v>10000</c:v>
                </c:pt>
                <c:pt idx="103">
                  <c:v>3400</c:v>
                </c:pt>
                <c:pt idx="104">
                  <c:v>8250</c:v>
                </c:pt>
                <c:pt idx="105">
                  <c:v>8256</c:v>
                </c:pt>
                <c:pt idx="106">
                  <c:v>2700</c:v>
                </c:pt>
                <c:pt idx="107">
                  <c:v>2184</c:v>
                </c:pt>
                <c:pt idx="108">
                  <c:v>1164</c:v>
                </c:pt>
                <c:pt idx="109">
                  <c:v>28000</c:v>
                </c:pt>
                <c:pt idx="110">
                  <c:v>816</c:v>
                </c:pt>
                <c:pt idx="111">
                  <c:v>660</c:v>
                </c:pt>
                <c:pt idx="112">
                  <c:v>686</c:v>
                </c:pt>
                <c:pt idx="113">
                  <c:v>2721.6</c:v>
                </c:pt>
                <c:pt idx="114">
                  <c:v>648</c:v>
                </c:pt>
                <c:pt idx="115">
                  <c:v>750</c:v>
                </c:pt>
                <c:pt idx="116">
                  <c:v>1600</c:v>
                </c:pt>
                <c:pt idx="117">
                  <c:v>1512</c:v>
                </c:pt>
                <c:pt idx="118">
                  <c:v>739.2</c:v>
                </c:pt>
                <c:pt idx="119">
                  <c:v>0</c:v>
                </c:pt>
                <c:pt idx="120">
                  <c:v>171</c:v>
                </c:pt>
                <c:pt idx="121">
                  <c:v>376</c:v>
                </c:pt>
                <c:pt idx="122">
                  <c:v>2500</c:v>
                </c:pt>
                <c:pt idx="123">
                  <c:v>2200</c:v>
                </c:pt>
                <c:pt idx="124">
                  <c:v>727.5</c:v>
                </c:pt>
                <c:pt idx="125">
                  <c:v>165</c:v>
                </c:pt>
                <c:pt idx="126">
                  <c:v>862</c:v>
                </c:pt>
                <c:pt idx="127">
                  <c:v>2112</c:v>
                </c:pt>
                <c:pt idx="128">
                  <c:v>1455</c:v>
                </c:pt>
                <c:pt idx="129">
                  <c:v>2200</c:v>
                </c:pt>
                <c:pt idx="130">
                  <c:v>285</c:v>
                </c:pt>
                <c:pt idx="131">
                  <c:v>4050</c:v>
                </c:pt>
                <c:pt idx="132">
                  <c:v>2505</c:v>
                </c:pt>
                <c:pt idx="133">
                  <c:v>89</c:v>
                </c:pt>
                <c:pt idx="134">
                  <c:v>4514.2700000000004</c:v>
                </c:pt>
                <c:pt idx="135">
                  <c:v>5962.9</c:v>
                </c:pt>
                <c:pt idx="136">
                  <c:v>3395</c:v>
                </c:pt>
                <c:pt idx="137">
                  <c:v>3469.65</c:v>
                </c:pt>
                <c:pt idx="138">
                  <c:v>149.30000000000001</c:v>
                </c:pt>
                <c:pt idx="139">
                  <c:v>950</c:v>
                </c:pt>
                <c:pt idx="140">
                  <c:v>1320</c:v>
                </c:pt>
                <c:pt idx="141">
                  <c:v>300</c:v>
                </c:pt>
                <c:pt idx="142">
                  <c:v>286</c:v>
                </c:pt>
                <c:pt idx="143">
                  <c:v>16219.2</c:v>
                </c:pt>
                <c:pt idx="144">
                  <c:v>42250.79</c:v>
                </c:pt>
                <c:pt idx="145">
                  <c:v>2160</c:v>
                </c:pt>
                <c:pt idx="146">
                  <c:v>8958</c:v>
                </c:pt>
                <c:pt idx="147">
                  <c:v>5504.4</c:v>
                </c:pt>
                <c:pt idx="148">
                  <c:v>4300</c:v>
                </c:pt>
                <c:pt idx="149">
                  <c:v>370</c:v>
                </c:pt>
                <c:pt idx="150">
                  <c:v>18000</c:v>
                </c:pt>
                <c:pt idx="151">
                  <c:v>11580</c:v>
                </c:pt>
                <c:pt idx="152">
                  <c:v>27550</c:v>
                </c:pt>
                <c:pt idx="153">
                  <c:v>0</c:v>
                </c:pt>
                <c:pt idx="154">
                  <c:v>1368.43</c:v>
                </c:pt>
                <c:pt idx="155">
                  <c:v>0</c:v>
                </c:pt>
                <c:pt idx="156">
                  <c:v>0</c:v>
                </c:pt>
                <c:pt idx="157">
                  <c:v>235000</c:v>
                </c:pt>
                <c:pt idx="158">
                  <c:v>1251859.45</c:v>
                </c:pt>
                <c:pt idx="159">
                  <c:v>20120</c:v>
                </c:pt>
                <c:pt idx="160">
                  <c:v>2111.58</c:v>
                </c:pt>
                <c:pt idx="161">
                  <c:v>28838.94</c:v>
                </c:pt>
                <c:pt idx="162">
                  <c:v>1917.39</c:v>
                </c:pt>
                <c:pt idx="163">
                  <c:v>2889</c:v>
                </c:pt>
                <c:pt idx="164">
                  <c:v>24414.43</c:v>
                </c:pt>
                <c:pt idx="165">
                  <c:v>10770</c:v>
                </c:pt>
                <c:pt idx="166">
                  <c:v>10500</c:v>
                </c:pt>
                <c:pt idx="167">
                  <c:v>2240</c:v>
                </c:pt>
                <c:pt idx="168">
                  <c:v>740</c:v>
                </c:pt>
                <c:pt idx="169">
                  <c:v>13728</c:v>
                </c:pt>
                <c:pt idx="170">
                  <c:v>0</c:v>
                </c:pt>
                <c:pt idx="171">
                  <c:v>0</c:v>
                </c:pt>
                <c:pt idx="172">
                  <c:v>24802.3</c:v>
                </c:pt>
                <c:pt idx="173">
                  <c:v>20976.35</c:v>
                </c:pt>
                <c:pt idx="174">
                  <c:v>281.39999999999998</c:v>
                </c:pt>
                <c:pt idx="175">
                  <c:v>149.9</c:v>
                </c:pt>
                <c:pt idx="176">
                  <c:v>80.400000000000006</c:v>
                </c:pt>
                <c:pt idx="177">
                  <c:v>173</c:v>
                </c:pt>
                <c:pt idx="178">
                  <c:v>1584</c:v>
                </c:pt>
                <c:pt idx="179">
                  <c:v>0</c:v>
                </c:pt>
                <c:pt idx="180">
                  <c:v>190000</c:v>
                </c:pt>
                <c:pt idx="181">
                  <c:v>220000</c:v>
                </c:pt>
                <c:pt idx="182">
                  <c:v>210000</c:v>
                </c:pt>
                <c:pt idx="183">
                  <c:v>100000</c:v>
                </c:pt>
                <c:pt idx="184">
                  <c:v>230000</c:v>
                </c:pt>
                <c:pt idx="185">
                  <c:v>0</c:v>
                </c:pt>
                <c:pt idx="186">
                  <c:v>71125.67</c:v>
                </c:pt>
                <c:pt idx="187">
                  <c:v>587819.18000000005</c:v>
                </c:pt>
                <c:pt idx="188">
                  <c:v>220</c:v>
                </c:pt>
                <c:pt idx="189">
                  <c:v>3000</c:v>
                </c:pt>
                <c:pt idx="190">
                  <c:v>950</c:v>
                </c:pt>
                <c:pt idx="191">
                  <c:v>3500</c:v>
                </c:pt>
                <c:pt idx="192">
                  <c:v>103482</c:v>
                </c:pt>
                <c:pt idx="193">
                  <c:v>62089.2</c:v>
                </c:pt>
                <c:pt idx="194">
                  <c:v>82785.600000000006</c:v>
                </c:pt>
                <c:pt idx="195">
                  <c:v>40407.9</c:v>
                </c:pt>
                <c:pt idx="196">
                  <c:v>37503</c:v>
                </c:pt>
                <c:pt idx="197">
                  <c:v>12221.88</c:v>
                </c:pt>
                <c:pt idx="198">
                  <c:v>12221.88</c:v>
                </c:pt>
                <c:pt idx="199">
                  <c:v>19010.32</c:v>
                </c:pt>
                <c:pt idx="200">
                  <c:v>9474.61</c:v>
                </c:pt>
                <c:pt idx="201">
                  <c:v>0</c:v>
                </c:pt>
                <c:pt idx="202">
                  <c:v>1800</c:v>
                </c:pt>
                <c:pt idx="203">
                  <c:v>2000.05</c:v>
                </c:pt>
                <c:pt idx="204">
                  <c:v>3000</c:v>
                </c:pt>
                <c:pt idx="205">
                  <c:v>94.31</c:v>
                </c:pt>
                <c:pt idx="206">
                  <c:v>502.69</c:v>
                </c:pt>
                <c:pt idx="207">
                  <c:v>112336.04</c:v>
                </c:pt>
                <c:pt idx="208">
                  <c:v>357.72</c:v>
                </c:pt>
                <c:pt idx="209">
                  <c:v>4603.6899999999996</c:v>
                </c:pt>
                <c:pt idx="210">
                  <c:v>2327.6799999999998</c:v>
                </c:pt>
                <c:pt idx="211">
                  <c:v>2569.94</c:v>
                </c:pt>
                <c:pt idx="212">
                  <c:v>2926.13</c:v>
                </c:pt>
                <c:pt idx="213">
                  <c:v>5546.23</c:v>
                </c:pt>
                <c:pt idx="214">
                  <c:v>916</c:v>
                </c:pt>
                <c:pt idx="215">
                  <c:v>5811.06</c:v>
                </c:pt>
                <c:pt idx="216">
                  <c:v>3423.6</c:v>
                </c:pt>
                <c:pt idx="217">
                  <c:v>2330.94</c:v>
                </c:pt>
                <c:pt idx="218">
                  <c:v>1336</c:v>
                </c:pt>
                <c:pt idx="219">
                  <c:v>150.65</c:v>
                </c:pt>
                <c:pt idx="220">
                  <c:v>650.71</c:v>
                </c:pt>
                <c:pt idx="221">
                  <c:v>1675.39</c:v>
                </c:pt>
                <c:pt idx="222">
                  <c:v>1668.41</c:v>
                </c:pt>
                <c:pt idx="223">
                  <c:v>23699.42</c:v>
                </c:pt>
                <c:pt idx="224">
                  <c:v>5565.55</c:v>
                </c:pt>
                <c:pt idx="225">
                  <c:v>11403.42</c:v>
                </c:pt>
                <c:pt idx="226">
                  <c:v>8203.58</c:v>
                </c:pt>
                <c:pt idx="227">
                  <c:v>4025.36</c:v>
                </c:pt>
                <c:pt idx="228">
                  <c:v>0</c:v>
                </c:pt>
                <c:pt idx="229">
                  <c:v>0</c:v>
                </c:pt>
                <c:pt idx="230">
                  <c:v>159370.20000000001</c:v>
                </c:pt>
                <c:pt idx="231">
                  <c:v>14330</c:v>
                </c:pt>
                <c:pt idx="232">
                  <c:v>20045</c:v>
                </c:pt>
                <c:pt idx="233">
                  <c:v>16972.5</c:v>
                </c:pt>
                <c:pt idx="234">
                  <c:v>14924</c:v>
                </c:pt>
                <c:pt idx="235">
                  <c:v>87348.08</c:v>
                </c:pt>
                <c:pt idx="236">
                  <c:v>91830</c:v>
                </c:pt>
                <c:pt idx="237">
                  <c:v>34620</c:v>
                </c:pt>
                <c:pt idx="238">
                  <c:v>87384.7</c:v>
                </c:pt>
                <c:pt idx="239">
                  <c:v>3219.25</c:v>
                </c:pt>
                <c:pt idx="240">
                  <c:v>1284.97</c:v>
                </c:pt>
                <c:pt idx="241">
                  <c:v>35050.660000000003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1299.82</c:v>
                </c:pt>
                <c:pt idx="246">
                  <c:v>350</c:v>
                </c:pt>
                <c:pt idx="247">
                  <c:v>0</c:v>
                </c:pt>
                <c:pt idx="248">
                  <c:v>104895</c:v>
                </c:pt>
                <c:pt idx="249">
                  <c:v>192124.91</c:v>
                </c:pt>
                <c:pt idx="250">
                  <c:v>0</c:v>
                </c:pt>
                <c:pt idx="251">
                  <c:v>100000</c:v>
                </c:pt>
                <c:pt idx="252">
                  <c:v>190000</c:v>
                </c:pt>
                <c:pt idx="253">
                  <c:v>220000</c:v>
                </c:pt>
                <c:pt idx="254">
                  <c:v>230000</c:v>
                </c:pt>
                <c:pt idx="255">
                  <c:v>190000</c:v>
                </c:pt>
                <c:pt idx="256">
                  <c:v>43019</c:v>
                </c:pt>
                <c:pt idx="257">
                  <c:v>60272.27</c:v>
                </c:pt>
                <c:pt idx="258">
                  <c:v>7800</c:v>
                </c:pt>
                <c:pt idx="259">
                  <c:v>7800</c:v>
                </c:pt>
                <c:pt idx="260">
                  <c:v>4229.7</c:v>
                </c:pt>
                <c:pt idx="261">
                  <c:v>13645.5</c:v>
                </c:pt>
                <c:pt idx="262">
                  <c:v>309</c:v>
                </c:pt>
                <c:pt idx="263">
                  <c:v>6490</c:v>
                </c:pt>
                <c:pt idx="264">
                  <c:v>200</c:v>
                </c:pt>
                <c:pt idx="265">
                  <c:v>55962.99</c:v>
                </c:pt>
                <c:pt idx="266">
                  <c:v>2251.87</c:v>
                </c:pt>
                <c:pt idx="267">
                  <c:v>5020</c:v>
                </c:pt>
                <c:pt idx="268">
                  <c:v>500</c:v>
                </c:pt>
                <c:pt idx="269">
                  <c:v>480</c:v>
                </c:pt>
                <c:pt idx="270">
                  <c:v>480</c:v>
                </c:pt>
                <c:pt idx="271">
                  <c:v>4500</c:v>
                </c:pt>
                <c:pt idx="272">
                  <c:v>3070</c:v>
                </c:pt>
                <c:pt idx="273">
                  <c:v>1860</c:v>
                </c:pt>
                <c:pt idx="274">
                  <c:v>0</c:v>
                </c:pt>
                <c:pt idx="275">
                  <c:v>0</c:v>
                </c:pt>
                <c:pt idx="276">
                  <c:v>15340</c:v>
                </c:pt>
                <c:pt idx="277">
                  <c:v>8708</c:v>
                </c:pt>
                <c:pt idx="278">
                  <c:v>0</c:v>
                </c:pt>
                <c:pt idx="279">
                  <c:v>8708</c:v>
                </c:pt>
                <c:pt idx="280">
                  <c:v>15340</c:v>
                </c:pt>
                <c:pt idx="281">
                  <c:v>1200</c:v>
                </c:pt>
                <c:pt idx="282">
                  <c:v>4950</c:v>
                </c:pt>
                <c:pt idx="283">
                  <c:v>9952.26</c:v>
                </c:pt>
                <c:pt idx="284">
                  <c:v>769370.16</c:v>
                </c:pt>
                <c:pt idx="285">
                  <c:v>0</c:v>
                </c:pt>
                <c:pt idx="286">
                  <c:v>482.4</c:v>
                </c:pt>
                <c:pt idx="287">
                  <c:v>189.07</c:v>
                </c:pt>
                <c:pt idx="288">
                  <c:v>35.14</c:v>
                </c:pt>
                <c:pt idx="289">
                  <c:v>591.71</c:v>
                </c:pt>
                <c:pt idx="290">
                  <c:v>229.6</c:v>
                </c:pt>
                <c:pt idx="291">
                  <c:v>14560</c:v>
                </c:pt>
                <c:pt idx="292">
                  <c:v>6240</c:v>
                </c:pt>
                <c:pt idx="293">
                  <c:v>6240</c:v>
                </c:pt>
                <c:pt idx="294">
                  <c:v>7553</c:v>
                </c:pt>
                <c:pt idx="295">
                  <c:v>9833</c:v>
                </c:pt>
                <c:pt idx="296">
                  <c:v>0</c:v>
                </c:pt>
                <c:pt idx="298">
                  <c:v>1249895.56</c:v>
                </c:pt>
                <c:pt idx="299">
                  <c:v>82613.679999999993</c:v>
                </c:pt>
                <c:pt idx="300">
                  <c:v>507.99</c:v>
                </c:pt>
                <c:pt idx="301">
                  <c:v>14734</c:v>
                </c:pt>
                <c:pt idx="302">
                  <c:v>1805.5</c:v>
                </c:pt>
                <c:pt idx="303">
                  <c:v>143198</c:v>
                </c:pt>
                <c:pt idx="304">
                  <c:v>42</c:v>
                </c:pt>
                <c:pt idx="305">
                  <c:v>4596</c:v>
                </c:pt>
                <c:pt idx="306">
                  <c:v>1535.18</c:v>
                </c:pt>
                <c:pt idx="307">
                  <c:v>23810.27</c:v>
                </c:pt>
                <c:pt idx="308">
                  <c:v>62.58</c:v>
                </c:pt>
                <c:pt idx="309">
                  <c:v>4460.6499999999996</c:v>
                </c:pt>
                <c:pt idx="310">
                  <c:v>4232</c:v>
                </c:pt>
                <c:pt idx="311">
                  <c:v>341.36</c:v>
                </c:pt>
                <c:pt idx="312">
                  <c:v>1100</c:v>
                </c:pt>
                <c:pt idx="313">
                  <c:v>1653</c:v>
                </c:pt>
                <c:pt idx="314">
                  <c:v>108704.96000000001</c:v>
                </c:pt>
                <c:pt idx="315">
                  <c:v>1500</c:v>
                </c:pt>
                <c:pt idx="316">
                  <c:v>3340</c:v>
                </c:pt>
                <c:pt idx="317">
                  <c:v>0</c:v>
                </c:pt>
                <c:pt idx="318">
                  <c:v>49284.49</c:v>
                </c:pt>
                <c:pt idx="319">
                  <c:v>6000</c:v>
                </c:pt>
                <c:pt idx="320">
                  <c:v>12399.43</c:v>
                </c:pt>
                <c:pt idx="321">
                  <c:v>1288.72</c:v>
                </c:pt>
                <c:pt idx="322">
                  <c:v>1869</c:v>
                </c:pt>
                <c:pt idx="323">
                  <c:v>9168</c:v>
                </c:pt>
                <c:pt idx="324">
                  <c:v>4927.1000000000004</c:v>
                </c:pt>
                <c:pt idx="325">
                  <c:v>0</c:v>
                </c:pt>
                <c:pt idx="326">
                  <c:v>722.8</c:v>
                </c:pt>
                <c:pt idx="327">
                  <c:v>518.78</c:v>
                </c:pt>
                <c:pt idx="328">
                  <c:v>160000</c:v>
                </c:pt>
                <c:pt idx="329">
                  <c:v>472478.4</c:v>
                </c:pt>
                <c:pt idx="330">
                  <c:v>2636.34</c:v>
                </c:pt>
                <c:pt idx="331">
                  <c:v>3900</c:v>
                </c:pt>
                <c:pt idx="332">
                  <c:v>4358.08</c:v>
                </c:pt>
                <c:pt idx="333">
                  <c:v>4222.1400000000003</c:v>
                </c:pt>
                <c:pt idx="334">
                  <c:v>1288.92</c:v>
                </c:pt>
                <c:pt idx="335">
                  <c:v>0</c:v>
                </c:pt>
                <c:pt idx="336">
                  <c:v>174400</c:v>
                </c:pt>
                <c:pt idx="337">
                  <c:v>18780.68</c:v>
                </c:pt>
                <c:pt idx="338">
                  <c:v>173855.35999999999</c:v>
                </c:pt>
                <c:pt idx="339">
                  <c:v>76110</c:v>
                </c:pt>
                <c:pt idx="340">
                  <c:v>49644.85</c:v>
                </c:pt>
                <c:pt idx="341">
                  <c:v>50343.11</c:v>
                </c:pt>
                <c:pt idx="342">
                  <c:v>5884.46</c:v>
                </c:pt>
                <c:pt idx="343">
                  <c:v>7308</c:v>
                </c:pt>
                <c:pt idx="344">
                  <c:v>12762</c:v>
                </c:pt>
                <c:pt idx="345">
                  <c:v>9137.92</c:v>
                </c:pt>
                <c:pt idx="346">
                  <c:v>13870.8</c:v>
                </c:pt>
                <c:pt idx="347">
                  <c:v>9994</c:v>
                </c:pt>
                <c:pt idx="348">
                  <c:v>0</c:v>
                </c:pt>
                <c:pt idx="349">
                  <c:v>348.67</c:v>
                </c:pt>
                <c:pt idx="350">
                  <c:v>348.6</c:v>
                </c:pt>
                <c:pt idx="351">
                  <c:v>1299.51</c:v>
                </c:pt>
                <c:pt idx="352">
                  <c:v>30032.6</c:v>
                </c:pt>
                <c:pt idx="353">
                  <c:v>1037.07</c:v>
                </c:pt>
                <c:pt idx="354">
                  <c:v>17863.28</c:v>
                </c:pt>
                <c:pt idx="355">
                  <c:v>14160</c:v>
                </c:pt>
                <c:pt idx="356">
                  <c:v>26100</c:v>
                </c:pt>
                <c:pt idx="357">
                  <c:v>29000</c:v>
                </c:pt>
                <c:pt idx="358">
                  <c:v>10620</c:v>
                </c:pt>
                <c:pt idx="359">
                  <c:v>16460</c:v>
                </c:pt>
                <c:pt idx="360">
                  <c:v>4880</c:v>
                </c:pt>
                <c:pt idx="361">
                  <c:v>225.82</c:v>
                </c:pt>
                <c:pt idx="362">
                  <c:v>260.31</c:v>
                </c:pt>
                <c:pt idx="363">
                  <c:v>408.92</c:v>
                </c:pt>
                <c:pt idx="364">
                  <c:v>309.85000000000002</c:v>
                </c:pt>
                <c:pt idx="365">
                  <c:v>600</c:v>
                </c:pt>
                <c:pt idx="366">
                  <c:v>600</c:v>
                </c:pt>
                <c:pt idx="367">
                  <c:v>1474.7</c:v>
                </c:pt>
                <c:pt idx="368">
                  <c:v>9428.51</c:v>
                </c:pt>
                <c:pt idx="369">
                  <c:v>13797.6</c:v>
                </c:pt>
                <c:pt idx="370">
                  <c:v>48180</c:v>
                </c:pt>
                <c:pt idx="371">
                  <c:v>72400</c:v>
                </c:pt>
                <c:pt idx="372">
                  <c:v>600</c:v>
                </c:pt>
                <c:pt idx="373">
                  <c:v>21340</c:v>
                </c:pt>
                <c:pt idx="374">
                  <c:v>600</c:v>
                </c:pt>
                <c:pt idx="375">
                  <c:v>21340</c:v>
                </c:pt>
                <c:pt idx="376">
                  <c:v>11600</c:v>
                </c:pt>
                <c:pt idx="377">
                  <c:v>13050</c:v>
                </c:pt>
                <c:pt idx="378">
                  <c:v>14500</c:v>
                </c:pt>
                <c:pt idx="379">
                  <c:v>7080</c:v>
                </c:pt>
                <c:pt idx="380">
                  <c:v>709.27</c:v>
                </c:pt>
                <c:pt idx="381">
                  <c:v>104159.34</c:v>
                </c:pt>
                <c:pt idx="382">
                  <c:v>5800</c:v>
                </c:pt>
                <c:pt idx="383">
                  <c:v>9440</c:v>
                </c:pt>
                <c:pt idx="384">
                  <c:v>2440</c:v>
                </c:pt>
                <c:pt idx="385">
                  <c:v>7080</c:v>
                </c:pt>
                <c:pt idx="386">
                  <c:v>9760</c:v>
                </c:pt>
                <c:pt idx="387">
                  <c:v>20300</c:v>
                </c:pt>
                <c:pt idx="388">
                  <c:v>5800</c:v>
                </c:pt>
                <c:pt idx="389">
                  <c:v>29000</c:v>
                </c:pt>
                <c:pt idx="390">
                  <c:v>9440</c:v>
                </c:pt>
                <c:pt idx="391">
                  <c:v>9760</c:v>
                </c:pt>
                <c:pt idx="392">
                  <c:v>4720</c:v>
                </c:pt>
                <c:pt idx="393">
                  <c:v>10620</c:v>
                </c:pt>
                <c:pt idx="394">
                  <c:v>16520</c:v>
                </c:pt>
                <c:pt idx="395">
                  <c:v>2440</c:v>
                </c:pt>
                <c:pt idx="396">
                  <c:v>10620</c:v>
                </c:pt>
                <c:pt idx="397">
                  <c:v>15950</c:v>
                </c:pt>
                <c:pt idx="398">
                  <c:v>38020</c:v>
                </c:pt>
                <c:pt idx="399">
                  <c:v>3000</c:v>
                </c:pt>
                <c:pt idx="400">
                  <c:v>220</c:v>
                </c:pt>
                <c:pt idx="401">
                  <c:v>3340</c:v>
                </c:pt>
                <c:pt idx="402">
                  <c:v>11800</c:v>
                </c:pt>
                <c:pt idx="403">
                  <c:v>950</c:v>
                </c:pt>
                <c:pt idx="404">
                  <c:v>58328.42</c:v>
                </c:pt>
                <c:pt idx="405">
                  <c:v>110159.59</c:v>
                </c:pt>
                <c:pt idx="406">
                  <c:v>255.71</c:v>
                </c:pt>
                <c:pt idx="407">
                  <c:v>14447.2</c:v>
                </c:pt>
                <c:pt idx="408">
                  <c:v>0</c:v>
                </c:pt>
                <c:pt idx="409">
                  <c:v>170.68</c:v>
                </c:pt>
                <c:pt idx="410">
                  <c:v>3621.56</c:v>
                </c:pt>
                <c:pt idx="411">
                  <c:v>247659.07</c:v>
                </c:pt>
                <c:pt idx="412">
                  <c:v>13916.66</c:v>
                </c:pt>
                <c:pt idx="413">
                  <c:v>9440</c:v>
                </c:pt>
                <c:pt idx="414">
                  <c:v>0</c:v>
                </c:pt>
                <c:pt idx="415">
                  <c:v>1509.25</c:v>
                </c:pt>
                <c:pt idx="416">
                  <c:v>0</c:v>
                </c:pt>
                <c:pt idx="417">
                  <c:v>37503</c:v>
                </c:pt>
                <c:pt idx="418">
                  <c:v>5000</c:v>
                </c:pt>
                <c:pt idx="419">
                  <c:v>171489.97</c:v>
                </c:pt>
                <c:pt idx="420">
                  <c:v>380846.43</c:v>
                </c:pt>
                <c:pt idx="421">
                  <c:v>80000</c:v>
                </c:pt>
                <c:pt idx="422">
                  <c:v>200000</c:v>
                </c:pt>
                <c:pt idx="423">
                  <c:v>11600</c:v>
                </c:pt>
                <c:pt idx="424">
                  <c:v>10192</c:v>
                </c:pt>
                <c:pt idx="425">
                  <c:v>1800</c:v>
                </c:pt>
                <c:pt idx="426">
                  <c:v>332.5</c:v>
                </c:pt>
                <c:pt idx="427">
                  <c:v>6200</c:v>
                </c:pt>
                <c:pt idx="428">
                  <c:v>4000</c:v>
                </c:pt>
                <c:pt idx="429">
                  <c:v>18286.04</c:v>
                </c:pt>
                <c:pt idx="430">
                  <c:v>12666.48</c:v>
                </c:pt>
                <c:pt idx="431">
                  <c:v>1288.72</c:v>
                </c:pt>
                <c:pt idx="432">
                  <c:v>8786.0400000000009</c:v>
                </c:pt>
                <c:pt idx="433">
                  <c:v>128.01</c:v>
                </c:pt>
                <c:pt idx="434">
                  <c:v>16903.05</c:v>
                </c:pt>
                <c:pt idx="435">
                  <c:v>2692.41</c:v>
                </c:pt>
                <c:pt idx="436">
                  <c:v>8934</c:v>
                </c:pt>
                <c:pt idx="437">
                  <c:v>18000</c:v>
                </c:pt>
                <c:pt idx="438">
                  <c:v>750810.49</c:v>
                </c:pt>
                <c:pt idx="439">
                  <c:v>433035.02</c:v>
                </c:pt>
                <c:pt idx="440">
                  <c:v>29280</c:v>
                </c:pt>
                <c:pt idx="441">
                  <c:v>386.28</c:v>
                </c:pt>
                <c:pt idx="442">
                  <c:v>1288.92</c:v>
                </c:pt>
                <c:pt idx="443">
                  <c:v>9200</c:v>
                </c:pt>
                <c:pt idx="444">
                  <c:v>16726.84</c:v>
                </c:pt>
                <c:pt idx="445">
                  <c:v>0</c:v>
                </c:pt>
                <c:pt idx="446">
                  <c:v>722.8</c:v>
                </c:pt>
                <c:pt idx="447">
                  <c:v>19800</c:v>
                </c:pt>
                <c:pt idx="448">
                  <c:v>20367</c:v>
                </c:pt>
                <c:pt idx="449">
                  <c:v>4413.3599999999997</c:v>
                </c:pt>
                <c:pt idx="450">
                  <c:v>3000</c:v>
                </c:pt>
                <c:pt idx="451">
                  <c:v>3000</c:v>
                </c:pt>
                <c:pt idx="452">
                  <c:v>3000</c:v>
                </c:pt>
                <c:pt idx="453">
                  <c:v>3000</c:v>
                </c:pt>
                <c:pt idx="454">
                  <c:v>35000</c:v>
                </c:pt>
                <c:pt idx="455">
                  <c:v>1140</c:v>
                </c:pt>
                <c:pt idx="456">
                  <c:v>0</c:v>
                </c:pt>
                <c:pt idx="457">
                  <c:v>1370.2</c:v>
                </c:pt>
                <c:pt idx="458">
                  <c:v>9715.5</c:v>
                </c:pt>
                <c:pt idx="459">
                  <c:v>13000</c:v>
                </c:pt>
                <c:pt idx="460">
                  <c:v>4040.21</c:v>
                </c:pt>
                <c:pt idx="461">
                  <c:v>90886.44</c:v>
                </c:pt>
                <c:pt idx="462">
                  <c:v>0</c:v>
                </c:pt>
                <c:pt idx="463">
                  <c:v>35433.71</c:v>
                </c:pt>
                <c:pt idx="464">
                  <c:v>192124.91</c:v>
                </c:pt>
                <c:pt idx="465">
                  <c:v>32310.36</c:v>
                </c:pt>
                <c:pt idx="466">
                  <c:v>12299.19</c:v>
                </c:pt>
                <c:pt idx="467">
                  <c:v>5000</c:v>
                </c:pt>
                <c:pt idx="468">
                  <c:v>8920</c:v>
                </c:pt>
                <c:pt idx="469">
                  <c:v>10500</c:v>
                </c:pt>
                <c:pt idx="470">
                  <c:v>10500</c:v>
                </c:pt>
                <c:pt idx="471">
                  <c:v>1243.5999999999999</c:v>
                </c:pt>
                <c:pt idx="472">
                  <c:v>4534.6499999999996</c:v>
                </c:pt>
                <c:pt idx="473">
                  <c:v>1534.6</c:v>
                </c:pt>
                <c:pt idx="474">
                  <c:v>4521.01</c:v>
                </c:pt>
                <c:pt idx="475">
                  <c:v>217.73</c:v>
                </c:pt>
                <c:pt idx="476">
                  <c:v>344.06</c:v>
                </c:pt>
                <c:pt idx="477">
                  <c:v>3000</c:v>
                </c:pt>
                <c:pt idx="478">
                  <c:v>4000</c:v>
                </c:pt>
                <c:pt idx="479">
                  <c:v>5000</c:v>
                </c:pt>
                <c:pt idx="480">
                  <c:v>104895</c:v>
                </c:pt>
                <c:pt idx="481">
                  <c:v>20976.35</c:v>
                </c:pt>
                <c:pt idx="482">
                  <c:v>71125.67</c:v>
                </c:pt>
                <c:pt idx="483">
                  <c:v>24802.3</c:v>
                </c:pt>
                <c:pt idx="484">
                  <c:v>1805.5</c:v>
                </c:pt>
                <c:pt idx="485">
                  <c:v>17956.46</c:v>
                </c:pt>
                <c:pt idx="486">
                  <c:v>406</c:v>
                </c:pt>
                <c:pt idx="487">
                  <c:v>20367</c:v>
                </c:pt>
                <c:pt idx="488">
                  <c:v>83793.8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212</c:v>
                </c:pt>
                <c:pt idx="494">
                  <c:v>120890</c:v>
                </c:pt>
                <c:pt idx="495">
                  <c:v>33000</c:v>
                </c:pt>
                <c:pt idx="496">
                  <c:v>20000</c:v>
                </c:pt>
                <c:pt idx="497">
                  <c:v>20000</c:v>
                </c:pt>
                <c:pt idx="498">
                  <c:v>0</c:v>
                </c:pt>
                <c:pt idx="499">
                  <c:v>32250</c:v>
                </c:pt>
                <c:pt idx="500">
                  <c:v>2889</c:v>
                </c:pt>
                <c:pt idx="501">
                  <c:v>135905</c:v>
                </c:pt>
                <c:pt idx="502">
                  <c:v>1251.6199999999999</c:v>
                </c:pt>
                <c:pt idx="503">
                  <c:v>9144</c:v>
                </c:pt>
                <c:pt idx="504">
                  <c:v>2227.61</c:v>
                </c:pt>
                <c:pt idx="505">
                  <c:v>5745.27</c:v>
                </c:pt>
                <c:pt idx="506">
                  <c:v>916</c:v>
                </c:pt>
                <c:pt idx="507">
                  <c:v>1917.39</c:v>
                </c:pt>
                <c:pt idx="508">
                  <c:v>24414.43</c:v>
                </c:pt>
                <c:pt idx="509">
                  <c:v>34252</c:v>
                </c:pt>
                <c:pt idx="510" formatCode="&quot;R$&quot;#,##0.00_);[Red]\(&quot;R$&quot;#,##0.00\)">
                  <c:v>0</c:v>
                </c:pt>
                <c:pt idx="511">
                  <c:v>170.68</c:v>
                </c:pt>
                <c:pt idx="512">
                  <c:v>0</c:v>
                </c:pt>
                <c:pt idx="513" formatCode="&quot;R$&quot;#,##0.00_);[Red]\(&quot;R$&quot;#,##0.00\)">
                  <c:v>0</c:v>
                </c:pt>
                <c:pt idx="514">
                  <c:v>76.75</c:v>
                </c:pt>
                <c:pt idx="515">
                  <c:v>2262.31</c:v>
                </c:pt>
                <c:pt idx="516">
                  <c:v>1024.01</c:v>
                </c:pt>
                <c:pt idx="517">
                  <c:v>1094.72</c:v>
                </c:pt>
                <c:pt idx="518">
                  <c:v>398.73</c:v>
                </c:pt>
                <c:pt idx="519">
                  <c:v>482.4</c:v>
                </c:pt>
                <c:pt idx="520">
                  <c:v>25530</c:v>
                </c:pt>
                <c:pt idx="521">
                  <c:v>100158.25</c:v>
                </c:pt>
                <c:pt idx="522">
                  <c:v>71.5</c:v>
                </c:pt>
                <c:pt idx="523">
                  <c:v>147.6</c:v>
                </c:pt>
                <c:pt idx="524">
                  <c:v>2366</c:v>
                </c:pt>
                <c:pt idx="525">
                  <c:v>5000</c:v>
                </c:pt>
                <c:pt idx="526">
                  <c:v>161</c:v>
                </c:pt>
                <c:pt idx="527">
                  <c:v>2351.73</c:v>
                </c:pt>
                <c:pt idx="528">
                  <c:v>184068.17</c:v>
                </c:pt>
                <c:pt idx="529">
                  <c:v>11785.83</c:v>
                </c:pt>
                <c:pt idx="530">
                  <c:v>9437.31</c:v>
                </c:pt>
                <c:pt idx="531">
                  <c:v>12768.68</c:v>
                </c:pt>
                <c:pt idx="532">
                  <c:v>4629.01</c:v>
                </c:pt>
                <c:pt idx="533">
                  <c:v>995.76</c:v>
                </c:pt>
                <c:pt idx="534">
                  <c:v>5393.5</c:v>
                </c:pt>
                <c:pt idx="535">
                  <c:v>13510</c:v>
                </c:pt>
                <c:pt idx="536">
                  <c:v>6500</c:v>
                </c:pt>
                <c:pt idx="537">
                  <c:v>1284.97</c:v>
                </c:pt>
                <c:pt idx="538">
                  <c:v>1284.97</c:v>
                </c:pt>
                <c:pt idx="539">
                  <c:v>1284.97</c:v>
                </c:pt>
                <c:pt idx="540">
                  <c:v>0</c:v>
                </c:pt>
                <c:pt idx="541">
                  <c:v>239370</c:v>
                </c:pt>
                <c:pt idx="542">
                  <c:v>801.6</c:v>
                </c:pt>
                <c:pt idx="543">
                  <c:v>4466</c:v>
                </c:pt>
                <c:pt idx="544">
                  <c:v>84880.94</c:v>
                </c:pt>
                <c:pt idx="545">
                  <c:v>9941.77</c:v>
                </c:pt>
                <c:pt idx="546">
                  <c:v>10188</c:v>
                </c:pt>
                <c:pt idx="547">
                  <c:v>44640</c:v>
                </c:pt>
                <c:pt idx="548">
                  <c:v>27360</c:v>
                </c:pt>
                <c:pt idx="549">
                  <c:v>12320.18</c:v>
                </c:pt>
                <c:pt idx="550">
                  <c:v>0</c:v>
                </c:pt>
                <c:pt idx="551">
                  <c:v>1284.97</c:v>
                </c:pt>
                <c:pt idx="552">
                  <c:v>12221.88</c:v>
                </c:pt>
                <c:pt idx="553">
                  <c:v>34252</c:v>
                </c:pt>
                <c:pt idx="554">
                  <c:v>430872.21</c:v>
                </c:pt>
                <c:pt idx="555">
                  <c:v>58520.81</c:v>
                </c:pt>
                <c:pt idx="556">
                  <c:v>22322.35</c:v>
                </c:pt>
                <c:pt idx="557">
                  <c:v>557.53</c:v>
                </c:pt>
                <c:pt idx="558">
                  <c:v>82355.83</c:v>
                </c:pt>
                <c:pt idx="559">
                  <c:v>897.47</c:v>
                </c:pt>
                <c:pt idx="560">
                  <c:v>1671.44</c:v>
                </c:pt>
                <c:pt idx="561">
                  <c:v>3987</c:v>
                </c:pt>
                <c:pt idx="562">
                  <c:v>717.22</c:v>
                </c:pt>
                <c:pt idx="563">
                  <c:v>1914.87</c:v>
                </c:pt>
                <c:pt idx="564">
                  <c:v>143.01</c:v>
                </c:pt>
                <c:pt idx="565">
                  <c:v>8184.59</c:v>
                </c:pt>
                <c:pt idx="566">
                  <c:v>2803.47</c:v>
                </c:pt>
                <c:pt idx="567">
                  <c:v>10812.88</c:v>
                </c:pt>
                <c:pt idx="568">
                  <c:v>1959.77</c:v>
                </c:pt>
                <c:pt idx="569">
                  <c:v>11280.77</c:v>
                </c:pt>
                <c:pt idx="570">
                  <c:v>61.75</c:v>
                </c:pt>
                <c:pt idx="571">
                  <c:v>0</c:v>
                </c:pt>
                <c:pt idx="572">
                  <c:v>122183.82</c:v>
                </c:pt>
                <c:pt idx="573">
                  <c:v>37186.379999999997</c:v>
                </c:pt>
                <c:pt idx="574">
                  <c:v>30979.39</c:v>
                </c:pt>
                <c:pt idx="575">
                  <c:v>106861.71</c:v>
                </c:pt>
                <c:pt idx="576">
                  <c:v>12399.43</c:v>
                </c:pt>
                <c:pt idx="579">
                  <c:v>1336</c:v>
                </c:pt>
                <c:pt idx="580">
                  <c:v>2100</c:v>
                </c:pt>
                <c:pt idx="581">
                  <c:v>1299.82</c:v>
                </c:pt>
                <c:pt idx="582">
                  <c:v>1800</c:v>
                </c:pt>
                <c:pt idx="583">
                  <c:v>2569.94</c:v>
                </c:pt>
                <c:pt idx="584">
                  <c:v>235000</c:v>
                </c:pt>
                <c:pt idx="585">
                  <c:v>1092</c:v>
                </c:pt>
                <c:pt idx="586">
                  <c:v>125428.8</c:v>
                </c:pt>
                <c:pt idx="587">
                  <c:v>46571.5</c:v>
                </c:pt>
                <c:pt idx="588">
                  <c:v>17861.400000000001</c:v>
                </c:pt>
                <c:pt idx="589">
                  <c:v>1255667.42</c:v>
                </c:pt>
                <c:pt idx="590">
                  <c:v>897.47</c:v>
                </c:pt>
                <c:pt idx="591">
                  <c:v>2638.75</c:v>
                </c:pt>
                <c:pt idx="592">
                  <c:v>2926.13</c:v>
                </c:pt>
                <c:pt idx="593">
                  <c:v>2327.6799999999998</c:v>
                </c:pt>
                <c:pt idx="595">
                  <c:v>984</c:v>
                </c:pt>
                <c:pt idx="596">
                  <c:v>4895</c:v>
                </c:pt>
                <c:pt idx="597">
                  <c:v>241</c:v>
                </c:pt>
                <c:pt idx="598">
                  <c:v>128.01</c:v>
                </c:pt>
                <c:pt idx="599">
                  <c:v>4502</c:v>
                </c:pt>
                <c:pt idx="600">
                  <c:v>32250</c:v>
                </c:pt>
                <c:pt idx="601">
                  <c:v>9000</c:v>
                </c:pt>
                <c:pt idx="602">
                  <c:v>300</c:v>
                </c:pt>
                <c:pt idx="603">
                  <c:v>22062.12</c:v>
                </c:pt>
                <c:pt idx="604">
                  <c:v>5950.69</c:v>
                </c:pt>
                <c:pt idx="605">
                  <c:v>65500</c:v>
                </c:pt>
                <c:pt idx="606">
                  <c:v>6272.54</c:v>
                </c:pt>
                <c:pt idx="607">
                  <c:v>28400</c:v>
                </c:pt>
                <c:pt idx="608">
                  <c:v>200000</c:v>
                </c:pt>
                <c:pt idx="609">
                  <c:v>80000</c:v>
                </c:pt>
                <c:pt idx="610">
                  <c:v>984</c:v>
                </c:pt>
                <c:pt idx="611">
                  <c:v>178283.95</c:v>
                </c:pt>
                <c:pt idx="612">
                  <c:v>14732.89</c:v>
                </c:pt>
                <c:pt idx="613">
                  <c:v>1243.1600000000001</c:v>
                </c:pt>
                <c:pt idx="614">
                  <c:v>8088.53</c:v>
                </c:pt>
                <c:pt idx="615">
                  <c:v>20800</c:v>
                </c:pt>
                <c:pt idx="616">
                  <c:v>5775</c:v>
                </c:pt>
                <c:pt idx="617">
                  <c:v>13380</c:v>
                </c:pt>
                <c:pt idx="618">
                  <c:v>20920</c:v>
                </c:pt>
                <c:pt idx="619">
                  <c:v>34586.43</c:v>
                </c:pt>
                <c:pt idx="620">
                  <c:v>8760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12031.38</c:v>
                </c:pt>
                <c:pt idx="625">
                  <c:v>250.92</c:v>
                </c:pt>
                <c:pt idx="626">
                  <c:v>39490.660000000003</c:v>
                </c:pt>
                <c:pt idx="627">
                  <c:v>2638.75</c:v>
                </c:pt>
                <c:pt idx="628">
                  <c:v>5775</c:v>
                </c:pt>
                <c:pt idx="629">
                  <c:v>10620</c:v>
                </c:pt>
                <c:pt idx="630">
                  <c:v>23200</c:v>
                </c:pt>
                <c:pt idx="631">
                  <c:v>13050</c:v>
                </c:pt>
                <c:pt idx="632">
                  <c:v>9760</c:v>
                </c:pt>
                <c:pt idx="633">
                  <c:v>16520</c:v>
                </c:pt>
                <c:pt idx="634">
                  <c:v>1800</c:v>
                </c:pt>
                <c:pt idx="635">
                  <c:v>10980</c:v>
                </c:pt>
                <c:pt idx="636">
                  <c:v>9440</c:v>
                </c:pt>
                <c:pt idx="637">
                  <c:v>14160</c:v>
                </c:pt>
                <c:pt idx="638">
                  <c:v>40240</c:v>
                </c:pt>
                <c:pt idx="639">
                  <c:v>9440</c:v>
                </c:pt>
                <c:pt idx="640">
                  <c:v>11600</c:v>
                </c:pt>
                <c:pt idx="641">
                  <c:v>30450</c:v>
                </c:pt>
                <c:pt idx="642">
                  <c:v>17680</c:v>
                </c:pt>
                <c:pt idx="643">
                  <c:v>11600</c:v>
                </c:pt>
                <c:pt idx="644">
                  <c:v>8934</c:v>
                </c:pt>
                <c:pt idx="645">
                  <c:v>13050</c:v>
                </c:pt>
                <c:pt idx="646">
                  <c:v>28640</c:v>
                </c:pt>
                <c:pt idx="647">
                  <c:v>4720</c:v>
                </c:pt>
                <c:pt idx="648">
                  <c:v>19010.32</c:v>
                </c:pt>
                <c:pt idx="649">
                  <c:v>6000</c:v>
                </c:pt>
                <c:pt idx="650">
                  <c:v>13012.85</c:v>
                </c:pt>
                <c:pt idx="651">
                  <c:v>3852</c:v>
                </c:pt>
                <c:pt idx="652">
                  <c:v>1456</c:v>
                </c:pt>
                <c:pt idx="653">
                  <c:v>40237.760000000002</c:v>
                </c:pt>
                <c:pt idx="654">
                  <c:v>38080.800000000003</c:v>
                </c:pt>
                <c:pt idx="655">
                  <c:v>38080.800000000003</c:v>
                </c:pt>
                <c:pt idx="656">
                  <c:v>3625.63</c:v>
                </c:pt>
                <c:pt idx="657">
                  <c:v>13916.66</c:v>
                </c:pt>
                <c:pt idx="658">
                  <c:v>27364.73</c:v>
                </c:pt>
                <c:pt idx="659">
                  <c:v>1780</c:v>
                </c:pt>
                <c:pt idx="660">
                  <c:v>3625.63</c:v>
                </c:pt>
                <c:pt idx="661">
                  <c:v>6500</c:v>
                </c:pt>
                <c:pt idx="662">
                  <c:v>6500</c:v>
                </c:pt>
                <c:pt idx="663">
                  <c:v>1250</c:v>
                </c:pt>
                <c:pt idx="664">
                  <c:v>12320</c:v>
                </c:pt>
                <c:pt idx="665">
                  <c:v>145275</c:v>
                </c:pt>
                <c:pt idx="666">
                  <c:v>0</c:v>
                </c:pt>
                <c:pt idx="667">
                  <c:v>484465.2</c:v>
                </c:pt>
                <c:pt idx="668">
                  <c:v>359.38</c:v>
                </c:pt>
                <c:pt idx="669">
                  <c:v>225.82</c:v>
                </c:pt>
                <c:pt idx="670">
                  <c:v>234.45</c:v>
                </c:pt>
                <c:pt idx="671">
                  <c:v>2327.7199999999998</c:v>
                </c:pt>
                <c:pt idx="672">
                  <c:v>13230.55</c:v>
                </c:pt>
                <c:pt idx="673">
                  <c:v>3040</c:v>
                </c:pt>
                <c:pt idx="674">
                  <c:v>13050</c:v>
                </c:pt>
                <c:pt idx="675">
                  <c:v>18300</c:v>
                </c:pt>
                <c:pt idx="676">
                  <c:v>7080</c:v>
                </c:pt>
                <c:pt idx="677">
                  <c:v>1603.93</c:v>
                </c:pt>
                <c:pt idx="678">
                  <c:v>1603.93</c:v>
                </c:pt>
                <c:pt idx="679">
                  <c:v>2569.94</c:v>
                </c:pt>
                <c:pt idx="680">
                  <c:v>10620</c:v>
                </c:pt>
                <c:pt idx="681">
                  <c:v>214614</c:v>
                </c:pt>
                <c:pt idx="682">
                  <c:v>3000</c:v>
                </c:pt>
                <c:pt idx="683">
                  <c:v>5000</c:v>
                </c:pt>
                <c:pt idx="684">
                  <c:v>309.85000000000002</c:v>
                </c:pt>
                <c:pt idx="685">
                  <c:v>896.14</c:v>
                </c:pt>
                <c:pt idx="686">
                  <c:v>436.94</c:v>
                </c:pt>
                <c:pt idx="687">
                  <c:v>104.86</c:v>
                </c:pt>
                <c:pt idx="688">
                  <c:v>524.29999999999995</c:v>
                </c:pt>
                <c:pt idx="689">
                  <c:v>1800</c:v>
                </c:pt>
                <c:pt idx="690">
                  <c:v>5654.74</c:v>
                </c:pt>
                <c:pt idx="691">
                  <c:v>27254.720000000001</c:v>
                </c:pt>
                <c:pt idx="692">
                  <c:v>88.99</c:v>
                </c:pt>
                <c:pt idx="693">
                  <c:v>2926.13</c:v>
                </c:pt>
                <c:pt idx="694">
                  <c:v>7503</c:v>
                </c:pt>
                <c:pt idx="695">
                  <c:v>4506</c:v>
                </c:pt>
                <c:pt idx="696">
                  <c:v>3030</c:v>
                </c:pt>
                <c:pt idx="697">
                  <c:v>9818</c:v>
                </c:pt>
                <c:pt idx="698">
                  <c:v>6624.27</c:v>
                </c:pt>
                <c:pt idx="699">
                  <c:v>4134.21</c:v>
                </c:pt>
                <c:pt idx="700">
                  <c:v>8579.94</c:v>
                </c:pt>
                <c:pt idx="701">
                  <c:v>11989.98</c:v>
                </c:pt>
                <c:pt idx="702">
                  <c:v>41500</c:v>
                </c:pt>
                <c:pt idx="703">
                  <c:v>1440</c:v>
                </c:pt>
                <c:pt idx="704">
                  <c:v>41500</c:v>
                </c:pt>
                <c:pt idx="705">
                  <c:v>6000</c:v>
                </c:pt>
                <c:pt idx="706">
                  <c:v>11800</c:v>
                </c:pt>
                <c:pt idx="707">
                  <c:v>340</c:v>
                </c:pt>
                <c:pt idx="708">
                  <c:v>310</c:v>
                </c:pt>
                <c:pt idx="709">
                  <c:v>0</c:v>
                </c:pt>
                <c:pt idx="710">
                  <c:v>15240</c:v>
                </c:pt>
                <c:pt idx="711">
                  <c:v>5800</c:v>
                </c:pt>
                <c:pt idx="712">
                  <c:v>23200</c:v>
                </c:pt>
                <c:pt idx="713">
                  <c:v>10620</c:v>
                </c:pt>
                <c:pt idx="714">
                  <c:v>12000</c:v>
                </c:pt>
                <c:pt idx="715">
                  <c:v>1085.6300000000001</c:v>
                </c:pt>
                <c:pt idx="716">
                  <c:v>2455.59</c:v>
                </c:pt>
                <c:pt idx="717">
                  <c:v>4761.82</c:v>
                </c:pt>
                <c:pt idx="718">
                  <c:v>1182.8800000000001</c:v>
                </c:pt>
                <c:pt idx="719">
                  <c:v>933.98</c:v>
                </c:pt>
                <c:pt idx="720">
                  <c:v>3000</c:v>
                </c:pt>
                <c:pt idx="721">
                  <c:v>310</c:v>
                </c:pt>
                <c:pt idx="722">
                  <c:v>219288.32000000001</c:v>
                </c:pt>
                <c:pt idx="723">
                  <c:v>152474.81</c:v>
                </c:pt>
                <c:pt idx="724">
                  <c:v>20800</c:v>
                </c:pt>
                <c:pt idx="725">
                  <c:v>1299.82</c:v>
                </c:pt>
                <c:pt idx="726">
                  <c:v>5800</c:v>
                </c:pt>
                <c:pt idx="727">
                  <c:v>213.35</c:v>
                </c:pt>
                <c:pt idx="728">
                  <c:v>195262.48</c:v>
                </c:pt>
                <c:pt idx="729">
                  <c:v>411023.58</c:v>
                </c:pt>
                <c:pt idx="730">
                  <c:v>4000</c:v>
                </c:pt>
                <c:pt idx="731">
                  <c:v>2889</c:v>
                </c:pt>
                <c:pt idx="732">
                  <c:v>99398</c:v>
                </c:pt>
                <c:pt idx="733">
                  <c:v>789.96</c:v>
                </c:pt>
                <c:pt idx="734">
                  <c:v>249436.24</c:v>
                </c:pt>
                <c:pt idx="735">
                  <c:v>3855.04</c:v>
                </c:pt>
                <c:pt idx="736">
                  <c:v>9440</c:v>
                </c:pt>
                <c:pt idx="737">
                  <c:v>1365.06</c:v>
                </c:pt>
                <c:pt idx="738">
                  <c:v>2335.5</c:v>
                </c:pt>
                <c:pt idx="739">
                  <c:v>46826.96</c:v>
                </c:pt>
                <c:pt idx="740">
                  <c:v>1257.76</c:v>
                </c:pt>
                <c:pt idx="741">
                  <c:v>4108.8599999999997</c:v>
                </c:pt>
                <c:pt idx="742">
                  <c:v>35002.800000000003</c:v>
                </c:pt>
                <c:pt idx="743">
                  <c:v>37714.04</c:v>
                </c:pt>
                <c:pt idx="744">
                  <c:v>1917.39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20000</c:v>
                </c:pt>
                <c:pt idx="751">
                  <c:v>1336</c:v>
                </c:pt>
                <c:pt idx="752">
                  <c:v>916</c:v>
                </c:pt>
                <c:pt idx="753">
                  <c:v>24414.43</c:v>
                </c:pt>
                <c:pt idx="754">
                  <c:v>258055.69</c:v>
                </c:pt>
                <c:pt idx="755">
                  <c:v>12180</c:v>
                </c:pt>
                <c:pt idx="756">
                  <c:v>4254</c:v>
                </c:pt>
                <c:pt idx="757">
                  <c:v>13870.8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6864</c:v>
                </c:pt>
                <c:pt idx="764">
                  <c:v>32620</c:v>
                </c:pt>
                <c:pt idx="765">
                  <c:v>17400</c:v>
                </c:pt>
                <c:pt idx="766">
                  <c:v>5000</c:v>
                </c:pt>
                <c:pt idx="767">
                  <c:v>9760</c:v>
                </c:pt>
                <c:pt idx="768">
                  <c:v>1257250.95</c:v>
                </c:pt>
                <c:pt idx="769">
                  <c:v>235000</c:v>
                </c:pt>
                <c:pt idx="770">
                  <c:v>4466</c:v>
                </c:pt>
                <c:pt idx="771">
                  <c:v>10188</c:v>
                </c:pt>
                <c:pt idx="772">
                  <c:v>84880.94</c:v>
                </c:pt>
                <c:pt idx="773">
                  <c:v>722.8</c:v>
                </c:pt>
                <c:pt idx="774">
                  <c:v>17595.66</c:v>
                </c:pt>
                <c:pt idx="775">
                  <c:v>44640</c:v>
                </c:pt>
                <c:pt idx="776">
                  <c:v>27360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231.2</c:v>
                </c:pt>
                <c:pt idx="781">
                  <c:v>23439.42</c:v>
                </c:pt>
                <c:pt idx="782">
                  <c:v>5030</c:v>
                </c:pt>
                <c:pt idx="783">
                  <c:v>8797.83</c:v>
                </c:pt>
                <c:pt idx="784">
                  <c:v>8797.83</c:v>
                </c:pt>
                <c:pt idx="785">
                  <c:v>51937</c:v>
                </c:pt>
                <c:pt idx="786">
                  <c:v>1178.76</c:v>
                </c:pt>
                <c:pt idx="787">
                  <c:v>79817.72</c:v>
                </c:pt>
                <c:pt idx="788">
                  <c:v>20277.759999999998</c:v>
                </c:pt>
                <c:pt idx="789">
                  <c:v>3382.8</c:v>
                </c:pt>
                <c:pt idx="790">
                  <c:v>12762</c:v>
                </c:pt>
                <c:pt idx="791">
                  <c:v>4623.5200000000004</c:v>
                </c:pt>
                <c:pt idx="792">
                  <c:v>1980</c:v>
                </c:pt>
                <c:pt idx="793">
                  <c:v>1980</c:v>
                </c:pt>
                <c:pt idx="794">
                  <c:v>23640</c:v>
                </c:pt>
                <c:pt idx="795">
                  <c:v>1110</c:v>
                </c:pt>
                <c:pt idx="796">
                  <c:v>10610</c:v>
                </c:pt>
                <c:pt idx="797">
                  <c:v>122128.85</c:v>
                </c:pt>
                <c:pt idx="798">
                  <c:v>179.52</c:v>
                </c:pt>
                <c:pt idx="799">
                  <c:v>121539.25</c:v>
                </c:pt>
                <c:pt idx="800">
                  <c:v>7080</c:v>
                </c:pt>
                <c:pt idx="801">
                  <c:v>3424</c:v>
                </c:pt>
                <c:pt idx="802">
                  <c:v>1546.02</c:v>
                </c:pt>
                <c:pt idx="803">
                  <c:v>26950.28</c:v>
                </c:pt>
                <c:pt idx="804">
                  <c:v>29950.28</c:v>
                </c:pt>
                <c:pt idx="805">
                  <c:v>4475.97</c:v>
                </c:pt>
                <c:pt idx="806">
                  <c:v>3718.18</c:v>
                </c:pt>
                <c:pt idx="807">
                  <c:v>3143.12</c:v>
                </c:pt>
                <c:pt idx="808">
                  <c:v>55737</c:v>
                </c:pt>
                <c:pt idx="809">
                  <c:v>15000</c:v>
                </c:pt>
                <c:pt idx="810">
                  <c:v>4290.28</c:v>
                </c:pt>
                <c:pt idx="811">
                  <c:v>2664.4</c:v>
                </c:pt>
                <c:pt idx="812">
                  <c:v>1284.97</c:v>
                </c:pt>
                <c:pt idx="813">
                  <c:v>1284.97</c:v>
                </c:pt>
                <c:pt idx="814">
                  <c:v>1284.97</c:v>
                </c:pt>
                <c:pt idx="815">
                  <c:v>2664.4</c:v>
                </c:pt>
                <c:pt idx="816">
                  <c:v>306607</c:v>
                </c:pt>
                <c:pt idx="817">
                  <c:v>148745.51999999999</c:v>
                </c:pt>
                <c:pt idx="818">
                  <c:v>5256</c:v>
                </c:pt>
                <c:pt idx="819">
                  <c:v>1687.5</c:v>
                </c:pt>
                <c:pt idx="820">
                  <c:v>1687.5</c:v>
                </c:pt>
                <c:pt idx="821">
                  <c:v>5148.82</c:v>
                </c:pt>
                <c:pt idx="822">
                  <c:v>3102.53</c:v>
                </c:pt>
                <c:pt idx="823">
                  <c:v>1103.31</c:v>
                </c:pt>
                <c:pt idx="824">
                  <c:v>376</c:v>
                </c:pt>
                <c:pt idx="825">
                  <c:v>73.25</c:v>
                </c:pt>
                <c:pt idx="826">
                  <c:v>1380.47</c:v>
                </c:pt>
                <c:pt idx="827">
                  <c:v>172977.5</c:v>
                </c:pt>
                <c:pt idx="828">
                  <c:v>50023.7</c:v>
                </c:pt>
                <c:pt idx="829">
                  <c:v>32158.27</c:v>
                </c:pt>
                <c:pt idx="830">
                  <c:v>373.95</c:v>
                </c:pt>
                <c:pt idx="831">
                  <c:v>482.41</c:v>
                </c:pt>
                <c:pt idx="832">
                  <c:v>396994.7</c:v>
                </c:pt>
                <c:pt idx="833">
                  <c:v>16903.05</c:v>
                </c:pt>
                <c:pt idx="834">
                  <c:v>0</c:v>
                </c:pt>
                <c:pt idx="835">
                  <c:v>20267.66</c:v>
                </c:pt>
                <c:pt idx="836">
                  <c:v>6510.72</c:v>
                </c:pt>
                <c:pt idx="837">
                  <c:v>127780.4</c:v>
                </c:pt>
                <c:pt idx="838">
                  <c:v>196753.92000000001</c:v>
                </c:pt>
                <c:pt idx="839">
                  <c:v>12299.19</c:v>
                </c:pt>
                <c:pt idx="840">
                  <c:v>32310.36</c:v>
                </c:pt>
                <c:pt idx="841">
                  <c:v>20000</c:v>
                </c:pt>
                <c:pt idx="843">
                  <c:v>0</c:v>
                </c:pt>
                <c:pt idx="844">
                  <c:v>0</c:v>
                </c:pt>
                <c:pt idx="845">
                  <c:v>71125.67</c:v>
                </c:pt>
                <c:pt idx="846">
                  <c:v>24802.3</c:v>
                </c:pt>
                <c:pt idx="847">
                  <c:v>104895</c:v>
                </c:pt>
                <c:pt idx="848">
                  <c:v>20976.35</c:v>
                </c:pt>
                <c:pt idx="849">
                  <c:v>600</c:v>
                </c:pt>
                <c:pt idx="850">
                  <c:v>1680</c:v>
                </c:pt>
                <c:pt idx="851">
                  <c:v>1120</c:v>
                </c:pt>
                <c:pt idx="852">
                  <c:v>600</c:v>
                </c:pt>
                <c:pt idx="853">
                  <c:v>3900</c:v>
                </c:pt>
                <c:pt idx="854">
                  <c:v>43117.599999999999</c:v>
                </c:pt>
                <c:pt idx="855">
                  <c:v>536798.38</c:v>
                </c:pt>
                <c:pt idx="856">
                  <c:v>249424.79</c:v>
                </c:pt>
                <c:pt idx="857">
                  <c:v>0</c:v>
                </c:pt>
                <c:pt idx="858">
                  <c:v>30000</c:v>
                </c:pt>
                <c:pt idx="859">
                  <c:v>100187.9</c:v>
                </c:pt>
                <c:pt idx="860">
                  <c:v>201866.1</c:v>
                </c:pt>
                <c:pt idx="861">
                  <c:v>0</c:v>
                </c:pt>
                <c:pt idx="862">
                  <c:v>19800</c:v>
                </c:pt>
                <c:pt idx="863">
                  <c:v>1875</c:v>
                </c:pt>
                <c:pt idx="864">
                  <c:v>19800</c:v>
                </c:pt>
                <c:pt idx="865">
                  <c:v>1875</c:v>
                </c:pt>
                <c:pt idx="866">
                  <c:v>5569.24</c:v>
                </c:pt>
                <c:pt idx="867">
                  <c:v>2283.4699999999998</c:v>
                </c:pt>
                <c:pt idx="868">
                  <c:v>80000</c:v>
                </c:pt>
                <c:pt idx="869">
                  <c:v>0</c:v>
                </c:pt>
                <c:pt idx="870">
                  <c:v>183682.74</c:v>
                </c:pt>
                <c:pt idx="871">
                  <c:v>0</c:v>
                </c:pt>
                <c:pt idx="872">
                  <c:v>0</c:v>
                </c:pt>
                <c:pt idx="873">
                  <c:v>18000</c:v>
                </c:pt>
                <c:pt idx="874">
                  <c:v>1100</c:v>
                </c:pt>
                <c:pt idx="875">
                  <c:v>3424</c:v>
                </c:pt>
                <c:pt idx="876">
                  <c:v>41134.9</c:v>
                </c:pt>
                <c:pt idx="877">
                  <c:v>27908.86</c:v>
                </c:pt>
                <c:pt idx="878">
                  <c:v>4628.75</c:v>
                </c:pt>
                <c:pt idx="879">
                  <c:v>1284.97</c:v>
                </c:pt>
                <c:pt idx="880">
                  <c:v>7800</c:v>
                </c:pt>
                <c:pt idx="881">
                  <c:v>11626.67</c:v>
                </c:pt>
                <c:pt idx="882">
                  <c:v>2270</c:v>
                </c:pt>
                <c:pt idx="883">
                  <c:v>2446.66</c:v>
                </c:pt>
                <c:pt idx="884">
                  <c:v>4056.8</c:v>
                </c:pt>
                <c:pt idx="885">
                  <c:v>2406.66</c:v>
                </c:pt>
                <c:pt idx="886">
                  <c:v>26100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13000</c:v>
                </c:pt>
                <c:pt idx="893">
                  <c:v>364338.75</c:v>
                </c:pt>
                <c:pt idx="894">
                  <c:v>65300</c:v>
                </c:pt>
                <c:pt idx="895">
                  <c:v>4040.21</c:v>
                </c:pt>
                <c:pt idx="896">
                  <c:v>7524.04</c:v>
                </c:pt>
                <c:pt idx="897">
                  <c:v>33500</c:v>
                </c:pt>
                <c:pt idx="898">
                  <c:v>374.01</c:v>
                </c:pt>
                <c:pt idx="899">
                  <c:v>57.68</c:v>
                </c:pt>
                <c:pt idx="900">
                  <c:v>712.81</c:v>
                </c:pt>
                <c:pt idx="901">
                  <c:v>459.55</c:v>
                </c:pt>
                <c:pt idx="902">
                  <c:v>12000</c:v>
                </c:pt>
                <c:pt idx="903">
                  <c:v>19800</c:v>
                </c:pt>
                <c:pt idx="904">
                  <c:v>11279.62</c:v>
                </c:pt>
                <c:pt idx="905">
                  <c:v>33000</c:v>
                </c:pt>
                <c:pt idx="906">
                  <c:v>9437.31</c:v>
                </c:pt>
                <c:pt idx="907">
                  <c:v>12768.68</c:v>
                </c:pt>
                <c:pt idx="908">
                  <c:v>4629.01</c:v>
                </c:pt>
                <c:pt idx="909">
                  <c:v>41362.01</c:v>
                </c:pt>
                <c:pt idx="910">
                  <c:v>220</c:v>
                </c:pt>
                <c:pt idx="911">
                  <c:v>12664.48</c:v>
                </c:pt>
                <c:pt idx="912">
                  <c:v>18286.04</c:v>
                </c:pt>
                <c:pt idx="913">
                  <c:v>3400</c:v>
                </c:pt>
                <c:pt idx="914">
                  <c:v>130</c:v>
                </c:pt>
                <c:pt idx="915">
                  <c:v>952</c:v>
                </c:pt>
                <c:pt idx="916">
                  <c:v>12221.88</c:v>
                </c:pt>
                <c:pt idx="917">
                  <c:v>2690</c:v>
                </c:pt>
                <c:pt idx="918">
                  <c:v>2878.25</c:v>
                </c:pt>
                <c:pt idx="919">
                  <c:v>12891.5</c:v>
                </c:pt>
                <c:pt idx="920">
                  <c:v>5598.25</c:v>
                </c:pt>
                <c:pt idx="921">
                  <c:v>420</c:v>
                </c:pt>
                <c:pt idx="922">
                  <c:v>270</c:v>
                </c:pt>
                <c:pt idx="923">
                  <c:v>35000</c:v>
                </c:pt>
                <c:pt idx="924">
                  <c:v>0</c:v>
                </c:pt>
                <c:pt idx="925">
                  <c:v>47887.66</c:v>
                </c:pt>
                <c:pt idx="926">
                  <c:v>8920</c:v>
                </c:pt>
                <c:pt idx="927">
                  <c:v>11150</c:v>
                </c:pt>
                <c:pt idx="928">
                  <c:v>10500</c:v>
                </c:pt>
                <c:pt idx="929">
                  <c:v>17116.39</c:v>
                </c:pt>
                <c:pt idx="930">
                  <c:v>9299.17</c:v>
                </c:pt>
                <c:pt idx="931">
                  <c:v>0</c:v>
                </c:pt>
                <c:pt idx="932">
                  <c:v>521.48</c:v>
                </c:pt>
                <c:pt idx="933">
                  <c:v>37583.14</c:v>
                </c:pt>
                <c:pt idx="934">
                  <c:v>82495.199999999997</c:v>
                </c:pt>
                <c:pt idx="935">
                  <c:v>12275.2</c:v>
                </c:pt>
                <c:pt idx="936">
                  <c:v>26547.040000000001</c:v>
                </c:pt>
                <c:pt idx="937">
                  <c:v>37490.89</c:v>
                </c:pt>
                <c:pt idx="938">
                  <c:v>4000</c:v>
                </c:pt>
                <c:pt idx="939">
                  <c:v>7000</c:v>
                </c:pt>
                <c:pt idx="940">
                  <c:v>5000</c:v>
                </c:pt>
                <c:pt idx="941">
                  <c:v>29991.360000000001</c:v>
                </c:pt>
                <c:pt idx="942">
                  <c:v>1509.2</c:v>
                </c:pt>
                <c:pt idx="943">
                  <c:v>4229.7</c:v>
                </c:pt>
                <c:pt idx="944">
                  <c:v>4229.7</c:v>
                </c:pt>
                <c:pt idx="945">
                  <c:v>4229.7</c:v>
                </c:pt>
                <c:pt idx="946">
                  <c:v>12516.18</c:v>
                </c:pt>
                <c:pt idx="947">
                  <c:v>1603.93</c:v>
                </c:pt>
                <c:pt idx="948">
                  <c:v>26950.28</c:v>
                </c:pt>
                <c:pt idx="949">
                  <c:v>134072</c:v>
                </c:pt>
                <c:pt idx="950">
                  <c:v>12774.58</c:v>
                </c:pt>
                <c:pt idx="951">
                  <c:v>132391.29</c:v>
                </c:pt>
                <c:pt idx="952">
                  <c:v>208577.3</c:v>
                </c:pt>
                <c:pt idx="959">
                  <c:v>10565.72</c:v>
                </c:pt>
                <c:pt idx="960">
                  <c:v>8566.7999999999993</c:v>
                </c:pt>
                <c:pt idx="961">
                  <c:v>1875</c:v>
                </c:pt>
                <c:pt idx="962">
                  <c:v>1875</c:v>
                </c:pt>
                <c:pt idx="966">
                  <c:v>3026.57</c:v>
                </c:pt>
                <c:pt idx="967">
                  <c:v>142000</c:v>
                </c:pt>
                <c:pt idx="968">
                  <c:v>8000</c:v>
                </c:pt>
                <c:pt idx="969">
                  <c:v>5640</c:v>
                </c:pt>
                <c:pt idx="970">
                  <c:v>2848.2</c:v>
                </c:pt>
                <c:pt idx="971">
                  <c:v>8274</c:v>
                </c:pt>
                <c:pt idx="972">
                  <c:v>2582.5</c:v>
                </c:pt>
                <c:pt idx="973">
                  <c:v>1414.04</c:v>
                </c:pt>
                <c:pt idx="974">
                  <c:v>2996</c:v>
                </c:pt>
                <c:pt idx="975">
                  <c:v>2193.96</c:v>
                </c:pt>
                <c:pt idx="976">
                  <c:v>1872.51</c:v>
                </c:pt>
                <c:pt idx="977">
                  <c:v>32200</c:v>
                </c:pt>
                <c:pt idx="980">
                  <c:v>4395</c:v>
                </c:pt>
                <c:pt idx="981">
                  <c:v>180650</c:v>
                </c:pt>
                <c:pt idx="982">
                  <c:v>16250</c:v>
                </c:pt>
                <c:pt idx="983">
                  <c:v>19800</c:v>
                </c:pt>
                <c:pt idx="985">
                  <c:v>7302.77</c:v>
                </c:pt>
                <c:pt idx="986">
                  <c:v>399.96</c:v>
                </c:pt>
                <c:pt idx="987">
                  <c:v>5400</c:v>
                </c:pt>
                <c:pt idx="988">
                  <c:v>9000</c:v>
                </c:pt>
                <c:pt idx="989">
                  <c:v>75520</c:v>
                </c:pt>
                <c:pt idx="990">
                  <c:v>767579.81</c:v>
                </c:pt>
                <c:pt idx="991">
                  <c:v>1598.4</c:v>
                </c:pt>
                <c:pt idx="992">
                  <c:v>179.52</c:v>
                </c:pt>
                <c:pt idx="993">
                  <c:v>110</c:v>
                </c:pt>
                <c:pt idx="995">
                  <c:v>7800</c:v>
                </c:pt>
                <c:pt idx="996">
                  <c:v>10500</c:v>
                </c:pt>
                <c:pt idx="997">
                  <c:v>11522.51</c:v>
                </c:pt>
                <c:pt idx="998">
                  <c:v>17694.400000000001</c:v>
                </c:pt>
                <c:pt idx="999">
                  <c:v>18946.03</c:v>
                </c:pt>
                <c:pt idx="1000">
                  <c:v>1287.5</c:v>
                </c:pt>
                <c:pt idx="1001">
                  <c:v>2825.67</c:v>
                </c:pt>
                <c:pt idx="1002">
                  <c:v>1064.27</c:v>
                </c:pt>
                <c:pt idx="1003">
                  <c:v>3829.12</c:v>
                </c:pt>
                <c:pt idx="1004">
                  <c:v>2230.4899999999998</c:v>
                </c:pt>
                <c:pt idx="1005">
                  <c:v>2631.84</c:v>
                </c:pt>
                <c:pt idx="1006">
                  <c:v>4947.7700000000004</c:v>
                </c:pt>
                <c:pt idx="1007">
                  <c:v>2579.2800000000002</c:v>
                </c:pt>
                <c:pt idx="1008">
                  <c:v>12958.33</c:v>
                </c:pt>
                <c:pt idx="1009">
                  <c:v>10197.219999999999</c:v>
                </c:pt>
                <c:pt idx="1010">
                  <c:v>7337.15</c:v>
                </c:pt>
                <c:pt idx="1011">
                  <c:v>13739.81</c:v>
                </c:pt>
                <c:pt idx="1012">
                  <c:v>3203.16</c:v>
                </c:pt>
                <c:pt idx="1013">
                  <c:v>1351.97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7975.01</c:v>
                </c:pt>
                <c:pt idx="1018">
                  <c:v>1017.72</c:v>
                </c:pt>
                <c:pt idx="1019">
                  <c:v>24226.6</c:v>
                </c:pt>
                <c:pt idx="1020">
                  <c:v>6950</c:v>
                </c:pt>
                <c:pt idx="1021">
                  <c:v>27013.79</c:v>
                </c:pt>
                <c:pt idx="1022">
                  <c:v>78372.73</c:v>
                </c:pt>
                <c:pt idx="1023">
                  <c:v>755.67</c:v>
                </c:pt>
                <c:pt idx="1024">
                  <c:v>225.82</c:v>
                </c:pt>
                <c:pt idx="1025">
                  <c:v>1052.8900000000001</c:v>
                </c:pt>
                <c:pt idx="1026">
                  <c:v>9000</c:v>
                </c:pt>
                <c:pt idx="1027">
                  <c:v>15702.5</c:v>
                </c:pt>
                <c:pt idx="1028">
                  <c:v>251.69</c:v>
                </c:pt>
                <c:pt idx="1029">
                  <c:v>28480.400000000001</c:v>
                </c:pt>
                <c:pt idx="1030">
                  <c:v>16589</c:v>
                </c:pt>
                <c:pt idx="1031">
                  <c:v>125428.8</c:v>
                </c:pt>
                <c:pt idx="1032">
                  <c:v>2638.75</c:v>
                </c:pt>
                <c:pt idx="1033">
                  <c:v>0</c:v>
                </c:pt>
                <c:pt idx="1034">
                  <c:v>34252</c:v>
                </c:pt>
                <c:pt idx="1035">
                  <c:v>61.5</c:v>
                </c:pt>
                <c:pt idx="1036">
                  <c:v>3900</c:v>
                </c:pt>
                <c:pt idx="1037">
                  <c:v>14306.5</c:v>
                </c:pt>
                <c:pt idx="1038">
                  <c:v>0</c:v>
                </c:pt>
                <c:pt idx="1039">
                  <c:v>179.52</c:v>
                </c:pt>
                <c:pt idx="1040">
                  <c:v>12399.43</c:v>
                </c:pt>
                <c:pt idx="1041">
                  <c:v>40496.9</c:v>
                </c:pt>
                <c:pt idx="1042">
                  <c:v>0</c:v>
                </c:pt>
                <c:pt idx="1043">
                  <c:v>0</c:v>
                </c:pt>
                <c:pt idx="1045">
                  <c:v>280</c:v>
                </c:pt>
                <c:pt idx="1046">
                  <c:v>3340</c:v>
                </c:pt>
                <c:pt idx="1047">
                  <c:v>25000</c:v>
                </c:pt>
                <c:pt idx="1048">
                  <c:v>4280</c:v>
                </c:pt>
                <c:pt idx="1049">
                  <c:v>39093.57</c:v>
                </c:pt>
                <c:pt idx="1050">
                  <c:v>121634.85</c:v>
                </c:pt>
                <c:pt idx="1051">
                  <c:v>35580.61</c:v>
                </c:pt>
                <c:pt idx="1052">
                  <c:v>0</c:v>
                </c:pt>
                <c:pt idx="1053">
                  <c:v>897.47</c:v>
                </c:pt>
                <c:pt idx="1054">
                  <c:v>23260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508.86</c:v>
                </c:pt>
                <c:pt idx="1059">
                  <c:v>179.52</c:v>
                </c:pt>
                <c:pt idx="1060">
                  <c:v>5161.3500000000004</c:v>
                </c:pt>
                <c:pt idx="1061">
                  <c:v>12750</c:v>
                </c:pt>
                <c:pt idx="1062">
                  <c:v>131839.70000000001</c:v>
                </c:pt>
                <c:pt idx="1063">
                  <c:v>33805.300000000003</c:v>
                </c:pt>
                <c:pt idx="1064">
                  <c:v>0</c:v>
                </c:pt>
                <c:pt idx="1065">
                  <c:v>12000</c:v>
                </c:pt>
                <c:pt idx="1066">
                  <c:v>2926.13</c:v>
                </c:pt>
                <c:pt idx="1067">
                  <c:v>19338</c:v>
                </c:pt>
                <c:pt idx="1068">
                  <c:v>0</c:v>
                </c:pt>
                <c:pt idx="1069">
                  <c:v>9015</c:v>
                </c:pt>
                <c:pt idx="1070">
                  <c:v>25000</c:v>
                </c:pt>
                <c:pt idx="1071">
                  <c:v>7578</c:v>
                </c:pt>
                <c:pt idx="1072">
                  <c:v>5000</c:v>
                </c:pt>
                <c:pt idx="1073">
                  <c:v>40000</c:v>
                </c:pt>
                <c:pt idx="1074">
                  <c:v>0</c:v>
                </c:pt>
                <c:pt idx="1075">
                  <c:v>102170</c:v>
                </c:pt>
                <c:pt idx="1076">
                  <c:v>0</c:v>
                </c:pt>
                <c:pt idx="1077">
                  <c:v>12000</c:v>
                </c:pt>
                <c:pt idx="1078">
                  <c:v>0</c:v>
                </c:pt>
                <c:pt idx="1079">
                  <c:v>6375</c:v>
                </c:pt>
                <c:pt idx="1080">
                  <c:v>10000</c:v>
                </c:pt>
                <c:pt idx="1081">
                  <c:v>13000</c:v>
                </c:pt>
                <c:pt idx="1082">
                  <c:v>40000</c:v>
                </c:pt>
                <c:pt idx="1083">
                  <c:v>5393.5</c:v>
                </c:pt>
                <c:pt idx="1084">
                  <c:v>13510</c:v>
                </c:pt>
                <c:pt idx="1085">
                  <c:v>12320.18</c:v>
                </c:pt>
                <c:pt idx="1086">
                  <c:v>6500</c:v>
                </c:pt>
                <c:pt idx="1087">
                  <c:v>0</c:v>
                </c:pt>
                <c:pt idx="1088">
                  <c:v>160748.64000000001</c:v>
                </c:pt>
                <c:pt idx="1089">
                  <c:v>1407.7</c:v>
                </c:pt>
                <c:pt idx="1090">
                  <c:v>7501</c:v>
                </c:pt>
                <c:pt idx="1091">
                  <c:v>928.45</c:v>
                </c:pt>
                <c:pt idx="1092">
                  <c:v>2500</c:v>
                </c:pt>
                <c:pt idx="1093">
                  <c:v>6813.65</c:v>
                </c:pt>
                <c:pt idx="1094">
                  <c:v>485965.69</c:v>
                </c:pt>
                <c:pt idx="1095">
                  <c:v>5000</c:v>
                </c:pt>
                <c:pt idx="1096">
                  <c:v>20000</c:v>
                </c:pt>
                <c:pt idx="1097">
                  <c:v>28480.400000000001</c:v>
                </c:pt>
                <c:pt idx="1098">
                  <c:v>1299.82</c:v>
                </c:pt>
                <c:pt idx="1099">
                  <c:v>2569.94</c:v>
                </c:pt>
                <c:pt idx="1100">
                  <c:v>12221.88</c:v>
                </c:pt>
                <c:pt idx="1101">
                  <c:v>706451.76</c:v>
                </c:pt>
                <c:pt idx="1103">
                  <c:v>3000</c:v>
                </c:pt>
                <c:pt idx="1104">
                  <c:v>122950.7</c:v>
                </c:pt>
                <c:pt idx="1105">
                  <c:v>27870</c:v>
                </c:pt>
                <c:pt idx="1106">
                  <c:v>1364.96</c:v>
                </c:pt>
                <c:pt idx="1107">
                  <c:v>13012.85</c:v>
                </c:pt>
                <c:pt idx="1108">
                  <c:v>14603.33</c:v>
                </c:pt>
                <c:pt idx="1109">
                  <c:v>60700</c:v>
                </c:pt>
                <c:pt idx="1110">
                  <c:v>16064.08</c:v>
                </c:pt>
                <c:pt idx="1111">
                  <c:v>35000</c:v>
                </c:pt>
                <c:pt idx="1112">
                  <c:v>252215.44</c:v>
                </c:pt>
                <c:pt idx="1113">
                  <c:v>514818.38</c:v>
                </c:pt>
                <c:pt idx="1114">
                  <c:v>7080</c:v>
                </c:pt>
                <c:pt idx="1115">
                  <c:v>14500</c:v>
                </c:pt>
                <c:pt idx="1116">
                  <c:v>47580</c:v>
                </c:pt>
                <c:pt idx="1117">
                  <c:v>30500</c:v>
                </c:pt>
                <c:pt idx="1118">
                  <c:v>14500</c:v>
                </c:pt>
                <c:pt idx="1119">
                  <c:v>6100</c:v>
                </c:pt>
                <c:pt idx="1120">
                  <c:v>31746.23</c:v>
                </c:pt>
                <c:pt idx="1121">
                  <c:v>31900</c:v>
                </c:pt>
                <c:pt idx="1122">
                  <c:v>5800</c:v>
                </c:pt>
                <c:pt idx="1123">
                  <c:v>37549.81</c:v>
                </c:pt>
                <c:pt idx="1124">
                  <c:v>987.16</c:v>
                </c:pt>
                <c:pt idx="1125">
                  <c:v>11600</c:v>
                </c:pt>
                <c:pt idx="1126">
                  <c:v>25620</c:v>
                </c:pt>
                <c:pt idx="1127">
                  <c:v>16520</c:v>
                </c:pt>
                <c:pt idx="1128">
                  <c:v>2440</c:v>
                </c:pt>
                <c:pt idx="1129">
                  <c:v>4720</c:v>
                </c:pt>
                <c:pt idx="1130">
                  <c:v>17400</c:v>
                </c:pt>
                <c:pt idx="1131">
                  <c:v>1340.75</c:v>
                </c:pt>
                <c:pt idx="1132">
                  <c:v>47698.25</c:v>
                </c:pt>
                <c:pt idx="1133">
                  <c:v>964.18</c:v>
                </c:pt>
                <c:pt idx="1134">
                  <c:v>11800</c:v>
                </c:pt>
                <c:pt idx="1135">
                  <c:v>3744.7</c:v>
                </c:pt>
                <c:pt idx="1136">
                  <c:v>5800</c:v>
                </c:pt>
                <c:pt idx="1137">
                  <c:v>17700</c:v>
                </c:pt>
                <c:pt idx="1138">
                  <c:v>74961.17</c:v>
                </c:pt>
                <c:pt idx="1139">
                  <c:v>26100</c:v>
                </c:pt>
                <c:pt idx="1140">
                  <c:v>518.78</c:v>
                </c:pt>
                <c:pt idx="1141">
                  <c:v>11600</c:v>
                </c:pt>
                <c:pt idx="1142">
                  <c:v>297.60000000000002</c:v>
                </c:pt>
                <c:pt idx="1143">
                  <c:v>17110</c:v>
                </c:pt>
                <c:pt idx="1144">
                  <c:v>13916.66</c:v>
                </c:pt>
                <c:pt idx="1145">
                  <c:v>4000</c:v>
                </c:pt>
                <c:pt idx="1146">
                  <c:v>8449.92</c:v>
                </c:pt>
                <c:pt idx="1147">
                  <c:v>10620</c:v>
                </c:pt>
                <c:pt idx="1149">
                  <c:v>10980</c:v>
                </c:pt>
                <c:pt idx="1150">
                  <c:v>14500</c:v>
                </c:pt>
                <c:pt idx="1151">
                  <c:v>26100</c:v>
                </c:pt>
                <c:pt idx="1152">
                  <c:v>37503</c:v>
                </c:pt>
                <c:pt idx="1153">
                  <c:v>13420</c:v>
                </c:pt>
                <c:pt idx="1154">
                  <c:v>1284.97</c:v>
                </c:pt>
                <c:pt idx="1155">
                  <c:v>1284.97</c:v>
                </c:pt>
                <c:pt idx="1156">
                  <c:v>1284.97</c:v>
                </c:pt>
                <c:pt idx="1157">
                  <c:v>2664.4</c:v>
                </c:pt>
                <c:pt idx="1158">
                  <c:v>2664.4</c:v>
                </c:pt>
                <c:pt idx="1159">
                  <c:v>26520</c:v>
                </c:pt>
                <c:pt idx="1160">
                  <c:v>40407.9</c:v>
                </c:pt>
                <c:pt idx="1161">
                  <c:v>20740</c:v>
                </c:pt>
                <c:pt idx="1162">
                  <c:v>9760</c:v>
                </c:pt>
                <c:pt idx="1163">
                  <c:v>4880</c:v>
                </c:pt>
                <c:pt idx="1164">
                  <c:v>11800</c:v>
                </c:pt>
                <c:pt idx="1165">
                  <c:v>10620</c:v>
                </c:pt>
                <c:pt idx="1166">
                  <c:v>228752.1</c:v>
                </c:pt>
                <c:pt idx="1167">
                  <c:v>0</c:v>
                </c:pt>
                <c:pt idx="1168">
                  <c:v>18286.04</c:v>
                </c:pt>
                <c:pt idx="1169">
                  <c:v>702.54</c:v>
                </c:pt>
                <c:pt idx="1170">
                  <c:v>81109</c:v>
                </c:pt>
                <c:pt idx="1171">
                  <c:v>11845.68</c:v>
                </c:pt>
                <c:pt idx="1172">
                  <c:v>1393.74</c:v>
                </c:pt>
                <c:pt idx="1173">
                  <c:v>84880.94</c:v>
                </c:pt>
                <c:pt idx="1174">
                  <c:v>5502.33</c:v>
                </c:pt>
                <c:pt idx="1175">
                  <c:v>6750.87</c:v>
                </c:pt>
                <c:pt idx="1176">
                  <c:v>1066.2</c:v>
                </c:pt>
                <c:pt idx="1177">
                  <c:v>11038.14</c:v>
                </c:pt>
                <c:pt idx="1178">
                  <c:v>16250</c:v>
                </c:pt>
                <c:pt idx="1179">
                  <c:v>6000</c:v>
                </c:pt>
                <c:pt idx="1180">
                  <c:v>1960.68</c:v>
                </c:pt>
                <c:pt idx="1181">
                  <c:v>0</c:v>
                </c:pt>
                <c:pt idx="1182">
                  <c:v>235000</c:v>
                </c:pt>
                <c:pt idx="1183">
                  <c:v>1263291.6299999999</c:v>
                </c:pt>
                <c:pt idx="1184">
                  <c:v>722.8</c:v>
                </c:pt>
                <c:pt idx="1185">
                  <c:v>5000</c:v>
                </c:pt>
                <c:pt idx="1186">
                  <c:v>3150</c:v>
                </c:pt>
                <c:pt idx="1187">
                  <c:v>10500</c:v>
                </c:pt>
                <c:pt idx="1188">
                  <c:v>1095.6500000000001</c:v>
                </c:pt>
                <c:pt idx="1189">
                  <c:v>3000</c:v>
                </c:pt>
                <c:pt idx="1190">
                  <c:v>379.59</c:v>
                </c:pt>
                <c:pt idx="1191">
                  <c:v>3554.76</c:v>
                </c:pt>
                <c:pt idx="1192">
                  <c:v>897.47</c:v>
                </c:pt>
                <c:pt idx="1193">
                  <c:v>4466</c:v>
                </c:pt>
                <c:pt idx="1194">
                  <c:v>10188</c:v>
                </c:pt>
                <c:pt idx="1195">
                  <c:v>9491.77</c:v>
                </c:pt>
                <c:pt idx="1196">
                  <c:v>12664.48</c:v>
                </c:pt>
                <c:pt idx="1197">
                  <c:v>3122.63</c:v>
                </c:pt>
                <c:pt idx="1198">
                  <c:v>395.84</c:v>
                </c:pt>
                <c:pt idx="1199">
                  <c:v>1800</c:v>
                </c:pt>
                <c:pt idx="1200">
                  <c:v>2327.7199999999998</c:v>
                </c:pt>
                <c:pt idx="1201">
                  <c:v>1635.12</c:v>
                </c:pt>
                <c:pt idx="1202">
                  <c:v>37200</c:v>
                </c:pt>
                <c:pt idx="1203">
                  <c:v>178747.5</c:v>
                </c:pt>
                <c:pt idx="1204">
                  <c:v>0</c:v>
                </c:pt>
                <c:pt idx="1205">
                  <c:v>1336</c:v>
                </c:pt>
                <c:pt idx="1206">
                  <c:v>33119</c:v>
                </c:pt>
                <c:pt idx="1207">
                  <c:v>7080</c:v>
                </c:pt>
                <c:pt idx="1208">
                  <c:v>4376.42</c:v>
                </c:pt>
                <c:pt idx="1209">
                  <c:v>85.22</c:v>
                </c:pt>
                <c:pt idx="1210">
                  <c:v>28287.599999999999</c:v>
                </c:pt>
                <c:pt idx="1211">
                  <c:v>2129.48</c:v>
                </c:pt>
                <c:pt idx="1212">
                  <c:v>4734.84</c:v>
                </c:pt>
                <c:pt idx="1213">
                  <c:v>6500</c:v>
                </c:pt>
                <c:pt idx="1214">
                  <c:v>161</c:v>
                </c:pt>
                <c:pt idx="1215">
                  <c:v>18000</c:v>
                </c:pt>
                <c:pt idx="1216">
                  <c:v>1917.39</c:v>
                </c:pt>
                <c:pt idx="1217">
                  <c:v>32250</c:v>
                </c:pt>
                <c:pt idx="1218">
                  <c:v>8797.83</c:v>
                </c:pt>
                <c:pt idx="1219">
                  <c:v>22548.62</c:v>
                </c:pt>
                <c:pt idx="1220">
                  <c:v>9440</c:v>
                </c:pt>
                <c:pt idx="1221">
                  <c:v>15570</c:v>
                </c:pt>
                <c:pt idx="1222">
                  <c:v>44640</c:v>
                </c:pt>
                <c:pt idx="1223">
                  <c:v>5043.84</c:v>
                </c:pt>
                <c:pt idx="1224">
                  <c:v>6304.8</c:v>
                </c:pt>
                <c:pt idx="1225">
                  <c:v>27360</c:v>
                </c:pt>
                <c:pt idx="1226">
                  <c:v>18561.400000000001</c:v>
                </c:pt>
                <c:pt idx="1227">
                  <c:v>4254</c:v>
                </c:pt>
                <c:pt idx="1228">
                  <c:v>0</c:v>
                </c:pt>
                <c:pt idx="1229">
                  <c:v>1284.97</c:v>
                </c:pt>
                <c:pt idx="1230">
                  <c:v>8260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64974</c:v>
                </c:pt>
                <c:pt idx="1236">
                  <c:v>5245</c:v>
                </c:pt>
                <c:pt idx="1237">
                  <c:v>16903.05</c:v>
                </c:pt>
                <c:pt idx="1238">
                  <c:v>14000.7</c:v>
                </c:pt>
                <c:pt idx="1239">
                  <c:v>3106.2</c:v>
                </c:pt>
                <c:pt idx="1240">
                  <c:v>2715</c:v>
                </c:pt>
                <c:pt idx="1241">
                  <c:v>6060</c:v>
                </c:pt>
                <c:pt idx="1242">
                  <c:v>15566.07</c:v>
                </c:pt>
                <c:pt idx="1243">
                  <c:v>928.45</c:v>
                </c:pt>
                <c:pt idx="1244">
                  <c:v>928.45</c:v>
                </c:pt>
                <c:pt idx="1245">
                  <c:v>928.45</c:v>
                </c:pt>
                <c:pt idx="1246">
                  <c:v>7308</c:v>
                </c:pt>
                <c:pt idx="1247">
                  <c:v>8000</c:v>
                </c:pt>
                <c:pt idx="1248">
                  <c:v>667.5</c:v>
                </c:pt>
                <c:pt idx="1249">
                  <c:v>347.5</c:v>
                </c:pt>
                <c:pt idx="1250">
                  <c:v>207473.14</c:v>
                </c:pt>
                <c:pt idx="1251">
                  <c:v>2500</c:v>
                </c:pt>
                <c:pt idx="1252">
                  <c:v>10500</c:v>
                </c:pt>
                <c:pt idx="1253">
                  <c:v>4254</c:v>
                </c:pt>
                <c:pt idx="1254">
                  <c:v>116190.8</c:v>
                </c:pt>
                <c:pt idx="1255">
                  <c:v>6199.72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1">
                  <c:v>196413.97</c:v>
                </c:pt>
                <c:pt idx="1262">
                  <c:v>413935.05</c:v>
                </c:pt>
                <c:pt idx="1263">
                  <c:v>11800</c:v>
                </c:pt>
                <c:pt idx="1264">
                  <c:v>18275.84</c:v>
                </c:pt>
                <c:pt idx="1265">
                  <c:v>18561.400000000001</c:v>
                </c:pt>
                <c:pt idx="1266">
                  <c:v>82447.53</c:v>
                </c:pt>
                <c:pt idx="1267">
                  <c:v>2889</c:v>
                </c:pt>
                <c:pt idx="1268">
                  <c:v>916</c:v>
                </c:pt>
                <c:pt idx="1269">
                  <c:v>9256</c:v>
                </c:pt>
                <c:pt idx="1270">
                  <c:v>24414.3</c:v>
                </c:pt>
                <c:pt idx="1271">
                  <c:v>482.41</c:v>
                </c:pt>
                <c:pt idx="1272">
                  <c:v>8797.83</c:v>
                </c:pt>
                <c:pt idx="1273">
                  <c:v>16308.76</c:v>
                </c:pt>
                <c:pt idx="1274">
                  <c:v>33000</c:v>
                </c:pt>
                <c:pt idx="1275">
                  <c:v>33000</c:v>
                </c:pt>
                <c:pt idx="1276">
                  <c:v>26950.28</c:v>
                </c:pt>
                <c:pt idx="1277">
                  <c:v>141693.71</c:v>
                </c:pt>
                <c:pt idx="1278">
                  <c:v>2996</c:v>
                </c:pt>
                <c:pt idx="1279">
                  <c:v>4513</c:v>
                </c:pt>
                <c:pt idx="1280">
                  <c:v>3130</c:v>
                </c:pt>
                <c:pt idx="1281">
                  <c:v>6743</c:v>
                </c:pt>
                <c:pt idx="1282">
                  <c:v>10363</c:v>
                </c:pt>
                <c:pt idx="1283">
                  <c:v>5045.04</c:v>
                </c:pt>
                <c:pt idx="1284">
                  <c:v>600</c:v>
                </c:pt>
                <c:pt idx="1285">
                  <c:v>540</c:v>
                </c:pt>
                <c:pt idx="1286">
                  <c:v>1510</c:v>
                </c:pt>
                <c:pt idx="1287">
                  <c:v>320</c:v>
                </c:pt>
                <c:pt idx="1288">
                  <c:v>280</c:v>
                </c:pt>
                <c:pt idx="1289">
                  <c:v>1580</c:v>
                </c:pt>
                <c:pt idx="1290">
                  <c:v>520</c:v>
                </c:pt>
                <c:pt idx="1291">
                  <c:v>440</c:v>
                </c:pt>
                <c:pt idx="1292">
                  <c:v>0</c:v>
                </c:pt>
                <c:pt idx="1293">
                  <c:v>440</c:v>
                </c:pt>
                <c:pt idx="1294">
                  <c:v>240</c:v>
                </c:pt>
                <c:pt idx="1295">
                  <c:v>26588.63</c:v>
                </c:pt>
                <c:pt idx="1296">
                  <c:v>2996.0010000000002</c:v>
                </c:pt>
                <c:pt idx="1297">
                  <c:v>159370.20000000001</c:v>
                </c:pt>
                <c:pt idx="1298">
                  <c:v>11046.13</c:v>
                </c:pt>
                <c:pt idx="1299">
                  <c:v>5600.12</c:v>
                </c:pt>
                <c:pt idx="1300">
                  <c:v>4102.54</c:v>
                </c:pt>
                <c:pt idx="1301">
                  <c:v>4320</c:v>
                </c:pt>
                <c:pt idx="1302">
                  <c:v>0</c:v>
                </c:pt>
                <c:pt idx="1303">
                  <c:v>0</c:v>
                </c:pt>
                <c:pt idx="1304">
                  <c:v>179361.17</c:v>
                </c:pt>
                <c:pt idx="1305">
                  <c:v>30080.48</c:v>
                </c:pt>
                <c:pt idx="1306">
                  <c:v>1769.44</c:v>
                </c:pt>
                <c:pt idx="1307">
                  <c:v>9363.19</c:v>
                </c:pt>
                <c:pt idx="1308">
                  <c:v>4000</c:v>
                </c:pt>
                <c:pt idx="1309">
                  <c:v>7800</c:v>
                </c:pt>
                <c:pt idx="1310">
                  <c:v>736000</c:v>
                </c:pt>
                <c:pt idx="1311">
                  <c:v>36954.53</c:v>
                </c:pt>
                <c:pt idx="1312">
                  <c:v>0</c:v>
                </c:pt>
                <c:pt idx="1313">
                  <c:v>266800</c:v>
                </c:pt>
                <c:pt idx="1314">
                  <c:v>23840</c:v>
                </c:pt>
                <c:pt idx="1315">
                  <c:v>11222.5</c:v>
                </c:pt>
                <c:pt idx="1316">
                  <c:v>19679.650000000001</c:v>
                </c:pt>
                <c:pt idx="1318">
                  <c:v>28462.16</c:v>
                </c:pt>
                <c:pt idx="1319">
                  <c:v>3900</c:v>
                </c:pt>
                <c:pt idx="1320">
                  <c:v>9100</c:v>
                </c:pt>
                <c:pt idx="1321">
                  <c:v>4040.21</c:v>
                </c:pt>
                <c:pt idx="1322">
                  <c:v>5882.76</c:v>
                </c:pt>
                <c:pt idx="1323">
                  <c:v>238.42</c:v>
                </c:pt>
                <c:pt idx="1324">
                  <c:v>192.78</c:v>
                </c:pt>
                <c:pt idx="1325">
                  <c:v>36.049999999999997</c:v>
                </c:pt>
                <c:pt idx="1326">
                  <c:v>861.07</c:v>
                </c:pt>
                <c:pt idx="1327">
                  <c:v>0</c:v>
                </c:pt>
                <c:pt idx="1328">
                  <c:v>0</c:v>
                </c:pt>
                <c:pt idx="1329">
                  <c:v>179.52</c:v>
                </c:pt>
                <c:pt idx="1330">
                  <c:v>43117.599999999999</c:v>
                </c:pt>
                <c:pt idx="1331">
                  <c:v>378446.11</c:v>
                </c:pt>
                <c:pt idx="1332">
                  <c:v>6600</c:v>
                </c:pt>
                <c:pt idx="1333">
                  <c:v>0</c:v>
                </c:pt>
                <c:pt idx="1334">
                  <c:v>35000</c:v>
                </c:pt>
                <c:pt idx="1335">
                  <c:v>180515.03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37490</c:v>
                </c:pt>
                <c:pt idx="1340">
                  <c:v>8920</c:v>
                </c:pt>
                <c:pt idx="1341">
                  <c:v>7000</c:v>
                </c:pt>
                <c:pt idx="1342">
                  <c:v>6690</c:v>
                </c:pt>
                <c:pt idx="1343">
                  <c:v>19968</c:v>
                </c:pt>
                <c:pt idx="1344">
                  <c:v>219536.9</c:v>
                </c:pt>
                <c:pt idx="1345">
                  <c:v>208069.18</c:v>
                </c:pt>
                <c:pt idx="1346">
                  <c:v>1934.86</c:v>
                </c:pt>
                <c:pt idx="1347">
                  <c:v>43492.9</c:v>
                </c:pt>
                <c:pt idx="1348">
                  <c:v>19800</c:v>
                </c:pt>
                <c:pt idx="1349">
                  <c:v>19800</c:v>
                </c:pt>
                <c:pt idx="1350">
                  <c:v>11490</c:v>
                </c:pt>
                <c:pt idx="1351">
                  <c:v>23640</c:v>
                </c:pt>
                <c:pt idx="1352">
                  <c:v>52498</c:v>
                </c:pt>
                <c:pt idx="1353">
                  <c:v>2520</c:v>
                </c:pt>
                <c:pt idx="1354">
                  <c:v>7459.6</c:v>
                </c:pt>
                <c:pt idx="1356">
                  <c:v>0</c:v>
                </c:pt>
                <c:pt idx="1357">
                  <c:v>2257.94</c:v>
                </c:pt>
                <c:pt idx="1358">
                  <c:v>3198.18</c:v>
                </c:pt>
                <c:pt idx="1359">
                  <c:v>0</c:v>
                </c:pt>
                <c:pt idx="1360">
                  <c:v>950</c:v>
                </c:pt>
                <c:pt idx="1361">
                  <c:v>950</c:v>
                </c:pt>
                <c:pt idx="1362">
                  <c:v>63210.3</c:v>
                </c:pt>
                <c:pt idx="1363">
                  <c:v>71538</c:v>
                </c:pt>
                <c:pt idx="1364">
                  <c:v>58816.07</c:v>
                </c:pt>
                <c:pt idx="1365">
                  <c:v>3672</c:v>
                </c:pt>
                <c:pt idx="1366">
                  <c:v>8444.81</c:v>
                </c:pt>
                <c:pt idx="1367">
                  <c:v>104895</c:v>
                </c:pt>
                <c:pt idx="1368">
                  <c:v>3000</c:v>
                </c:pt>
                <c:pt idx="1369">
                  <c:v>3750</c:v>
                </c:pt>
                <c:pt idx="1370">
                  <c:v>0</c:v>
                </c:pt>
                <c:pt idx="1371">
                  <c:v>0</c:v>
                </c:pt>
                <c:pt idx="1372">
                  <c:v>10003.19</c:v>
                </c:pt>
                <c:pt idx="1373">
                  <c:v>526.4</c:v>
                </c:pt>
                <c:pt idx="1374">
                  <c:v>1875</c:v>
                </c:pt>
                <c:pt idx="1375">
                  <c:v>1875</c:v>
                </c:pt>
                <c:pt idx="1376">
                  <c:v>1875</c:v>
                </c:pt>
                <c:pt idx="1377">
                  <c:v>126</c:v>
                </c:pt>
                <c:pt idx="1378">
                  <c:v>280</c:v>
                </c:pt>
                <c:pt idx="1379">
                  <c:v>95223.69</c:v>
                </c:pt>
                <c:pt idx="1380">
                  <c:v>656</c:v>
                </c:pt>
                <c:pt idx="1381">
                  <c:v>1605.12</c:v>
                </c:pt>
                <c:pt idx="1382">
                  <c:v>5784.5</c:v>
                </c:pt>
                <c:pt idx="1383">
                  <c:v>0</c:v>
                </c:pt>
                <c:pt idx="1384">
                  <c:v>0</c:v>
                </c:pt>
                <c:pt idx="1385">
                  <c:v>86349.63</c:v>
                </c:pt>
                <c:pt idx="1386">
                  <c:v>7005.27</c:v>
                </c:pt>
                <c:pt idx="1387">
                  <c:v>0</c:v>
                </c:pt>
                <c:pt idx="1388">
                  <c:v>3000</c:v>
                </c:pt>
                <c:pt idx="1389">
                  <c:v>1875</c:v>
                </c:pt>
                <c:pt idx="1390">
                  <c:v>1875</c:v>
                </c:pt>
                <c:pt idx="1391">
                  <c:v>3750</c:v>
                </c:pt>
                <c:pt idx="1392">
                  <c:v>35284.550000000003</c:v>
                </c:pt>
                <c:pt idx="1393">
                  <c:v>453</c:v>
                </c:pt>
                <c:pt idx="1394">
                  <c:v>440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7335.72</c:v>
                </c:pt>
                <c:pt idx="1399">
                  <c:v>14112</c:v>
                </c:pt>
                <c:pt idx="1400">
                  <c:v>28350</c:v>
                </c:pt>
                <c:pt idx="1401">
                  <c:v>31908.83</c:v>
                </c:pt>
                <c:pt idx="1402">
                  <c:v>181642.83</c:v>
                </c:pt>
                <c:pt idx="1403">
                  <c:v>343056.35</c:v>
                </c:pt>
                <c:pt idx="1404">
                  <c:v>46493.52</c:v>
                </c:pt>
                <c:pt idx="1405">
                  <c:v>1009.33</c:v>
                </c:pt>
                <c:pt idx="1406">
                  <c:v>5000</c:v>
                </c:pt>
                <c:pt idx="1407">
                  <c:v>7704</c:v>
                </c:pt>
                <c:pt idx="1408">
                  <c:v>220</c:v>
                </c:pt>
                <c:pt idx="1409">
                  <c:v>7443.69</c:v>
                </c:pt>
                <c:pt idx="1410">
                  <c:v>712.57</c:v>
                </c:pt>
                <c:pt idx="1411">
                  <c:v>33418.01</c:v>
                </c:pt>
                <c:pt idx="1412">
                  <c:v>49990</c:v>
                </c:pt>
                <c:pt idx="1413">
                  <c:v>2228.2199999999998</c:v>
                </c:pt>
                <c:pt idx="1414">
                  <c:v>2228.2199999999998</c:v>
                </c:pt>
                <c:pt idx="1415">
                  <c:v>3900</c:v>
                </c:pt>
                <c:pt idx="1416">
                  <c:v>508.86</c:v>
                </c:pt>
                <c:pt idx="1417">
                  <c:v>52.44</c:v>
                </c:pt>
                <c:pt idx="1418">
                  <c:v>3230.68</c:v>
                </c:pt>
                <c:pt idx="1419">
                  <c:v>28350</c:v>
                </c:pt>
                <c:pt idx="1420">
                  <c:v>1390</c:v>
                </c:pt>
                <c:pt idx="1421">
                  <c:v>11240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23881</c:v>
                </c:pt>
                <c:pt idx="1429">
                  <c:v>22802.639999999999</c:v>
                </c:pt>
                <c:pt idx="1430">
                  <c:v>78387.64</c:v>
                </c:pt>
                <c:pt idx="1431">
                  <c:v>39946.9</c:v>
                </c:pt>
                <c:pt idx="1432">
                  <c:v>0</c:v>
                </c:pt>
                <c:pt idx="1433">
                  <c:v>250015.9</c:v>
                </c:pt>
                <c:pt idx="1434">
                  <c:v>439</c:v>
                </c:pt>
                <c:pt idx="1435" formatCode="&quot;R$&quot;#,##0.00_);[Red]\(&quot;R$&quot;#,##0.00\)">
                  <c:v>2440</c:v>
                </c:pt>
                <c:pt idx="1436">
                  <c:v>2651</c:v>
                </c:pt>
                <c:pt idx="1437">
                  <c:v>7020</c:v>
                </c:pt>
                <c:pt idx="1438">
                  <c:v>5000</c:v>
                </c:pt>
                <c:pt idx="1439">
                  <c:v>1200</c:v>
                </c:pt>
                <c:pt idx="1440">
                  <c:v>33500</c:v>
                </c:pt>
                <c:pt idx="1441">
                  <c:v>41134.9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6080</c:v>
                </c:pt>
                <c:pt idx="1449">
                  <c:v>4452</c:v>
                </c:pt>
                <c:pt idx="1450">
                  <c:v>12276.34</c:v>
                </c:pt>
                <c:pt idx="1451">
                  <c:v>5780</c:v>
                </c:pt>
                <c:pt idx="1452">
                  <c:v>1603.93</c:v>
                </c:pt>
                <c:pt idx="1453">
                  <c:v>4229.7</c:v>
                </c:pt>
                <c:pt idx="1454">
                  <c:v>761698.37</c:v>
                </c:pt>
                <c:pt idx="1455">
                  <c:v>17769.47</c:v>
                </c:pt>
                <c:pt idx="1456">
                  <c:v>656.6</c:v>
                </c:pt>
                <c:pt idx="1457">
                  <c:v>225.82</c:v>
                </c:pt>
                <c:pt idx="1458">
                  <c:v>243.07</c:v>
                </c:pt>
                <c:pt idx="1459">
                  <c:v>234.45</c:v>
                </c:pt>
                <c:pt idx="1460">
                  <c:v>3351.2</c:v>
                </c:pt>
                <c:pt idx="1461">
                  <c:v>976.42</c:v>
                </c:pt>
                <c:pt idx="1462">
                  <c:v>7879.09</c:v>
                </c:pt>
                <c:pt idx="1463">
                  <c:v>7541.35</c:v>
                </c:pt>
                <c:pt idx="1464">
                  <c:v>820.86</c:v>
                </c:pt>
                <c:pt idx="1465">
                  <c:v>940.22</c:v>
                </c:pt>
                <c:pt idx="1466">
                  <c:v>456.17</c:v>
                </c:pt>
                <c:pt idx="1467">
                  <c:v>17351.64</c:v>
                </c:pt>
                <c:pt idx="1468">
                  <c:v>224552.54</c:v>
                </c:pt>
                <c:pt idx="1469">
                  <c:v>31946.07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125428.8</c:v>
                </c:pt>
                <c:pt idx="1474">
                  <c:v>12399.43</c:v>
                </c:pt>
                <c:pt idx="1475">
                  <c:v>24243.45</c:v>
                </c:pt>
                <c:pt idx="1476">
                  <c:v>61200</c:v>
                </c:pt>
                <c:pt idx="1477">
                  <c:v>22700.58</c:v>
                </c:pt>
                <c:pt idx="1478">
                  <c:v>176280.64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31689.82</c:v>
                </c:pt>
                <c:pt idx="1483">
                  <c:v>0</c:v>
                </c:pt>
                <c:pt idx="1484">
                  <c:v>0</c:v>
                </c:pt>
                <c:pt idx="1485">
                  <c:v>34252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3340</c:v>
                </c:pt>
                <c:pt idx="1491">
                  <c:v>13583.6</c:v>
                </c:pt>
                <c:pt idx="1492">
                  <c:v>474</c:v>
                </c:pt>
                <c:pt idx="1493">
                  <c:v>7500</c:v>
                </c:pt>
                <c:pt idx="1494">
                  <c:v>2785.68</c:v>
                </c:pt>
                <c:pt idx="1495">
                  <c:v>3200</c:v>
                </c:pt>
                <c:pt idx="1496">
                  <c:v>540</c:v>
                </c:pt>
                <c:pt idx="1497">
                  <c:v>11180</c:v>
                </c:pt>
                <c:pt idx="1498">
                  <c:v>408.92</c:v>
                </c:pt>
                <c:pt idx="1499">
                  <c:v>93332</c:v>
                </c:pt>
                <c:pt idx="1500">
                  <c:v>674561.4</c:v>
                </c:pt>
                <c:pt idx="1501">
                  <c:v>612776.6</c:v>
                </c:pt>
                <c:pt idx="1502">
                  <c:v>278850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9000</c:v>
                </c:pt>
                <c:pt idx="1509">
                  <c:v>17812.599999999999</c:v>
                </c:pt>
                <c:pt idx="1510">
                  <c:v>1370.2</c:v>
                </c:pt>
                <c:pt idx="1511">
                  <c:v>130457.27</c:v>
                </c:pt>
                <c:pt idx="1512">
                  <c:v>11456.65</c:v>
                </c:pt>
                <c:pt idx="1513">
                  <c:v>4415.55</c:v>
                </c:pt>
                <c:pt idx="1514">
                  <c:v>250.92</c:v>
                </c:pt>
                <c:pt idx="1515">
                  <c:v>12000</c:v>
                </c:pt>
                <c:pt idx="1516">
                  <c:v>40542.230000000003</c:v>
                </c:pt>
                <c:pt idx="1517">
                  <c:v>7553.37</c:v>
                </c:pt>
                <c:pt idx="1518">
                  <c:v>11960</c:v>
                </c:pt>
                <c:pt idx="1519">
                  <c:v>2916</c:v>
                </c:pt>
                <c:pt idx="1520">
                  <c:v>3887</c:v>
                </c:pt>
                <c:pt idx="1521">
                  <c:v>22078</c:v>
                </c:pt>
                <c:pt idx="1522">
                  <c:v>33155</c:v>
                </c:pt>
                <c:pt idx="1523">
                  <c:v>708</c:v>
                </c:pt>
                <c:pt idx="1525">
                  <c:v>0</c:v>
                </c:pt>
                <c:pt idx="1526">
                  <c:v>2500</c:v>
                </c:pt>
                <c:pt idx="1527">
                  <c:v>7045</c:v>
                </c:pt>
                <c:pt idx="1528">
                  <c:v>5393.5</c:v>
                </c:pt>
                <c:pt idx="1529">
                  <c:v>20000</c:v>
                </c:pt>
                <c:pt idx="1530">
                  <c:v>476794.65</c:v>
                </c:pt>
                <c:pt idx="1531">
                  <c:v>130643.85</c:v>
                </c:pt>
                <c:pt idx="1532">
                  <c:v>0</c:v>
                </c:pt>
                <c:pt idx="1533">
                  <c:v>950</c:v>
                </c:pt>
                <c:pt idx="1534">
                  <c:v>508.86</c:v>
                </c:pt>
                <c:pt idx="1535">
                  <c:v>6500</c:v>
                </c:pt>
                <c:pt idx="1536">
                  <c:v>13510</c:v>
                </c:pt>
                <c:pt idx="1537">
                  <c:v>6105.19</c:v>
                </c:pt>
                <c:pt idx="1538">
                  <c:v>905.5</c:v>
                </c:pt>
                <c:pt idx="1539">
                  <c:v>13602.81</c:v>
                </c:pt>
                <c:pt idx="1540">
                  <c:v>37483.949999999997</c:v>
                </c:pt>
                <c:pt idx="1541">
                  <c:v>2232</c:v>
                </c:pt>
                <c:pt idx="1542">
                  <c:v>390</c:v>
                </c:pt>
                <c:pt idx="1543">
                  <c:v>3801.03</c:v>
                </c:pt>
                <c:pt idx="1544">
                  <c:v>1080</c:v>
                </c:pt>
                <c:pt idx="1545">
                  <c:v>2569.94</c:v>
                </c:pt>
                <c:pt idx="1546">
                  <c:v>3997</c:v>
                </c:pt>
                <c:pt idx="1547">
                  <c:v>480</c:v>
                </c:pt>
                <c:pt idx="1548">
                  <c:v>460</c:v>
                </c:pt>
                <c:pt idx="1549">
                  <c:v>520</c:v>
                </c:pt>
                <c:pt idx="1550">
                  <c:v>500</c:v>
                </c:pt>
                <c:pt idx="1551">
                  <c:v>0</c:v>
                </c:pt>
                <c:pt idx="1552">
                  <c:v>347.5</c:v>
                </c:pt>
                <c:pt idx="1553">
                  <c:v>122950.47</c:v>
                </c:pt>
                <c:pt idx="1554">
                  <c:v>19338</c:v>
                </c:pt>
                <c:pt idx="1555">
                  <c:v>22548.62</c:v>
                </c:pt>
                <c:pt idx="1556">
                  <c:v>8000</c:v>
                </c:pt>
                <c:pt idx="1557">
                  <c:v>667.5</c:v>
                </c:pt>
                <c:pt idx="1558">
                  <c:v>27870</c:v>
                </c:pt>
                <c:pt idx="1559">
                  <c:v>12000</c:v>
                </c:pt>
                <c:pt idx="1560">
                  <c:v>58439.59</c:v>
                </c:pt>
                <c:pt idx="1561">
                  <c:v>2500</c:v>
                </c:pt>
                <c:pt idx="1562">
                  <c:v>20997.33</c:v>
                </c:pt>
                <c:pt idx="1563">
                  <c:v>14200.41</c:v>
                </c:pt>
                <c:pt idx="1564">
                  <c:v>6516.03</c:v>
                </c:pt>
                <c:pt idx="1565">
                  <c:v>1449.64</c:v>
                </c:pt>
                <c:pt idx="1566">
                  <c:v>2669.01</c:v>
                </c:pt>
                <c:pt idx="1567">
                  <c:v>2363.91</c:v>
                </c:pt>
                <c:pt idx="1568">
                  <c:v>10714</c:v>
                </c:pt>
                <c:pt idx="1569">
                  <c:v>12000</c:v>
                </c:pt>
                <c:pt idx="1570">
                  <c:v>857967.73</c:v>
                </c:pt>
                <c:pt idx="1571">
                  <c:v>2720</c:v>
                </c:pt>
                <c:pt idx="1572">
                  <c:v>1200</c:v>
                </c:pt>
                <c:pt idx="1573">
                  <c:v>6350.4</c:v>
                </c:pt>
                <c:pt idx="1574">
                  <c:v>4693.08</c:v>
                </c:pt>
                <c:pt idx="1575">
                  <c:v>330</c:v>
                </c:pt>
                <c:pt idx="1576">
                  <c:v>84880.94</c:v>
                </c:pt>
                <c:pt idx="1577">
                  <c:v>5000</c:v>
                </c:pt>
                <c:pt idx="1578">
                  <c:v>8094.02</c:v>
                </c:pt>
                <c:pt idx="1579">
                  <c:v>0</c:v>
                </c:pt>
                <c:pt idx="1580">
                  <c:v>7080</c:v>
                </c:pt>
                <c:pt idx="1581">
                  <c:v>6666.67</c:v>
                </c:pt>
                <c:pt idx="1582">
                  <c:v>19985.12</c:v>
                </c:pt>
                <c:pt idx="1583">
                  <c:v>10620</c:v>
                </c:pt>
                <c:pt idx="1584">
                  <c:v>18986.88</c:v>
                </c:pt>
                <c:pt idx="1585">
                  <c:v>2449.92</c:v>
                </c:pt>
                <c:pt idx="1586">
                  <c:v>11600</c:v>
                </c:pt>
                <c:pt idx="1587">
                  <c:v>2449.92</c:v>
                </c:pt>
                <c:pt idx="1588">
                  <c:v>6992.54</c:v>
                </c:pt>
                <c:pt idx="1589">
                  <c:v>11600</c:v>
                </c:pt>
                <c:pt idx="1590">
                  <c:v>5800</c:v>
                </c:pt>
                <c:pt idx="1591">
                  <c:v>9799.68</c:v>
                </c:pt>
                <c:pt idx="1592">
                  <c:v>7080</c:v>
                </c:pt>
                <c:pt idx="1593">
                  <c:v>16520</c:v>
                </c:pt>
                <c:pt idx="1594">
                  <c:v>4720</c:v>
                </c:pt>
                <c:pt idx="1595">
                  <c:v>5800</c:v>
                </c:pt>
                <c:pt idx="1596">
                  <c:v>0</c:v>
                </c:pt>
                <c:pt idx="1597">
                  <c:v>15950</c:v>
                </c:pt>
                <c:pt idx="1598">
                  <c:v>18300</c:v>
                </c:pt>
                <c:pt idx="1599">
                  <c:v>11600</c:v>
                </c:pt>
                <c:pt idx="1600">
                  <c:v>1299.82</c:v>
                </c:pt>
                <c:pt idx="1601">
                  <c:v>10862.4</c:v>
                </c:pt>
                <c:pt idx="1602">
                  <c:v>11800</c:v>
                </c:pt>
                <c:pt idx="1603">
                  <c:v>26222.03</c:v>
                </c:pt>
                <c:pt idx="1604">
                  <c:v>6992.54</c:v>
                </c:pt>
                <c:pt idx="1605">
                  <c:v>1800</c:v>
                </c:pt>
                <c:pt idx="1606">
                  <c:v>2327.7199999999998</c:v>
                </c:pt>
                <c:pt idx="1607">
                  <c:v>18286.04</c:v>
                </c:pt>
                <c:pt idx="1608">
                  <c:v>12664.48</c:v>
                </c:pt>
                <c:pt idx="1609">
                  <c:v>24414.43</c:v>
                </c:pt>
                <c:pt idx="1610">
                  <c:v>12320.18</c:v>
                </c:pt>
                <c:pt idx="1611">
                  <c:v>59572.74</c:v>
                </c:pt>
                <c:pt idx="1612">
                  <c:v>13012.85</c:v>
                </c:pt>
                <c:pt idx="1613">
                  <c:v>3424</c:v>
                </c:pt>
                <c:pt idx="1614">
                  <c:v>2996</c:v>
                </c:pt>
                <c:pt idx="1615">
                  <c:v>2664.4</c:v>
                </c:pt>
                <c:pt idx="1616">
                  <c:v>10188</c:v>
                </c:pt>
                <c:pt idx="1617">
                  <c:v>3000</c:v>
                </c:pt>
                <c:pt idx="1618">
                  <c:v>37503</c:v>
                </c:pt>
                <c:pt idx="1619">
                  <c:v>40407.9</c:v>
                </c:pt>
                <c:pt idx="1620">
                  <c:v>4899.84</c:v>
                </c:pt>
                <c:pt idx="1621">
                  <c:v>14699.52</c:v>
                </c:pt>
                <c:pt idx="1622">
                  <c:v>7080</c:v>
                </c:pt>
                <c:pt idx="1623">
                  <c:v>13985.08</c:v>
                </c:pt>
                <c:pt idx="1624">
                  <c:v>1284.97</c:v>
                </c:pt>
                <c:pt idx="1625">
                  <c:v>73320</c:v>
                </c:pt>
                <c:pt idx="1626">
                  <c:v>508.86</c:v>
                </c:pt>
                <c:pt idx="1627">
                  <c:v>12980</c:v>
                </c:pt>
                <c:pt idx="1628">
                  <c:v>6000</c:v>
                </c:pt>
                <c:pt idx="1629">
                  <c:v>1336</c:v>
                </c:pt>
                <c:pt idx="1630">
                  <c:v>21940</c:v>
                </c:pt>
                <c:pt idx="1631">
                  <c:v>9491.77</c:v>
                </c:pt>
                <c:pt idx="1632">
                  <c:v>18300</c:v>
                </c:pt>
                <c:pt idx="1633">
                  <c:v>159370.20000000001</c:v>
                </c:pt>
                <c:pt idx="1634">
                  <c:v>2664.4</c:v>
                </c:pt>
                <c:pt idx="1635">
                  <c:v>1284.97</c:v>
                </c:pt>
                <c:pt idx="1636">
                  <c:v>1284.97</c:v>
                </c:pt>
                <c:pt idx="1637">
                  <c:v>21750</c:v>
                </c:pt>
                <c:pt idx="1638">
                  <c:v>32716</c:v>
                </c:pt>
                <c:pt idx="1639">
                  <c:v>21033.46</c:v>
                </c:pt>
                <c:pt idx="1640">
                  <c:v>1537.38</c:v>
                </c:pt>
                <c:pt idx="1641">
                  <c:v>51020.95</c:v>
                </c:pt>
                <c:pt idx="1642">
                  <c:v>3679.79</c:v>
                </c:pt>
                <c:pt idx="1643">
                  <c:v>29101.200000000001</c:v>
                </c:pt>
                <c:pt idx="1644">
                  <c:v>842.95</c:v>
                </c:pt>
                <c:pt idx="1645">
                  <c:v>16884</c:v>
                </c:pt>
                <c:pt idx="1646">
                  <c:v>10500</c:v>
                </c:pt>
                <c:pt idx="1647">
                  <c:v>16250</c:v>
                </c:pt>
                <c:pt idx="1648">
                  <c:v>10500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10125</c:v>
                </c:pt>
                <c:pt idx="1656">
                  <c:v>45140</c:v>
                </c:pt>
                <c:pt idx="1657">
                  <c:v>11800</c:v>
                </c:pt>
                <c:pt idx="1658">
                  <c:v>18604.82</c:v>
                </c:pt>
                <c:pt idx="1659">
                  <c:v>71538</c:v>
                </c:pt>
                <c:pt idx="1660">
                  <c:v>19520</c:v>
                </c:pt>
                <c:pt idx="1661">
                  <c:v>23200</c:v>
                </c:pt>
                <c:pt idx="1662">
                  <c:v>0</c:v>
                </c:pt>
                <c:pt idx="1663">
                  <c:v>0</c:v>
                </c:pt>
                <c:pt idx="1664">
                  <c:v>44640</c:v>
                </c:pt>
                <c:pt idx="1665">
                  <c:v>27360</c:v>
                </c:pt>
                <c:pt idx="1666">
                  <c:v>722.8</c:v>
                </c:pt>
                <c:pt idx="1667">
                  <c:v>234271.14</c:v>
                </c:pt>
                <c:pt idx="1668">
                  <c:v>1284.97</c:v>
                </c:pt>
                <c:pt idx="1669">
                  <c:v>145.1</c:v>
                </c:pt>
                <c:pt idx="1670">
                  <c:v>110000</c:v>
                </c:pt>
                <c:pt idx="1671">
                  <c:v>916</c:v>
                </c:pt>
                <c:pt idx="1672">
                  <c:v>1917.39</c:v>
                </c:pt>
                <c:pt idx="1673">
                  <c:v>840.68</c:v>
                </c:pt>
                <c:pt idx="1674">
                  <c:v>4000</c:v>
                </c:pt>
                <c:pt idx="1675">
                  <c:v>694.67</c:v>
                </c:pt>
                <c:pt idx="1676">
                  <c:v>438</c:v>
                </c:pt>
                <c:pt idx="1677">
                  <c:v>15999.3</c:v>
                </c:pt>
                <c:pt idx="1678">
                  <c:v>103235.92</c:v>
                </c:pt>
                <c:pt idx="1679">
                  <c:v>4743</c:v>
                </c:pt>
                <c:pt idx="1680">
                  <c:v>11877.75</c:v>
                </c:pt>
                <c:pt idx="1681">
                  <c:v>10326</c:v>
                </c:pt>
                <c:pt idx="1682">
                  <c:v>3770</c:v>
                </c:pt>
                <c:pt idx="1683">
                  <c:v>482.41</c:v>
                </c:pt>
                <c:pt idx="1684">
                  <c:v>189.23</c:v>
                </c:pt>
                <c:pt idx="1685">
                  <c:v>0</c:v>
                </c:pt>
                <c:pt idx="1686">
                  <c:v>196753.92000000001</c:v>
                </c:pt>
                <c:pt idx="1687">
                  <c:v>196753.92000000001</c:v>
                </c:pt>
                <c:pt idx="1688">
                  <c:v>344.06</c:v>
                </c:pt>
                <c:pt idx="1689">
                  <c:v>119685</c:v>
                </c:pt>
                <c:pt idx="1690">
                  <c:v>12221.88</c:v>
                </c:pt>
                <c:pt idx="1691">
                  <c:v>7393.39</c:v>
                </c:pt>
                <c:pt idx="1692">
                  <c:v>2889</c:v>
                </c:pt>
                <c:pt idx="1693">
                  <c:v>183021.63</c:v>
                </c:pt>
                <c:pt idx="1694">
                  <c:v>7624.5</c:v>
                </c:pt>
                <c:pt idx="1697">
                  <c:v>4465.4799999999996</c:v>
                </c:pt>
                <c:pt idx="1698">
                  <c:v>21750</c:v>
                </c:pt>
                <c:pt idx="1699">
                  <c:v>19227.759999999998</c:v>
                </c:pt>
                <c:pt idx="1700">
                  <c:v>26950.28</c:v>
                </c:pt>
                <c:pt idx="1701">
                  <c:v>13000</c:v>
                </c:pt>
                <c:pt idx="1702">
                  <c:v>8797.83</c:v>
                </c:pt>
                <c:pt idx="1703">
                  <c:v>0</c:v>
                </c:pt>
                <c:pt idx="1704">
                  <c:v>4466</c:v>
                </c:pt>
                <c:pt idx="1705">
                  <c:v>6531.75</c:v>
                </c:pt>
                <c:pt idx="1706">
                  <c:v>686.72</c:v>
                </c:pt>
                <c:pt idx="1707">
                  <c:v>276620.95</c:v>
                </c:pt>
                <c:pt idx="1708">
                  <c:v>600</c:v>
                </c:pt>
                <c:pt idx="1709">
                  <c:v>600</c:v>
                </c:pt>
                <c:pt idx="1710">
                  <c:v>104895</c:v>
                </c:pt>
                <c:pt idx="1711">
                  <c:v>73579.67</c:v>
                </c:pt>
                <c:pt idx="1712">
                  <c:v>8797.83</c:v>
                </c:pt>
                <c:pt idx="1713">
                  <c:v>86.02</c:v>
                </c:pt>
                <c:pt idx="1714">
                  <c:v>0</c:v>
                </c:pt>
                <c:pt idx="1715">
                  <c:v>0</c:v>
                </c:pt>
                <c:pt idx="1716">
                  <c:v>51508.4</c:v>
                </c:pt>
                <c:pt idx="1717">
                  <c:v>1227.03</c:v>
                </c:pt>
                <c:pt idx="1718">
                  <c:v>1354.66</c:v>
                </c:pt>
                <c:pt idx="1719">
                  <c:v>1113.1199999999999</c:v>
                </c:pt>
                <c:pt idx="1720">
                  <c:v>6797.38</c:v>
                </c:pt>
                <c:pt idx="1721">
                  <c:v>6012</c:v>
                </c:pt>
                <c:pt idx="1722">
                  <c:v>6793</c:v>
                </c:pt>
                <c:pt idx="1723">
                  <c:v>551002.34</c:v>
                </c:pt>
                <c:pt idx="1724">
                  <c:v>7700.29</c:v>
                </c:pt>
                <c:pt idx="1725">
                  <c:v>4474.3999999999996</c:v>
                </c:pt>
                <c:pt idx="1726">
                  <c:v>24529.03</c:v>
                </c:pt>
                <c:pt idx="1727">
                  <c:v>6217.98</c:v>
                </c:pt>
                <c:pt idx="1728">
                  <c:v>3272</c:v>
                </c:pt>
                <c:pt idx="1729">
                  <c:v>7962.24</c:v>
                </c:pt>
                <c:pt idx="1730">
                  <c:v>5800</c:v>
                </c:pt>
                <c:pt idx="1731">
                  <c:v>7367.94</c:v>
                </c:pt>
                <c:pt idx="1732">
                  <c:v>17700</c:v>
                </c:pt>
                <c:pt idx="1733">
                  <c:v>161</c:v>
                </c:pt>
                <c:pt idx="1734">
                  <c:v>3926.82</c:v>
                </c:pt>
                <c:pt idx="1735">
                  <c:v>4517.0600000000004</c:v>
                </c:pt>
                <c:pt idx="1736">
                  <c:v>170238.42</c:v>
                </c:pt>
                <c:pt idx="1737">
                  <c:v>17662.98</c:v>
                </c:pt>
                <c:pt idx="1738">
                  <c:v>0</c:v>
                </c:pt>
                <c:pt idx="1739">
                  <c:v>3240</c:v>
                </c:pt>
                <c:pt idx="1740">
                  <c:v>380918.12</c:v>
                </c:pt>
                <c:pt idx="1741">
                  <c:v>5684</c:v>
                </c:pt>
                <c:pt idx="1742">
                  <c:v>32115.27</c:v>
                </c:pt>
                <c:pt idx="1743">
                  <c:v>37490</c:v>
                </c:pt>
                <c:pt idx="1744">
                  <c:v>9240</c:v>
                </c:pt>
                <c:pt idx="1745">
                  <c:v>42727.7</c:v>
                </c:pt>
                <c:pt idx="1746">
                  <c:v>150</c:v>
                </c:pt>
                <c:pt idx="1747">
                  <c:v>28741.73</c:v>
                </c:pt>
                <c:pt idx="1748">
                  <c:v>4314.6000000000004</c:v>
                </c:pt>
                <c:pt idx="1749">
                  <c:v>508.86</c:v>
                </c:pt>
                <c:pt idx="1750">
                  <c:v>169492.14</c:v>
                </c:pt>
                <c:pt idx="1751">
                  <c:v>194</c:v>
                </c:pt>
                <c:pt idx="1752">
                  <c:v>0</c:v>
                </c:pt>
                <c:pt idx="1753">
                  <c:v>0</c:v>
                </c:pt>
                <c:pt idx="1754">
                  <c:v>602.63</c:v>
                </c:pt>
                <c:pt idx="1755">
                  <c:v>311.5</c:v>
                </c:pt>
                <c:pt idx="1756">
                  <c:v>75.25</c:v>
                </c:pt>
                <c:pt idx="1757">
                  <c:v>266.83999999999997</c:v>
                </c:pt>
                <c:pt idx="1758">
                  <c:v>960</c:v>
                </c:pt>
                <c:pt idx="1759">
                  <c:v>201118.91</c:v>
                </c:pt>
                <c:pt idx="1760">
                  <c:v>990</c:v>
                </c:pt>
                <c:pt idx="1761">
                  <c:v>7624.5</c:v>
                </c:pt>
                <c:pt idx="1762">
                  <c:v>550</c:v>
                </c:pt>
                <c:pt idx="1763">
                  <c:v>518.78</c:v>
                </c:pt>
                <c:pt idx="1764">
                  <c:v>2945</c:v>
                </c:pt>
                <c:pt idx="1765">
                  <c:v>52640.13</c:v>
                </c:pt>
                <c:pt idx="1766">
                  <c:v>2110.04</c:v>
                </c:pt>
                <c:pt idx="1767">
                  <c:v>480</c:v>
                </c:pt>
                <c:pt idx="1768">
                  <c:v>438790.8</c:v>
                </c:pt>
                <c:pt idx="1769">
                  <c:v>201619.7</c:v>
                </c:pt>
                <c:pt idx="1770">
                  <c:v>2893.85</c:v>
                </c:pt>
                <c:pt idx="1771">
                  <c:v>64.48</c:v>
                </c:pt>
                <c:pt idx="1772">
                  <c:v>375.12</c:v>
                </c:pt>
                <c:pt idx="1773">
                  <c:v>827.26</c:v>
                </c:pt>
                <c:pt idx="1774">
                  <c:v>800</c:v>
                </c:pt>
                <c:pt idx="1775">
                  <c:v>13916.66</c:v>
                </c:pt>
                <c:pt idx="1776">
                  <c:v>15400</c:v>
                </c:pt>
                <c:pt idx="1777">
                  <c:v>1483.13</c:v>
                </c:pt>
                <c:pt idx="1778">
                  <c:v>7590</c:v>
                </c:pt>
                <c:pt idx="1779">
                  <c:v>5430</c:v>
                </c:pt>
                <c:pt idx="1780">
                  <c:v>6780</c:v>
                </c:pt>
                <c:pt idx="1781">
                  <c:v>1488</c:v>
                </c:pt>
                <c:pt idx="1782">
                  <c:v>4792</c:v>
                </c:pt>
                <c:pt idx="1783">
                  <c:v>0</c:v>
                </c:pt>
                <c:pt idx="1784">
                  <c:v>2638.75</c:v>
                </c:pt>
                <c:pt idx="1785">
                  <c:v>1017.72</c:v>
                </c:pt>
                <c:pt idx="1786">
                  <c:v>15273.08</c:v>
                </c:pt>
                <c:pt idx="1787">
                  <c:v>136747.48000000001</c:v>
                </c:pt>
                <c:pt idx="1788">
                  <c:v>10668</c:v>
                </c:pt>
                <c:pt idx="1789">
                  <c:v>67672</c:v>
                </c:pt>
                <c:pt idx="1790">
                  <c:v>17775.75</c:v>
                </c:pt>
                <c:pt idx="1791">
                  <c:v>17249.77</c:v>
                </c:pt>
                <c:pt idx="1792">
                  <c:v>41969.45</c:v>
                </c:pt>
                <c:pt idx="1793">
                  <c:v>43117.599999999999</c:v>
                </c:pt>
                <c:pt idx="1794">
                  <c:v>0</c:v>
                </c:pt>
                <c:pt idx="1795">
                  <c:v>10450.799999999999</c:v>
                </c:pt>
                <c:pt idx="1796">
                  <c:v>1272</c:v>
                </c:pt>
                <c:pt idx="1797">
                  <c:v>402</c:v>
                </c:pt>
                <c:pt idx="1798">
                  <c:v>1680</c:v>
                </c:pt>
                <c:pt idx="1799">
                  <c:v>3000</c:v>
                </c:pt>
                <c:pt idx="1800">
                  <c:v>12139</c:v>
                </c:pt>
                <c:pt idx="1801">
                  <c:v>16800</c:v>
                </c:pt>
                <c:pt idx="1802">
                  <c:v>4842.97</c:v>
                </c:pt>
                <c:pt idx="1803">
                  <c:v>11960</c:v>
                </c:pt>
                <c:pt idx="1804">
                  <c:v>347055.2</c:v>
                </c:pt>
                <c:pt idx="1805">
                  <c:v>308</c:v>
                </c:pt>
                <c:pt idx="1806">
                  <c:v>23848.57</c:v>
                </c:pt>
                <c:pt idx="1807">
                  <c:v>4000</c:v>
                </c:pt>
                <c:pt idx="1808">
                  <c:v>135837</c:v>
                </c:pt>
                <c:pt idx="1809">
                  <c:v>725094.36</c:v>
                </c:pt>
                <c:pt idx="1810">
                  <c:v>4300</c:v>
                </c:pt>
                <c:pt idx="1811">
                  <c:v>4005</c:v>
                </c:pt>
                <c:pt idx="1812">
                  <c:v>4400</c:v>
                </c:pt>
                <c:pt idx="1813">
                  <c:v>2898</c:v>
                </c:pt>
                <c:pt idx="1814">
                  <c:v>5960</c:v>
                </c:pt>
                <c:pt idx="1815">
                  <c:v>28857.15</c:v>
                </c:pt>
                <c:pt idx="1816">
                  <c:v>141.1</c:v>
                </c:pt>
                <c:pt idx="1817">
                  <c:v>15950.24</c:v>
                </c:pt>
                <c:pt idx="1818">
                  <c:v>1643.25</c:v>
                </c:pt>
                <c:pt idx="1819">
                  <c:v>196</c:v>
                </c:pt>
                <c:pt idx="1820">
                  <c:v>15664.02</c:v>
                </c:pt>
                <c:pt idx="1821">
                  <c:v>1520</c:v>
                </c:pt>
                <c:pt idx="1822">
                  <c:v>3150</c:v>
                </c:pt>
                <c:pt idx="1823">
                  <c:v>7800</c:v>
                </c:pt>
                <c:pt idx="1824">
                  <c:v>31.3</c:v>
                </c:pt>
                <c:pt idx="1825">
                  <c:v>3987.6</c:v>
                </c:pt>
                <c:pt idx="1826">
                  <c:v>17455</c:v>
                </c:pt>
                <c:pt idx="1827">
                  <c:v>2942.9</c:v>
                </c:pt>
                <c:pt idx="1828">
                  <c:v>7705.8</c:v>
                </c:pt>
                <c:pt idx="1829">
                  <c:v>24970</c:v>
                </c:pt>
                <c:pt idx="1830">
                  <c:v>3400</c:v>
                </c:pt>
                <c:pt idx="1831">
                  <c:v>6800</c:v>
                </c:pt>
                <c:pt idx="1832">
                  <c:v>1161.75</c:v>
                </c:pt>
                <c:pt idx="1833">
                  <c:v>1044.5999999999999</c:v>
                </c:pt>
                <c:pt idx="1834">
                  <c:v>1811.5</c:v>
                </c:pt>
                <c:pt idx="1835">
                  <c:v>128</c:v>
                </c:pt>
                <c:pt idx="1836">
                  <c:v>17811.599999999999</c:v>
                </c:pt>
                <c:pt idx="1837">
                  <c:v>16435</c:v>
                </c:pt>
                <c:pt idx="1838">
                  <c:v>2754.9</c:v>
                </c:pt>
                <c:pt idx="1839">
                  <c:v>2902.4</c:v>
                </c:pt>
                <c:pt idx="1840">
                  <c:v>207.46</c:v>
                </c:pt>
                <c:pt idx="1841">
                  <c:v>2117.8000000000002</c:v>
                </c:pt>
                <c:pt idx="1842">
                  <c:v>1735.6</c:v>
                </c:pt>
                <c:pt idx="1843">
                  <c:v>22030</c:v>
                </c:pt>
                <c:pt idx="1844">
                  <c:v>2250</c:v>
                </c:pt>
                <c:pt idx="1845">
                  <c:v>45445</c:v>
                </c:pt>
                <c:pt idx="1846">
                  <c:v>1636.64</c:v>
                </c:pt>
                <c:pt idx="1847">
                  <c:v>2100</c:v>
                </c:pt>
                <c:pt idx="1848">
                  <c:v>6790</c:v>
                </c:pt>
                <c:pt idx="1849">
                  <c:v>4195.71</c:v>
                </c:pt>
                <c:pt idx="1850">
                  <c:v>3093</c:v>
                </c:pt>
                <c:pt idx="1851">
                  <c:v>5000</c:v>
                </c:pt>
                <c:pt idx="1852">
                  <c:v>35584.629999999997</c:v>
                </c:pt>
                <c:pt idx="1853">
                  <c:v>1535.7</c:v>
                </c:pt>
                <c:pt idx="1854">
                  <c:v>80</c:v>
                </c:pt>
                <c:pt idx="1855">
                  <c:v>1954.22</c:v>
                </c:pt>
                <c:pt idx="1856">
                  <c:v>1827.18</c:v>
                </c:pt>
                <c:pt idx="1857">
                  <c:v>18768</c:v>
                </c:pt>
                <c:pt idx="1858">
                  <c:v>28752.44</c:v>
                </c:pt>
                <c:pt idx="1859">
                  <c:v>4416.28</c:v>
                </c:pt>
                <c:pt idx="1860">
                  <c:v>5183.97</c:v>
                </c:pt>
                <c:pt idx="1861">
                  <c:v>2096.63</c:v>
                </c:pt>
                <c:pt idx="1862">
                  <c:v>13209.09</c:v>
                </c:pt>
                <c:pt idx="1863">
                  <c:v>5722</c:v>
                </c:pt>
                <c:pt idx="1864">
                  <c:v>7730</c:v>
                </c:pt>
                <c:pt idx="1865">
                  <c:v>4795.8999999999996</c:v>
                </c:pt>
                <c:pt idx="1866">
                  <c:v>4899.84</c:v>
                </c:pt>
                <c:pt idx="1867">
                  <c:v>500</c:v>
                </c:pt>
                <c:pt idx="1868">
                  <c:v>976.25</c:v>
                </c:pt>
                <c:pt idx="1869">
                  <c:v>7226.39</c:v>
                </c:pt>
                <c:pt idx="1870">
                  <c:v>5754.15</c:v>
                </c:pt>
                <c:pt idx="1871">
                  <c:v>18680.29</c:v>
                </c:pt>
                <c:pt idx="1872">
                  <c:v>6984.84</c:v>
                </c:pt>
                <c:pt idx="1873">
                  <c:v>3121.87</c:v>
                </c:pt>
                <c:pt idx="1874">
                  <c:v>2765.72</c:v>
                </c:pt>
                <c:pt idx="1875">
                  <c:v>33884.400000000001</c:v>
                </c:pt>
                <c:pt idx="1876">
                  <c:v>2295</c:v>
                </c:pt>
                <c:pt idx="1877">
                  <c:v>5000</c:v>
                </c:pt>
                <c:pt idx="1878">
                  <c:v>11960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300</c:v>
                </c:pt>
                <c:pt idx="1883">
                  <c:v>832.81</c:v>
                </c:pt>
                <c:pt idx="1884">
                  <c:v>2241.75</c:v>
                </c:pt>
                <c:pt idx="1885">
                  <c:v>12597.37</c:v>
                </c:pt>
                <c:pt idx="1886">
                  <c:v>0</c:v>
                </c:pt>
                <c:pt idx="1887">
                  <c:v>0</c:v>
                </c:pt>
                <c:pt idx="1888">
                  <c:v>2100.1799999999998</c:v>
                </c:pt>
                <c:pt idx="1889">
                  <c:v>35000</c:v>
                </c:pt>
                <c:pt idx="1890">
                  <c:v>3100</c:v>
                </c:pt>
                <c:pt idx="1891">
                  <c:v>1410</c:v>
                </c:pt>
                <c:pt idx="1892">
                  <c:v>1536</c:v>
                </c:pt>
                <c:pt idx="1893">
                  <c:v>1700</c:v>
                </c:pt>
                <c:pt idx="1894">
                  <c:v>21600</c:v>
                </c:pt>
                <c:pt idx="1895">
                  <c:v>9870</c:v>
                </c:pt>
                <c:pt idx="1896">
                  <c:v>1500</c:v>
                </c:pt>
                <c:pt idx="1897">
                  <c:v>4728.6000000000004</c:v>
                </c:pt>
                <c:pt idx="1898">
                  <c:v>13200</c:v>
                </c:pt>
                <c:pt idx="1899">
                  <c:v>1554</c:v>
                </c:pt>
                <c:pt idx="1900">
                  <c:v>4833.68</c:v>
                </c:pt>
                <c:pt idx="1901">
                  <c:v>532005.91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D3-4085-A09B-B89DD00D11D6}"/>
            </c:ext>
          </c:extLst>
        </c:ser>
        <c:ser>
          <c:idx val="10"/>
          <c:order val="10"/>
          <c:tx>
            <c:strRef>
              <c:f>'INVENTÁRIO 2026'!$K$2</c:f>
              <c:strCache>
                <c:ptCount val="1"/>
                <c:pt idx="0">
                  <c:v>DESTINO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2026'!$K$3:$K$11861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D3-4085-A09B-B89DD00D11D6}"/>
            </c:ext>
          </c:extLst>
        </c:ser>
        <c:ser>
          <c:idx val="11"/>
          <c:order val="11"/>
          <c:tx>
            <c:strRef>
              <c:f>'INVENTÁRIO 2026'!$L$2</c:f>
              <c:strCache>
                <c:ptCount val="1"/>
                <c:pt idx="0">
                  <c:v>SITUAÇÃO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2026'!$L$3:$L$11861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58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D3-4085-A09B-B89DD00D11D6}"/>
            </c:ext>
          </c:extLst>
        </c:ser>
        <c:ser>
          <c:idx val="12"/>
          <c:order val="12"/>
          <c:tx>
            <c:strRef>
              <c:f>'INVENTÁRIO 2026'!$M$2</c:f>
              <c:strCache>
                <c:ptCount val="1"/>
                <c:pt idx="0">
                  <c:v>DATA DE SAÍDA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2026'!$M$3:$M$11861</c:f>
              <c:numCache>
                <c:formatCode>m/d/yyyy</c:formatCode>
                <c:ptCount val="11859"/>
                <c:pt idx="0">
                  <c:v>45665</c:v>
                </c:pt>
                <c:pt idx="1">
                  <c:v>45664</c:v>
                </c:pt>
                <c:pt idx="2">
                  <c:v>45666</c:v>
                </c:pt>
                <c:pt idx="3">
                  <c:v>45666</c:v>
                </c:pt>
                <c:pt idx="4">
                  <c:v>45670</c:v>
                </c:pt>
                <c:pt idx="5">
                  <c:v>45664</c:v>
                </c:pt>
                <c:pt idx="6">
                  <c:v>45664</c:v>
                </c:pt>
                <c:pt idx="7">
                  <c:v>46037</c:v>
                </c:pt>
                <c:pt idx="8">
                  <c:v>45664</c:v>
                </c:pt>
                <c:pt idx="9">
                  <c:v>45975</c:v>
                </c:pt>
                <c:pt idx="10">
                  <c:v>45669</c:v>
                </c:pt>
                <c:pt idx="11">
                  <c:v>45666</c:v>
                </c:pt>
                <c:pt idx="12">
                  <c:v>45670</c:v>
                </c:pt>
                <c:pt idx="13">
                  <c:v>46038</c:v>
                </c:pt>
                <c:pt idx="15">
                  <c:v>45670</c:v>
                </c:pt>
                <c:pt idx="16">
                  <c:v>45669</c:v>
                </c:pt>
                <c:pt idx="17">
                  <c:v>45670</c:v>
                </c:pt>
                <c:pt idx="18">
                  <c:v>46051</c:v>
                </c:pt>
                <c:pt idx="19">
                  <c:v>45669</c:v>
                </c:pt>
                <c:pt idx="20">
                  <c:v>45670</c:v>
                </c:pt>
                <c:pt idx="21">
                  <c:v>46034</c:v>
                </c:pt>
                <c:pt idx="22">
                  <c:v>46034</c:v>
                </c:pt>
                <c:pt idx="24">
                  <c:v>46034</c:v>
                </c:pt>
                <c:pt idx="26">
                  <c:v>45670</c:v>
                </c:pt>
                <c:pt idx="27">
                  <c:v>45672</c:v>
                </c:pt>
                <c:pt idx="28">
                  <c:v>46042</c:v>
                </c:pt>
                <c:pt idx="29">
                  <c:v>45670</c:v>
                </c:pt>
                <c:pt idx="30">
                  <c:v>45670</c:v>
                </c:pt>
                <c:pt idx="31">
                  <c:v>45670</c:v>
                </c:pt>
                <c:pt idx="32">
                  <c:v>45670</c:v>
                </c:pt>
                <c:pt idx="33">
                  <c:v>46036</c:v>
                </c:pt>
                <c:pt idx="34">
                  <c:v>45670</c:v>
                </c:pt>
                <c:pt idx="35">
                  <c:v>46035</c:v>
                </c:pt>
                <c:pt idx="36">
                  <c:v>46035</c:v>
                </c:pt>
                <c:pt idx="37">
                  <c:v>46035</c:v>
                </c:pt>
                <c:pt idx="38">
                  <c:v>45671</c:v>
                </c:pt>
                <c:pt idx="40">
                  <c:v>45670</c:v>
                </c:pt>
                <c:pt idx="41">
                  <c:v>46036</c:v>
                </c:pt>
                <c:pt idx="42">
                  <c:v>46038</c:v>
                </c:pt>
                <c:pt idx="43">
                  <c:v>46038</c:v>
                </c:pt>
                <c:pt idx="44">
                  <c:v>46036</c:v>
                </c:pt>
                <c:pt idx="45">
                  <c:v>46037</c:v>
                </c:pt>
                <c:pt idx="46">
                  <c:v>46035</c:v>
                </c:pt>
                <c:pt idx="47">
                  <c:v>46036</c:v>
                </c:pt>
                <c:pt idx="48">
                  <c:v>45670</c:v>
                </c:pt>
                <c:pt idx="49">
                  <c:v>45670</c:v>
                </c:pt>
                <c:pt idx="50">
                  <c:v>45670</c:v>
                </c:pt>
                <c:pt idx="51">
                  <c:v>45670</c:v>
                </c:pt>
                <c:pt idx="52">
                  <c:v>45670</c:v>
                </c:pt>
                <c:pt idx="53">
                  <c:v>46036</c:v>
                </c:pt>
                <c:pt idx="54">
                  <c:v>46041</c:v>
                </c:pt>
                <c:pt idx="55">
                  <c:v>46038</c:v>
                </c:pt>
                <c:pt idx="56">
                  <c:v>46038</c:v>
                </c:pt>
                <c:pt idx="57">
                  <c:v>45669</c:v>
                </c:pt>
                <c:pt idx="58">
                  <c:v>46035</c:v>
                </c:pt>
                <c:pt idx="59">
                  <c:v>45670</c:v>
                </c:pt>
                <c:pt idx="60">
                  <c:v>46072</c:v>
                </c:pt>
                <c:pt idx="61">
                  <c:v>46064</c:v>
                </c:pt>
                <c:pt idx="62">
                  <c:v>46041</c:v>
                </c:pt>
                <c:pt idx="63">
                  <c:v>46036</c:v>
                </c:pt>
                <c:pt idx="64">
                  <c:v>46035</c:v>
                </c:pt>
                <c:pt idx="65">
                  <c:v>46037</c:v>
                </c:pt>
                <c:pt idx="66">
                  <c:v>46038</c:v>
                </c:pt>
                <c:pt idx="67">
                  <c:v>46037</c:v>
                </c:pt>
                <c:pt idx="68">
                  <c:v>46037</c:v>
                </c:pt>
                <c:pt idx="69">
                  <c:v>46036</c:v>
                </c:pt>
                <c:pt idx="70">
                  <c:v>46037</c:v>
                </c:pt>
                <c:pt idx="71">
                  <c:v>46038</c:v>
                </c:pt>
                <c:pt idx="72">
                  <c:v>46037</c:v>
                </c:pt>
                <c:pt idx="73">
                  <c:v>46042</c:v>
                </c:pt>
                <c:pt idx="74">
                  <c:v>46037</c:v>
                </c:pt>
                <c:pt idx="75">
                  <c:v>46038</c:v>
                </c:pt>
                <c:pt idx="76">
                  <c:v>46037</c:v>
                </c:pt>
                <c:pt idx="77">
                  <c:v>46037</c:v>
                </c:pt>
                <c:pt idx="78">
                  <c:v>46037</c:v>
                </c:pt>
                <c:pt idx="79">
                  <c:v>46037</c:v>
                </c:pt>
                <c:pt idx="80">
                  <c:v>46037</c:v>
                </c:pt>
                <c:pt idx="81">
                  <c:v>46037</c:v>
                </c:pt>
                <c:pt idx="82">
                  <c:v>46037</c:v>
                </c:pt>
                <c:pt idx="83">
                  <c:v>46038</c:v>
                </c:pt>
                <c:pt idx="84">
                  <c:v>46038</c:v>
                </c:pt>
                <c:pt idx="85">
                  <c:v>46038</c:v>
                </c:pt>
                <c:pt idx="86">
                  <c:v>46038</c:v>
                </c:pt>
                <c:pt idx="87">
                  <c:v>46041</c:v>
                </c:pt>
                <c:pt idx="88">
                  <c:v>46037</c:v>
                </c:pt>
                <c:pt idx="89">
                  <c:v>46038</c:v>
                </c:pt>
                <c:pt idx="90">
                  <c:v>46042</c:v>
                </c:pt>
                <c:pt idx="91">
                  <c:v>46041</c:v>
                </c:pt>
                <c:pt idx="92">
                  <c:v>46037</c:v>
                </c:pt>
                <c:pt idx="93">
                  <c:v>46037</c:v>
                </c:pt>
                <c:pt idx="94">
                  <c:v>46037</c:v>
                </c:pt>
                <c:pt idx="95">
                  <c:v>46037</c:v>
                </c:pt>
                <c:pt idx="96">
                  <c:v>46041</c:v>
                </c:pt>
                <c:pt idx="97">
                  <c:v>46038</c:v>
                </c:pt>
                <c:pt idx="98">
                  <c:v>46038</c:v>
                </c:pt>
                <c:pt idx="99">
                  <c:v>46038</c:v>
                </c:pt>
                <c:pt idx="100">
                  <c:v>46041</c:v>
                </c:pt>
                <c:pt idx="101">
                  <c:v>46041</c:v>
                </c:pt>
                <c:pt idx="102">
                  <c:v>46042</c:v>
                </c:pt>
                <c:pt idx="103">
                  <c:v>46038</c:v>
                </c:pt>
                <c:pt idx="104">
                  <c:v>46038</c:v>
                </c:pt>
                <c:pt idx="105">
                  <c:v>46037</c:v>
                </c:pt>
                <c:pt idx="106">
                  <c:v>46037</c:v>
                </c:pt>
                <c:pt idx="107">
                  <c:v>46037</c:v>
                </c:pt>
                <c:pt idx="108">
                  <c:v>46037</c:v>
                </c:pt>
                <c:pt idx="109">
                  <c:v>46041</c:v>
                </c:pt>
                <c:pt idx="110">
                  <c:v>46038</c:v>
                </c:pt>
                <c:pt idx="111">
                  <c:v>46038</c:v>
                </c:pt>
                <c:pt idx="112">
                  <c:v>46038</c:v>
                </c:pt>
                <c:pt idx="113">
                  <c:v>46037</c:v>
                </c:pt>
                <c:pt idx="114">
                  <c:v>46037</c:v>
                </c:pt>
                <c:pt idx="115">
                  <c:v>45672</c:v>
                </c:pt>
                <c:pt idx="116">
                  <c:v>45672</c:v>
                </c:pt>
                <c:pt idx="117">
                  <c:v>46037</c:v>
                </c:pt>
                <c:pt idx="118">
                  <c:v>46037</c:v>
                </c:pt>
                <c:pt idx="119">
                  <c:v>46037</c:v>
                </c:pt>
                <c:pt idx="120">
                  <c:v>46041</c:v>
                </c:pt>
                <c:pt idx="121">
                  <c:v>46038</c:v>
                </c:pt>
                <c:pt idx="122">
                  <c:v>46037</c:v>
                </c:pt>
                <c:pt idx="123">
                  <c:v>46038</c:v>
                </c:pt>
                <c:pt idx="124">
                  <c:v>46037</c:v>
                </c:pt>
                <c:pt idx="125">
                  <c:v>46042</c:v>
                </c:pt>
                <c:pt idx="126">
                  <c:v>46037</c:v>
                </c:pt>
                <c:pt idx="127">
                  <c:v>46038</c:v>
                </c:pt>
                <c:pt idx="128">
                  <c:v>46037</c:v>
                </c:pt>
                <c:pt idx="129">
                  <c:v>46038</c:v>
                </c:pt>
                <c:pt idx="130">
                  <c:v>46038</c:v>
                </c:pt>
                <c:pt idx="131">
                  <c:v>46038</c:v>
                </c:pt>
                <c:pt idx="132">
                  <c:v>46038</c:v>
                </c:pt>
                <c:pt idx="133">
                  <c:v>46038</c:v>
                </c:pt>
                <c:pt idx="134">
                  <c:v>46041</c:v>
                </c:pt>
                <c:pt idx="135">
                  <c:v>46041</c:v>
                </c:pt>
                <c:pt idx="136">
                  <c:v>46042</c:v>
                </c:pt>
                <c:pt idx="137">
                  <c:v>46041</c:v>
                </c:pt>
                <c:pt idx="138">
                  <c:v>46041</c:v>
                </c:pt>
                <c:pt idx="139">
                  <c:v>46042</c:v>
                </c:pt>
                <c:pt idx="140">
                  <c:v>46042</c:v>
                </c:pt>
                <c:pt idx="141">
                  <c:v>46041</c:v>
                </c:pt>
                <c:pt idx="142">
                  <c:v>46043</c:v>
                </c:pt>
                <c:pt idx="143">
                  <c:v>46043</c:v>
                </c:pt>
                <c:pt idx="144">
                  <c:v>46044</c:v>
                </c:pt>
                <c:pt idx="145">
                  <c:v>46042</c:v>
                </c:pt>
                <c:pt idx="146">
                  <c:v>46041</c:v>
                </c:pt>
                <c:pt idx="147">
                  <c:v>46041</c:v>
                </c:pt>
                <c:pt idx="148">
                  <c:v>46042</c:v>
                </c:pt>
                <c:pt idx="149">
                  <c:v>46042</c:v>
                </c:pt>
                <c:pt idx="150">
                  <c:v>46041</c:v>
                </c:pt>
                <c:pt idx="151">
                  <c:v>46038</c:v>
                </c:pt>
                <c:pt idx="152">
                  <c:v>46038</c:v>
                </c:pt>
                <c:pt idx="153">
                  <c:v>46041</c:v>
                </c:pt>
                <c:pt idx="154">
                  <c:v>46038</c:v>
                </c:pt>
                <c:pt idx="155">
                  <c:v>46042</c:v>
                </c:pt>
                <c:pt idx="156">
                  <c:v>46042</c:v>
                </c:pt>
                <c:pt idx="157">
                  <c:v>46059</c:v>
                </c:pt>
                <c:pt idx="158">
                  <c:v>46059</c:v>
                </c:pt>
                <c:pt idx="159">
                  <c:v>46041</c:v>
                </c:pt>
                <c:pt idx="160">
                  <c:v>46044</c:v>
                </c:pt>
                <c:pt idx="161">
                  <c:v>46044</c:v>
                </c:pt>
                <c:pt idx="162">
                  <c:v>46044</c:v>
                </c:pt>
                <c:pt idx="163">
                  <c:v>46044</c:v>
                </c:pt>
                <c:pt idx="164">
                  <c:v>46049</c:v>
                </c:pt>
                <c:pt idx="165">
                  <c:v>46042</c:v>
                </c:pt>
                <c:pt idx="166">
                  <c:v>46042</c:v>
                </c:pt>
                <c:pt idx="167">
                  <c:v>46042</c:v>
                </c:pt>
                <c:pt idx="168">
                  <c:v>46042</c:v>
                </c:pt>
                <c:pt idx="169">
                  <c:v>46042</c:v>
                </c:pt>
                <c:pt idx="170">
                  <c:v>46063</c:v>
                </c:pt>
                <c:pt idx="171">
                  <c:v>46050</c:v>
                </c:pt>
                <c:pt idx="172">
                  <c:v>46049</c:v>
                </c:pt>
                <c:pt idx="173">
                  <c:v>46044</c:v>
                </c:pt>
                <c:pt idx="174">
                  <c:v>46042</c:v>
                </c:pt>
                <c:pt idx="175">
                  <c:v>46043</c:v>
                </c:pt>
                <c:pt idx="176">
                  <c:v>46042</c:v>
                </c:pt>
                <c:pt idx="177">
                  <c:v>46044</c:v>
                </c:pt>
                <c:pt idx="178">
                  <c:v>46044</c:v>
                </c:pt>
                <c:pt idx="179">
                  <c:v>46045</c:v>
                </c:pt>
                <c:pt idx="180">
                  <c:v>46043</c:v>
                </c:pt>
                <c:pt idx="181">
                  <c:v>46084</c:v>
                </c:pt>
                <c:pt idx="182">
                  <c:v>46084</c:v>
                </c:pt>
                <c:pt idx="183">
                  <c:v>46043</c:v>
                </c:pt>
                <c:pt idx="184">
                  <c:v>46084</c:v>
                </c:pt>
                <c:pt idx="185">
                  <c:v>46044</c:v>
                </c:pt>
                <c:pt idx="186">
                  <c:v>46044</c:v>
                </c:pt>
                <c:pt idx="187">
                  <c:v>46044</c:v>
                </c:pt>
                <c:pt idx="188">
                  <c:v>46045</c:v>
                </c:pt>
                <c:pt idx="189">
                  <c:v>46049</c:v>
                </c:pt>
                <c:pt idx="190">
                  <c:v>46044</c:v>
                </c:pt>
                <c:pt idx="191">
                  <c:v>46044</c:v>
                </c:pt>
                <c:pt idx="192">
                  <c:v>46044</c:v>
                </c:pt>
                <c:pt idx="193">
                  <c:v>46045</c:v>
                </c:pt>
                <c:pt idx="194">
                  <c:v>46044</c:v>
                </c:pt>
                <c:pt idx="195">
                  <c:v>46044</c:v>
                </c:pt>
                <c:pt idx="196">
                  <c:v>46045</c:v>
                </c:pt>
                <c:pt idx="197">
                  <c:v>46050</c:v>
                </c:pt>
                <c:pt idx="198">
                  <c:v>46045</c:v>
                </c:pt>
                <c:pt idx="199">
                  <c:v>46056</c:v>
                </c:pt>
                <c:pt idx="200">
                  <c:v>46049</c:v>
                </c:pt>
                <c:pt idx="201">
                  <c:v>46051</c:v>
                </c:pt>
                <c:pt idx="202">
                  <c:v>46048</c:v>
                </c:pt>
                <c:pt idx="203">
                  <c:v>46048</c:v>
                </c:pt>
                <c:pt idx="204">
                  <c:v>46048</c:v>
                </c:pt>
                <c:pt idx="205">
                  <c:v>46048</c:v>
                </c:pt>
                <c:pt idx="206">
                  <c:v>46048</c:v>
                </c:pt>
                <c:pt idx="207">
                  <c:v>46048</c:v>
                </c:pt>
                <c:pt idx="208">
                  <c:v>46048</c:v>
                </c:pt>
                <c:pt idx="209">
                  <c:v>46050</c:v>
                </c:pt>
                <c:pt idx="210">
                  <c:v>46049</c:v>
                </c:pt>
                <c:pt idx="211">
                  <c:v>46051</c:v>
                </c:pt>
                <c:pt idx="212">
                  <c:v>46048</c:v>
                </c:pt>
                <c:pt idx="213">
                  <c:v>46048</c:v>
                </c:pt>
                <c:pt idx="214">
                  <c:v>46048</c:v>
                </c:pt>
                <c:pt idx="215">
                  <c:v>46048</c:v>
                </c:pt>
                <c:pt idx="216">
                  <c:v>46048</c:v>
                </c:pt>
                <c:pt idx="217">
                  <c:v>46048</c:v>
                </c:pt>
                <c:pt idx="218">
                  <c:v>46048</c:v>
                </c:pt>
                <c:pt idx="219">
                  <c:v>46048</c:v>
                </c:pt>
                <c:pt idx="220">
                  <c:v>46048</c:v>
                </c:pt>
                <c:pt idx="221">
                  <c:v>46048</c:v>
                </c:pt>
                <c:pt idx="222">
                  <c:v>46048</c:v>
                </c:pt>
                <c:pt idx="223">
                  <c:v>46048</c:v>
                </c:pt>
                <c:pt idx="224">
                  <c:v>46052</c:v>
                </c:pt>
                <c:pt idx="225">
                  <c:v>46048</c:v>
                </c:pt>
                <c:pt idx="226">
                  <c:v>46048</c:v>
                </c:pt>
                <c:pt idx="227">
                  <c:v>46048</c:v>
                </c:pt>
                <c:pt idx="228">
                  <c:v>46049</c:v>
                </c:pt>
                <c:pt idx="229">
                  <c:v>46100</c:v>
                </c:pt>
                <c:pt idx="230">
                  <c:v>46044</c:v>
                </c:pt>
                <c:pt idx="231">
                  <c:v>46050</c:v>
                </c:pt>
                <c:pt idx="232">
                  <c:v>46051</c:v>
                </c:pt>
                <c:pt idx="233">
                  <c:v>46050</c:v>
                </c:pt>
                <c:pt idx="234">
                  <c:v>46056</c:v>
                </c:pt>
                <c:pt idx="235">
                  <c:v>46052</c:v>
                </c:pt>
                <c:pt idx="236">
                  <c:v>46057</c:v>
                </c:pt>
                <c:pt idx="237">
                  <c:v>46052</c:v>
                </c:pt>
                <c:pt idx="238">
                  <c:v>46072</c:v>
                </c:pt>
                <c:pt idx="239">
                  <c:v>46050</c:v>
                </c:pt>
                <c:pt idx="240">
                  <c:v>46051</c:v>
                </c:pt>
                <c:pt idx="241">
                  <c:v>46045</c:v>
                </c:pt>
                <c:pt idx="242">
                  <c:v>46064</c:v>
                </c:pt>
                <c:pt idx="243">
                  <c:v>46063</c:v>
                </c:pt>
                <c:pt idx="244">
                  <c:v>46063</c:v>
                </c:pt>
                <c:pt idx="245">
                  <c:v>46049</c:v>
                </c:pt>
                <c:pt idx="246">
                  <c:v>46048</c:v>
                </c:pt>
                <c:pt idx="247">
                  <c:v>46160</c:v>
                </c:pt>
                <c:pt idx="248">
                  <c:v>46049</c:v>
                </c:pt>
                <c:pt idx="249">
                  <c:v>46050</c:v>
                </c:pt>
                <c:pt idx="250">
                  <c:v>46056</c:v>
                </c:pt>
                <c:pt idx="251">
                  <c:v>46051</c:v>
                </c:pt>
                <c:pt idx="252">
                  <c:v>46049</c:v>
                </c:pt>
                <c:pt idx="253">
                  <c:v>46050</c:v>
                </c:pt>
                <c:pt idx="254">
                  <c:v>46050</c:v>
                </c:pt>
                <c:pt idx="255">
                  <c:v>46051</c:v>
                </c:pt>
                <c:pt idx="256">
                  <c:v>46049</c:v>
                </c:pt>
                <c:pt idx="257">
                  <c:v>46048</c:v>
                </c:pt>
                <c:pt idx="258">
                  <c:v>46055</c:v>
                </c:pt>
                <c:pt idx="259">
                  <c:v>46055</c:v>
                </c:pt>
                <c:pt idx="260">
                  <c:v>46048</c:v>
                </c:pt>
                <c:pt idx="261">
                  <c:v>46076</c:v>
                </c:pt>
                <c:pt idx="263">
                  <c:v>46055</c:v>
                </c:pt>
                <c:pt idx="264">
                  <c:v>46050</c:v>
                </c:pt>
                <c:pt idx="265">
                  <c:v>46050</c:v>
                </c:pt>
                <c:pt idx="266">
                  <c:v>46048</c:v>
                </c:pt>
                <c:pt idx="267">
                  <c:v>46048</c:v>
                </c:pt>
                <c:pt idx="268">
                  <c:v>46051</c:v>
                </c:pt>
                <c:pt idx="269">
                  <c:v>46051</c:v>
                </c:pt>
                <c:pt idx="270">
                  <c:v>46051</c:v>
                </c:pt>
                <c:pt idx="271">
                  <c:v>46050</c:v>
                </c:pt>
                <c:pt idx="272">
                  <c:v>46051</c:v>
                </c:pt>
                <c:pt idx="273">
                  <c:v>46051</c:v>
                </c:pt>
                <c:pt idx="274">
                  <c:v>46049</c:v>
                </c:pt>
                <c:pt idx="275">
                  <c:v>46049</c:v>
                </c:pt>
                <c:pt idx="276">
                  <c:v>46051</c:v>
                </c:pt>
                <c:pt idx="277">
                  <c:v>46055</c:v>
                </c:pt>
                <c:pt idx="278">
                  <c:v>46063</c:v>
                </c:pt>
                <c:pt idx="280">
                  <c:v>46051</c:v>
                </c:pt>
                <c:pt idx="281">
                  <c:v>46050</c:v>
                </c:pt>
                <c:pt idx="282">
                  <c:v>46050</c:v>
                </c:pt>
                <c:pt idx="283">
                  <c:v>46052</c:v>
                </c:pt>
                <c:pt idx="284">
                  <c:v>46050</c:v>
                </c:pt>
                <c:pt idx="285">
                  <c:v>46055</c:v>
                </c:pt>
                <c:pt idx="286">
                  <c:v>46063</c:v>
                </c:pt>
                <c:pt idx="287">
                  <c:v>46055</c:v>
                </c:pt>
                <c:pt idx="288">
                  <c:v>46055</c:v>
                </c:pt>
                <c:pt idx="289">
                  <c:v>46055</c:v>
                </c:pt>
                <c:pt idx="290">
                  <c:v>46052</c:v>
                </c:pt>
                <c:pt idx="291">
                  <c:v>46055</c:v>
                </c:pt>
                <c:pt idx="292">
                  <c:v>46052</c:v>
                </c:pt>
                <c:pt idx="293">
                  <c:v>46055</c:v>
                </c:pt>
                <c:pt idx="294">
                  <c:v>46057</c:v>
                </c:pt>
                <c:pt idx="295">
                  <c:v>46057</c:v>
                </c:pt>
                <c:pt idx="296">
                  <c:v>46055</c:v>
                </c:pt>
                <c:pt idx="297">
                  <c:v>46063</c:v>
                </c:pt>
                <c:pt idx="298">
                  <c:v>46052</c:v>
                </c:pt>
                <c:pt idx="299">
                  <c:v>46055</c:v>
                </c:pt>
                <c:pt idx="300">
                  <c:v>46055</c:v>
                </c:pt>
                <c:pt idx="301">
                  <c:v>46055</c:v>
                </c:pt>
                <c:pt idx="302">
                  <c:v>46056</c:v>
                </c:pt>
                <c:pt idx="303">
                  <c:v>46055</c:v>
                </c:pt>
                <c:pt idx="304">
                  <c:v>46055</c:v>
                </c:pt>
                <c:pt idx="305">
                  <c:v>46055</c:v>
                </c:pt>
                <c:pt idx="306">
                  <c:v>46056</c:v>
                </c:pt>
                <c:pt idx="307">
                  <c:v>46056</c:v>
                </c:pt>
                <c:pt idx="308">
                  <c:v>46056</c:v>
                </c:pt>
                <c:pt idx="309">
                  <c:v>46056</c:v>
                </c:pt>
                <c:pt idx="310">
                  <c:v>46058</c:v>
                </c:pt>
                <c:pt idx="311">
                  <c:v>46056</c:v>
                </c:pt>
                <c:pt idx="312">
                  <c:v>46056</c:v>
                </c:pt>
                <c:pt idx="313">
                  <c:v>46059</c:v>
                </c:pt>
                <c:pt idx="314">
                  <c:v>46057</c:v>
                </c:pt>
                <c:pt idx="315">
                  <c:v>46057</c:v>
                </c:pt>
                <c:pt idx="316">
                  <c:v>46057</c:v>
                </c:pt>
                <c:pt idx="317">
                  <c:v>46059</c:v>
                </c:pt>
                <c:pt idx="318">
                  <c:v>46057</c:v>
                </c:pt>
                <c:pt idx="319">
                  <c:v>46062</c:v>
                </c:pt>
                <c:pt idx="320">
                  <c:v>46057</c:v>
                </c:pt>
                <c:pt idx="321">
                  <c:v>46077</c:v>
                </c:pt>
                <c:pt idx="322">
                  <c:v>46058</c:v>
                </c:pt>
                <c:pt idx="323">
                  <c:v>46084</c:v>
                </c:pt>
                <c:pt idx="324">
                  <c:v>46062</c:v>
                </c:pt>
                <c:pt idx="325">
                  <c:v>46097</c:v>
                </c:pt>
                <c:pt idx="326">
                  <c:v>46077</c:v>
                </c:pt>
                <c:pt idx="327">
                  <c:v>46059</c:v>
                </c:pt>
                <c:pt idx="328">
                  <c:v>46058</c:v>
                </c:pt>
                <c:pt idx="329">
                  <c:v>46058</c:v>
                </c:pt>
                <c:pt idx="330">
                  <c:v>46058</c:v>
                </c:pt>
                <c:pt idx="331">
                  <c:v>46058</c:v>
                </c:pt>
                <c:pt idx="332">
                  <c:v>46058</c:v>
                </c:pt>
                <c:pt idx="333">
                  <c:v>46063</c:v>
                </c:pt>
                <c:pt idx="334">
                  <c:v>46084</c:v>
                </c:pt>
                <c:pt idx="335">
                  <c:v>46064</c:v>
                </c:pt>
                <c:pt idx="336">
                  <c:v>46059</c:v>
                </c:pt>
                <c:pt idx="337">
                  <c:v>46059</c:v>
                </c:pt>
                <c:pt idx="338">
                  <c:v>46062</c:v>
                </c:pt>
                <c:pt idx="339">
                  <c:v>46063</c:v>
                </c:pt>
                <c:pt idx="340">
                  <c:v>46063</c:v>
                </c:pt>
                <c:pt idx="341">
                  <c:v>46062</c:v>
                </c:pt>
                <c:pt idx="342">
                  <c:v>46063</c:v>
                </c:pt>
                <c:pt idx="343">
                  <c:v>46064</c:v>
                </c:pt>
                <c:pt idx="344">
                  <c:v>46064</c:v>
                </c:pt>
                <c:pt idx="345">
                  <c:v>46062</c:v>
                </c:pt>
                <c:pt idx="346">
                  <c:v>46062</c:v>
                </c:pt>
                <c:pt idx="347">
                  <c:v>46062</c:v>
                </c:pt>
                <c:pt idx="348">
                  <c:v>46072</c:v>
                </c:pt>
                <c:pt idx="349">
                  <c:v>46077</c:v>
                </c:pt>
                <c:pt idx="350">
                  <c:v>46063</c:v>
                </c:pt>
                <c:pt idx="351">
                  <c:v>46062</c:v>
                </c:pt>
                <c:pt idx="352">
                  <c:v>46062</c:v>
                </c:pt>
                <c:pt idx="353">
                  <c:v>46059</c:v>
                </c:pt>
                <c:pt idx="354">
                  <c:v>46059</c:v>
                </c:pt>
                <c:pt idx="355">
                  <c:v>46062</c:v>
                </c:pt>
                <c:pt idx="356">
                  <c:v>46065</c:v>
                </c:pt>
                <c:pt idx="357">
                  <c:v>46064</c:v>
                </c:pt>
                <c:pt idx="358">
                  <c:v>46064</c:v>
                </c:pt>
                <c:pt idx="359">
                  <c:v>46065</c:v>
                </c:pt>
                <c:pt idx="360">
                  <c:v>46064</c:v>
                </c:pt>
                <c:pt idx="361">
                  <c:v>46059</c:v>
                </c:pt>
                <c:pt idx="362">
                  <c:v>46059</c:v>
                </c:pt>
                <c:pt idx="363">
                  <c:v>46059</c:v>
                </c:pt>
                <c:pt idx="364">
                  <c:v>46059</c:v>
                </c:pt>
                <c:pt idx="365">
                  <c:v>46065</c:v>
                </c:pt>
                <c:pt idx="366">
                  <c:v>46065</c:v>
                </c:pt>
                <c:pt idx="367">
                  <c:v>46064</c:v>
                </c:pt>
                <c:pt idx="368">
                  <c:v>46062</c:v>
                </c:pt>
                <c:pt idx="369">
                  <c:v>46063</c:v>
                </c:pt>
                <c:pt idx="370">
                  <c:v>46064</c:v>
                </c:pt>
                <c:pt idx="371">
                  <c:v>46062</c:v>
                </c:pt>
                <c:pt idx="372">
                  <c:v>46072</c:v>
                </c:pt>
                <c:pt idx="373">
                  <c:v>46065</c:v>
                </c:pt>
                <c:pt idx="374">
                  <c:v>46072</c:v>
                </c:pt>
                <c:pt idx="375">
                  <c:v>46065</c:v>
                </c:pt>
                <c:pt idx="376">
                  <c:v>46065</c:v>
                </c:pt>
                <c:pt idx="377">
                  <c:v>46064</c:v>
                </c:pt>
                <c:pt idx="378">
                  <c:v>46064</c:v>
                </c:pt>
                <c:pt idx="379">
                  <c:v>46063</c:v>
                </c:pt>
                <c:pt idx="380">
                  <c:v>46063</c:v>
                </c:pt>
                <c:pt idx="381">
                  <c:v>46063</c:v>
                </c:pt>
                <c:pt idx="382">
                  <c:v>46063</c:v>
                </c:pt>
                <c:pt idx="383">
                  <c:v>46063</c:v>
                </c:pt>
                <c:pt idx="384">
                  <c:v>46063</c:v>
                </c:pt>
                <c:pt idx="385">
                  <c:v>46065</c:v>
                </c:pt>
                <c:pt idx="386">
                  <c:v>46065</c:v>
                </c:pt>
                <c:pt idx="387">
                  <c:v>46064</c:v>
                </c:pt>
                <c:pt idx="388">
                  <c:v>46065</c:v>
                </c:pt>
                <c:pt idx="389">
                  <c:v>46065</c:v>
                </c:pt>
                <c:pt idx="390">
                  <c:v>46064</c:v>
                </c:pt>
                <c:pt idx="391">
                  <c:v>46064</c:v>
                </c:pt>
                <c:pt idx="392">
                  <c:v>46064</c:v>
                </c:pt>
                <c:pt idx="393">
                  <c:v>46062</c:v>
                </c:pt>
                <c:pt idx="394">
                  <c:v>46062</c:v>
                </c:pt>
                <c:pt idx="395">
                  <c:v>46066</c:v>
                </c:pt>
                <c:pt idx="396">
                  <c:v>46072</c:v>
                </c:pt>
                <c:pt idx="397">
                  <c:v>46062</c:v>
                </c:pt>
                <c:pt idx="398">
                  <c:v>46063</c:v>
                </c:pt>
                <c:pt idx="399">
                  <c:v>46065</c:v>
                </c:pt>
                <c:pt idx="400">
                  <c:v>46063</c:v>
                </c:pt>
                <c:pt idx="401">
                  <c:v>46083</c:v>
                </c:pt>
                <c:pt idx="402">
                  <c:v>46063</c:v>
                </c:pt>
                <c:pt idx="403">
                  <c:v>46080</c:v>
                </c:pt>
                <c:pt idx="404">
                  <c:v>46064</c:v>
                </c:pt>
                <c:pt idx="405">
                  <c:v>46062</c:v>
                </c:pt>
                <c:pt idx="406">
                  <c:v>46062</c:v>
                </c:pt>
                <c:pt idx="407">
                  <c:v>46062</c:v>
                </c:pt>
                <c:pt idx="408">
                  <c:v>46065</c:v>
                </c:pt>
                <c:pt idx="409">
                  <c:v>46063</c:v>
                </c:pt>
                <c:pt idx="410">
                  <c:v>46072</c:v>
                </c:pt>
                <c:pt idx="411">
                  <c:v>46072</c:v>
                </c:pt>
                <c:pt idx="412">
                  <c:v>46065</c:v>
                </c:pt>
                <c:pt idx="413">
                  <c:v>46065</c:v>
                </c:pt>
                <c:pt idx="414">
                  <c:v>46146</c:v>
                </c:pt>
                <c:pt idx="415">
                  <c:v>46093</c:v>
                </c:pt>
                <c:pt idx="416">
                  <c:v>46077</c:v>
                </c:pt>
                <c:pt idx="417">
                  <c:v>46064</c:v>
                </c:pt>
                <c:pt idx="418">
                  <c:v>46065</c:v>
                </c:pt>
                <c:pt idx="419">
                  <c:v>46066</c:v>
                </c:pt>
                <c:pt idx="420">
                  <c:v>46072</c:v>
                </c:pt>
                <c:pt idx="421">
                  <c:v>46064</c:v>
                </c:pt>
                <c:pt idx="422">
                  <c:v>46064</c:v>
                </c:pt>
                <c:pt idx="423">
                  <c:v>46065</c:v>
                </c:pt>
                <c:pt idx="424">
                  <c:v>46072</c:v>
                </c:pt>
                <c:pt idx="425">
                  <c:v>46073</c:v>
                </c:pt>
                <c:pt idx="427">
                  <c:v>46065</c:v>
                </c:pt>
                <c:pt idx="428">
                  <c:v>46066</c:v>
                </c:pt>
                <c:pt idx="429">
                  <c:v>46072</c:v>
                </c:pt>
                <c:pt idx="430">
                  <c:v>46072</c:v>
                </c:pt>
                <c:pt idx="431">
                  <c:v>46104</c:v>
                </c:pt>
                <c:pt idx="432">
                  <c:v>46073</c:v>
                </c:pt>
                <c:pt idx="434">
                  <c:v>46073</c:v>
                </c:pt>
                <c:pt idx="435">
                  <c:v>46065</c:v>
                </c:pt>
                <c:pt idx="437">
                  <c:v>46072</c:v>
                </c:pt>
                <c:pt idx="438">
                  <c:v>46079</c:v>
                </c:pt>
                <c:pt idx="439">
                  <c:v>46065</c:v>
                </c:pt>
                <c:pt idx="441">
                  <c:v>46072</c:v>
                </c:pt>
                <c:pt idx="442">
                  <c:v>46064</c:v>
                </c:pt>
                <c:pt idx="443">
                  <c:v>46066</c:v>
                </c:pt>
                <c:pt idx="444">
                  <c:v>46064</c:v>
                </c:pt>
                <c:pt idx="445">
                  <c:v>46073</c:v>
                </c:pt>
                <c:pt idx="446">
                  <c:v>46091</c:v>
                </c:pt>
                <c:pt idx="447">
                  <c:v>46080</c:v>
                </c:pt>
                <c:pt idx="448">
                  <c:v>46072</c:v>
                </c:pt>
                <c:pt idx="449">
                  <c:v>46080</c:v>
                </c:pt>
                <c:pt idx="450">
                  <c:v>46080</c:v>
                </c:pt>
                <c:pt idx="451">
                  <c:v>46080</c:v>
                </c:pt>
                <c:pt idx="452">
                  <c:v>46080</c:v>
                </c:pt>
                <c:pt idx="453">
                  <c:v>46080</c:v>
                </c:pt>
                <c:pt idx="454">
                  <c:v>46065</c:v>
                </c:pt>
                <c:pt idx="455">
                  <c:v>46065</c:v>
                </c:pt>
                <c:pt idx="457">
                  <c:v>46066</c:v>
                </c:pt>
                <c:pt idx="458">
                  <c:v>46066</c:v>
                </c:pt>
                <c:pt idx="459">
                  <c:v>46076</c:v>
                </c:pt>
                <c:pt idx="460">
                  <c:v>46076</c:v>
                </c:pt>
                <c:pt idx="461">
                  <c:v>46072</c:v>
                </c:pt>
                <c:pt idx="462">
                  <c:v>46146</c:v>
                </c:pt>
                <c:pt idx="463">
                  <c:v>46072</c:v>
                </c:pt>
                <c:pt idx="464">
                  <c:v>46065</c:v>
                </c:pt>
                <c:pt idx="465">
                  <c:v>46066</c:v>
                </c:pt>
                <c:pt idx="466">
                  <c:v>46066</c:v>
                </c:pt>
                <c:pt idx="467">
                  <c:v>46080</c:v>
                </c:pt>
                <c:pt idx="468">
                  <c:v>46080</c:v>
                </c:pt>
                <c:pt idx="469">
                  <c:v>46080</c:v>
                </c:pt>
                <c:pt idx="470">
                  <c:v>46080</c:v>
                </c:pt>
                <c:pt idx="471">
                  <c:v>46072</c:v>
                </c:pt>
                <c:pt idx="472">
                  <c:v>46072</c:v>
                </c:pt>
                <c:pt idx="473">
                  <c:v>46072</c:v>
                </c:pt>
                <c:pt idx="474">
                  <c:v>46072</c:v>
                </c:pt>
                <c:pt idx="475">
                  <c:v>46072</c:v>
                </c:pt>
                <c:pt idx="477">
                  <c:v>46072</c:v>
                </c:pt>
                <c:pt idx="478">
                  <c:v>46080</c:v>
                </c:pt>
                <c:pt idx="479">
                  <c:v>46080</c:v>
                </c:pt>
                <c:pt idx="481">
                  <c:v>46091</c:v>
                </c:pt>
                <c:pt idx="482">
                  <c:v>46073</c:v>
                </c:pt>
                <c:pt idx="483">
                  <c:v>46080</c:v>
                </c:pt>
                <c:pt idx="484">
                  <c:v>46077</c:v>
                </c:pt>
                <c:pt idx="485">
                  <c:v>46076</c:v>
                </c:pt>
                <c:pt idx="486">
                  <c:v>46073</c:v>
                </c:pt>
                <c:pt idx="487">
                  <c:v>46072</c:v>
                </c:pt>
                <c:pt idx="488">
                  <c:v>46076</c:v>
                </c:pt>
                <c:pt idx="489">
                  <c:v>46100</c:v>
                </c:pt>
                <c:pt idx="490">
                  <c:v>46083</c:v>
                </c:pt>
                <c:pt idx="491">
                  <c:v>46077</c:v>
                </c:pt>
                <c:pt idx="492">
                  <c:v>46077</c:v>
                </c:pt>
                <c:pt idx="493">
                  <c:v>46076</c:v>
                </c:pt>
                <c:pt idx="494">
                  <c:v>46076</c:v>
                </c:pt>
                <c:pt idx="495">
                  <c:v>46077</c:v>
                </c:pt>
                <c:pt idx="496">
                  <c:v>46077</c:v>
                </c:pt>
                <c:pt idx="497">
                  <c:v>46073</c:v>
                </c:pt>
                <c:pt idx="498">
                  <c:v>46077</c:v>
                </c:pt>
                <c:pt idx="499">
                  <c:v>46076</c:v>
                </c:pt>
                <c:pt idx="500">
                  <c:v>46076</c:v>
                </c:pt>
                <c:pt idx="501">
                  <c:v>46076</c:v>
                </c:pt>
                <c:pt idx="502">
                  <c:v>46076</c:v>
                </c:pt>
                <c:pt idx="503">
                  <c:v>46076</c:v>
                </c:pt>
                <c:pt idx="504">
                  <c:v>46077</c:v>
                </c:pt>
                <c:pt idx="505">
                  <c:v>46076</c:v>
                </c:pt>
                <c:pt idx="506">
                  <c:v>46076</c:v>
                </c:pt>
                <c:pt idx="507">
                  <c:v>46076</c:v>
                </c:pt>
                <c:pt idx="508">
                  <c:v>46090</c:v>
                </c:pt>
                <c:pt idx="509">
                  <c:v>46077</c:v>
                </c:pt>
                <c:pt idx="510">
                  <c:v>46100</c:v>
                </c:pt>
                <c:pt idx="511">
                  <c:v>46076</c:v>
                </c:pt>
                <c:pt idx="512">
                  <c:v>46083</c:v>
                </c:pt>
                <c:pt idx="513">
                  <c:v>46083</c:v>
                </c:pt>
                <c:pt idx="514">
                  <c:v>46076</c:v>
                </c:pt>
                <c:pt idx="515">
                  <c:v>46076</c:v>
                </c:pt>
                <c:pt idx="516">
                  <c:v>46076</c:v>
                </c:pt>
                <c:pt idx="517">
                  <c:v>46076</c:v>
                </c:pt>
                <c:pt idx="518">
                  <c:v>46076</c:v>
                </c:pt>
                <c:pt idx="519">
                  <c:v>46085</c:v>
                </c:pt>
                <c:pt idx="520">
                  <c:v>46076</c:v>
                </c:pt>
                <c:pt idx="521">
                  <c:v>46099</c:v>
                </c:pt>
                <c:pt idx="522">
                  <c:v>46079</c:v>
                </c:pt>
                <c:pt idx="523">
                  <c:v>46079</c:v>
                </c:pt>
                <c:pt idx="524">
                  <c:v>46083</c:v>
                </c:pt>
                <c:pt idx="525">
                  <c:v>46085</c:v>
                </c:pt>
                <c:pt idx="526">
                  <c:v>46083</c:v>
                </c:pt>
                <c:pt idx="527">
                  <c:v>46080</c:v>
                </c:pt>
                <c:pt idx="528">
                  <c:v>46079</c:v>
                </c:pt>
                <c:pt idx="529">
                  <c:v>46079</c:v>
                </c:pt>
                <c:pt idx="530">
                  <c:v>46077</c:v>
                </c:pt>
                <c:pt idx="531">
                  <c:v>46077</c:v>
                </c:pt>
                <c:pt idx="532">
                  <c:v>46077</c:v>
                </c:pt>
                <c:pt idx="533">
                  <c:v>46079</c:v>
                </c:pt>
                <c:pt idx="534">
                  <c:v>46080</c:v>
                </c:pt>
                <c:pt idx="535">
                  <c:v>46079</c:v>
                </c:pt>
                <c:pt idx="536">
                  <c:v>46079</c:v>
                </c:pt>
                <c:pt idx="537">
                  <c:v>46079</c:v>
                </c:pt>
                <c:pt idx="538">
                  <c:v>46079</c:v>
                </c:pt>
                <c:pt idx="539">
                  <c:v>46079</c:v>
                </c:pt>
                <c:pt idx="541">
                  <c:v>46083</c:v>
                </c:pt>
                <c:pt idx="542">
                  <c:v>46083</c:v>
                </c:pt>
                <c:pt idx="543">
                  <c:v>46085</c:v>
                </c:pt>
                <c:pt idx="544">
                  <c:v>46080</c:v>
                </c:pt>
                <c:pt idx="545">
                  <c:v>46079</c:v>
                </c:pt>
                <c:pt idx="546">
                  <c:v>46085</c:v>
                </c:pt>
                <c:pt idx="547">
                  <c:v>46080</c:v>
                </c:pt>
                <c:pt idx="548">
                  <c:v>46080</c:v>
                </c:pt>
                <c:pt idx="549">
                  <c:v>46084</c:v>
                </c:pt>
                <c:pt idx="550">
                  <c:v>46079</c:v>
                </c:pt>
                <c:pt idx="551">
                  <c:v>46079</c:v>
                </c:pt>
                <c:pt idx="552">
                  <c:v>46083</c:v>
                </c:pt>
                <c:pt idx="553">
                  <c:v>46079</c:v>
                </c:pt>
                <c:pt idx="554">
                  <c:v>46079</c:v>
                </c:pt>
                <c:pt idx="555">
                  <c:v>46079</c:v>
                </c:pt>
                <c:pt idx="556">
                  <c:v>46084</c:v>
                </c:pt>
                <c:pt idx="557">
                  <c:v>46080</c:v>
                </c:pt>
                <c:pt idx="558">
                  <c:v>46080</c:v>
                </c:pt>
                <c:pt idx="559">
                  <c:v>46080</c:v>
                </c:pt>
                <c:pt idx="560">
                  <c:v>46080</c:v>
                </c:pt>
                <c:pt idx="561">
                  <c:v>46084</c:v>
                </c:pt>
                <c:pt idx="562">
                  <c:v>46084</c:v>
                </c:pt>
                <c:pt idx="563">
                  <c:v>46083</c:v>
                </c:pt>
                <c:pt idx="564">
                  <c:v>46084</c:v>
                </c:pt>
                <c:pt idx="565">
                  <c:v>46080</c:v>
                </c:pt>
                <c:pt idx="566">
                  <c:v>46080</c:v>
                </c:pt>
                <c:pt idx="567">
                  <c:v>46080</c:v>
                </c:pt>
                <c:pt idx="568">
                  <c:v>46080</c:v>
                </c:pt>
                <c:pt idx="569">
                  <c:v>46083</c:v>
                </c:pt>
                <c:pt idx="570">
                  <c:v>46080</c:v>
                </c:pt>
                <c:pt idx="571">
                  <c:v>46084</c:v>
                </c:pt>
                <c:pt idx="572">
                  <c:v>46080</c:v>
                </c:pt>
                <c:pt idx="573">
                  <c:v>46083</c:v>
                </c:pt>
                <c:pt idx="574">
                  <c:v>46080</c:v>
                </c:pt>
                <c:pt idx="575">
                  <c:v>46083</c:v>
                </c:pt>
                <c:pt idx="576">
                  <c:v>46079</c:v>
                </c:pt>
                <c:pt idx="579">
                  <c:v>46085</c:v>
                </c:pt>
                <c:pt idx="580">
                  <c:v>46084</c:v>
                </c:pt>
                <c:pt idx="581">
                  <c:v>46085</c:v>
                </c:pt>
                <c:pt idx="582">
                  <c:v>46085</c:v>
                </c:pt>
                <c:pt idx="583">
                  <c:v>46080</c:v>
                </c:pt>
                <c:pt idx="584">
                  <c:v>46080</c:v>
                </c:pt>
                <c:pt idx="585">
                  <c:v>46083</c:v>
                </c:pt>
                <c:pt idx="586">
                  <c:v>46083</c:v>
                </c:pt>
                <c:pt idx="587">
                  <c:v>46083</c:v>
                </c:pt>
                <c:pt idx="588">
                  <c:v>46083</c:v>
                </c:pt>
                <c:pt idx="589">
                  <c:v>46080</c:v>
                </c:pt>
                <c:pt idx="590">
                  <c:v>46084</c:v>
                </c:pt>
                <c:pt idx="591">
                  <c:v>46084</c:v>
                </c:pt>
                <c:pt idx="592">
                  <c:v>46084</c:v>
                </c:pt>
                <c:pt idx="593">
                  <c:v>46086</c:v>
                </c:pt>
                <c:pt idx="594">
                  <c:v>46093</c:v>
                </c:pt>
                <c:pt idx="595">
                  <c:v>46085</c:v>
                </c:pt>
                <c:pt idx="596">
                  <c:v>46084</c:v>
                </c:pt>
                <c:pt idx="597">
                  <c:v>46084</c:v>
                </c:pt>
                <c:pt idx="598">
                  <c:v>46083</c:v>
                </c:pt>
                <c:pt idx="599">
                  <c:v>46085</c:v>
                </c:pt>
                <c:pt idx="600">
                  <c:v>46085</c:v>
                </c:pt>
                <c:pt idx="601">
                  <c:v>46085</c:v>
                </c:pt>
                <c:pt idx="602">
                  <c:v>46084</c:v>
                </c:pt>
                <c:pt idx="603">
                  <c:v>46085</c:v>
                </c:pt>
                <c:pt idx="604">
                  <c:v>46084</c:v>
                </c:pt>
                <c:pt idx="605">
                  <c:v>46085</c:v>
                </c:pt>
                <c:pt idx="606">
                  <c:v>46085</c:v>
                </c:pt>
                <c:pt idx="607">
                  <c:v>46085</c:v>
                </c:pt>
                <c:pt idx="608">
                  <c:v>46084</c:v>
                </c:pt>
                <c:pt idx="609">
                  <c:v>46084</c:v>
                </c:pt>
                <c:pt idx="610">
                  <c:v>46093</c:v>
                </c:pt>
                <c:pt idx="611">
                  <c:v>46084</c:v>
                </c:pt>
                <c:pt idx="612">
                  <c:v>46092</c:v>
                </c:pt>
                <c:pt idx="613">
                  <c:v>46085</c:v>
                </c:pt>
                <c:pt idx="614">
                  <c:v>46084</c:v>
                </c:pt>
                <c:pt idx="615">
                  <c:v>46084</c:v>
                </c:pt>
                <c:pt idx="616">
                  <c:v>46085</c:v>
                </c:pt>
                <c:pt idx="617">
                  <c:v>46087</c:v>
                </c:pt>
                <c:pt idx="618">
                  <c:v>46087</c:v>
                </c:pt>
                <c:pt idx="619">
                  <c:v>46087</c:v>
                </c:pt>
                <c:pt idx="620">
                  <c:v>46085</c:v>
                </c:pt>
                <c:pt idx="621">
                  <c:v>46085</c:v>
                </c:pt>
                <c:pt idx="622">
                  <c:v>46086</c:v>
                </c:pt>
                <c:pt idx="623">
                  <c:v>46084</c:v>
                </c:pt>
                <c:pt idx="624">
                  <c:v>46085</c:v>
                </c:pt>
                <c:pt idx="625">
                  <c:v>46084</c:v>
                </c:pt>
                <c:pt idx="626">
                  <c:v>46085</c:v>
                </c:pt>
                <c:pt idx="627">
                  <c:v>46084</c:v>
                </c:pt>
                <c:pt idx="628">
                  <c:v>46085</c:v>
                </c:pt>
                <c:pt idx="629">
                  <c:v>46086</c:v>
                </c:pt>
                <c:pt idx="630">
                  <c:v>46086</c:v>
                </c:pt>
                <c:pt idx="631">
                  <c:v>46086</c:v>
                </c:pt>
                <c:pt idx="632">
                  <c:v>46086</c:v>
                </c:pt>
                <c:pt idx="633">
                  <c:v>46086</c:v>
                </c:pt>
                <c:pt idx="634">
                  <c:v>46086</c:v>
                </c:pt>
                <c:pt idx="635">
                  <c:v>46086</c:v>
                </c:pt>
                <c:pt idx="636">
                  <c:v>46086</c:v>
                </c:pt>
                <c:pt idx="637">
                  <c:v>46085</c:v>
                </c:pt>
                <c:pt idx="638">
                  <c:v>46085</c:v>
                </c:pt>
                <c:pt idx="639">
                  <c:v>46085</c:v>
                </c:pt>
                <c:pt idx="640">
                  <c:v>46084</c:v>
                </c:pt>
                <c:pt idx="641">
                  <c:v>46084</c:v>
                </c:pt>
                <c:pt idx="642">
                  <c:v>46084</c:v>
                </c:pt>
                <c:pt idx="643">
                  <c:v>46084</c:v>
                </c:pt>
                <c:pt idx="644">
                  <c:v>46086</c:v>
                </c:pt>
                <c:pt idx="645">
                  <c:v>46085</c:v>
                </c:pt>
                <c:pt idx="646">
                  <c:v>46085</c:v>
                </c:pt>
                <c:pt idx="647">
                  <c:v>46085</c:v>
                </c:pt>
                <c:pt idx="648">
                  <c:v>46085</c:v>
                </c:pt>
                <c:pt idx="649">
                  <c:v>46086</c:v>
                </c:pt>
                <c:pt idx="650">
                  <c:v>46087</c:v>
                </c:pt>
                <c:pt idx="651">
                  <c:v>46086</c:v>
                </c:pt>
                <c:pt idx="652">
                  <c:v>46091</c:v>
                </c:pt>
                <c:pt idx="653">
                  <c:v>46086</c:v>
                </c:pt>
                <c:pt idx="654">
                  <c:v>46093</c:v>
                </c:pt>
                <c:pt idx="655">
                  <c:v>46108</c:v>
                </c:pt>
                <c:pt idx="656">
                  <c:v>46087</c:v>
                </c:pt>
                <c:pt idx="657">
                  <c:v>46092</c:v>
                </c:pt>
                <c:pt idx="658">
                  <c:v>46091</c:v>
                </c:pt>
                <c:pt idx="659">
                  <c:v>46086</c:v>
                </c:pt>
                <c:pt idx="660">
                  <c:v>46087</c:v>
                </c:pt>
                <c:pt idx="661">
                  <c:v>46086</c:v>
                </c:pt>
                <c:pt idx="662">
                  <c:v>46086</c:v>
                </c:pt>
                <c:pt idx="663">
                  <c:v>46091</c:v>
                </c:pt>
                <c:pt idx="664">
                  <c:v>46092</c:v>
                </c:pt>
                <c:pt idx="665">
                  <c:v>46086</c:v>
                </c:pt>
                <c:pt idx="666">
                  <c:v>44989</c:v>
                </c:pt>
                <c:pt idx="667">
                  <c:v>46086</c:v>
                </c:pt>
                <c:pt idx="668">
                  <c:v>46086</c:v>
                </c:pt>
                <c:pt idx="669">
                  <c:v>46086</c:v>
                </c:pt>
                <c:pt idx="670">
                  <c:v>46086</c:v>
                </c:pt>
                <c:pt idx="671">
                  <c:v>46087</c:v>
                </c:pt>
                <c:pt idx="672">
                  <c:v>46087</c:v>
                </c:pt>
                <c:pt idx="673">
                  <c:v>46087</c:v>
                </c:pt>
                <c:pt idx="674">
                  <c:v>46087</c:v>
                </c:pt>
                <c:pt idx="675">
                  <c:v>46090</c:v>
                </c:pt>
                <c:pt idx="676">
                  <c:v>46087</c:v>
                </c:pt>
                <c:pt idx="677">
                  <c:v>46090</c:v>
                </c:pt>
                <c:pt idx="678">
                  <c:v>46090</c:v>
                </c:pt>
                <c:pt idx="679">
                  <c:v>46086</c:v>
                </c:pt>
                <c:pt idx="680">
                  <c:v>46087</c:v>
                </c:pt>
                <c:pt idx="681">
                  <c:v>46087</c:v>
                </c:pt>
                <c:pt idx="682">
                  <c:v>46087</c:v>
                </c:pt>
                <c:pt idx="683">
                  <c:v>46087</c:v>
                </c:pt>
                <c:pt idx="684">
                  <c:v>46087</c:v>
                </c:pt>
                <c:pt idx="685">
                  <c:v>46090</c:v>
                </c:pt>
                <c:pt idx="686">
                  <c:v>46090</c:v>
                </c:pt>
                <c:pt idx="687">
                  <c:v>46090</c:v>
                </c:pt>
                <c:pt idx="688">
                  <c:v>46090</c:v>
                </c:pt>
                <c:pt idx="689">
                  <c:v>46086</c:v>
                </c:pt>
                <c:pt idx="690">
                  <c:v>46086</c:v>
                </c:pt>
                <c:pt idx="691">
                  <c:v>46086</c:v>
                </c:pt>
                <c:pt idx="692">
                  <c:v>46090</c:v>
                </c:pt>
                <c:pt idx="693">
                  <c:v>46087</c:v>
                </c:pt>
                <c:pt idx="694">
                  <c:v>46090</c:v>
                </c:pt>
                <c:pt idx="695">
                  <c:v>46090</c:v>
                </c:pt>
                <c:pt idx="696">
                  <c:v>46098</c:v>
                </c:pt>
                <c:pt idx="697">
                  <c:v>46098</c:v>
                </c:pt>
                <c:pt idx="698">
                  <c:v>46094</c:v>
                </c:pt>
                <c:pt idx="699">
                  <c:v>46092</c:v>
                </c:pt>
                <c:pt idx="700">
                  <c:v>46091</c:v>
                </c:pt>
                <c:pt idx="701">
                  <c:v>46094</c:v>
                </c:pt>
                <c:pt idx="702">
                  <c:v>46092</c:v>
                </c:pt>
                <c:pt idx="703">
                  <c:v>46087</c:v>
                </c:pt>
                <c:pt idx="704">
                  <c:v>46094</c:v>
                </c:pt>
                <c:pt idx="705">
                  <c:v>46090</c:v>
                </c:pt>
                <c:pt idx="706">
                  <c:v>46087</c:v>
                </c:pt>
                <c:pt idx="707">
                  <c:v>46090</c:v>
                </c:pt>
                <c:pt idx="708">
                  <c:v>46097</c:v>
                </c:pt>
                <c:pt idx="709">
                  <c:v>46087</c:v>
                </c:pt>
                <c:pt idx="710">
                  <c:v>46087</c:v>
                </c:pt>
                <c:pt idx="711">
                  <c:v>46090</c:v>
                </c:pt>
                <c:pt idx="712">
                  <c:v>46087</c:v>
                </c:pt>
                <c:pt idx="713">
                  <c:v>46091</c:v>
                </c:pt>
                <c:pt idx="714">
                  <c:v>46097</c:v>
                </c:pt>
                <c:pt idx="715">
                  <c:v>46097</c:v>
                </c:pt>
                <c:pt idx="716">
                  <c:v>46090</c:v>
                </c:pt>
                <c:pt idx="717">
                  <c:v>46090</c:v>
                </c:pt>
                <c:pt idx="718">
                  <c:v>46090</c:v>
                </c:pt>
                <c:pt idx="719">
                  <c:v>46090</c:v>
                </c:pt>
                <c:pt idx="720">
                  <c:v>46093</c:v>
                </c:pt>
                <c:pt idx="721">
                  <c:v>46087</c:v>
                </c:pt>
                <c:pt idx="722">
                  <c:v>46090</c:v>
                </c:pt>
                <c:pt idx="723">
                  <c:v>46087</c:v>
                </c:pt>
                <c:pt idx="724">
                  <c:v>46091</c:v>
                </c:pt>
                <c:pt idx="725">
                  <c:v>46097</c:v>
                </c:pt>
                <c:pt idx="726">
                  <c:v>46087</c:v>
                </c:pt>
                <c:pt idx="727">
                  <c:v>46086</c:v>
                </c:pt>
                <c:pt idx="728">
                  <c:v>46093</c:v>
                </c:pt>
                <c:pt idx="729">
                  <c:v>46093</c:v>
                </c:pt>
                <c:pt idx="730">
                  <c:v>46093</c:v>
                </c:pt>
                <c:pt idx="731">
                  <c:v>46091</c:v>
                </c:pt>
                <c:pt idx="732">
                  <c:v>46090</c:v>
                </c:pt>
                <c:pt idx="733">
                  <c:v>46090</c:v>
                </c:pt>
                <c:pt idx="734">
                  <c:v>46087</c:v>
                </c:pt>
                <c:pt idx="735">
                  <c:v>46091</c:v>
                </c:pt>
                <c:pt idx="736">
                  <c:v>46091</c:v>
                </c:pt>
                <c:pt idx="737">
                  <c:v>46091</c:v>
                </c:pt>
                <c:pt idx="738">
                  <c:v>46090</c:v>
                </c:pt>
                <c:pt idx="739">
                  <c:v>46090</c:v>
                </c:pt>
                <c:pt idx="740">
                  <c:v>46090</c:v>
                </c:pt>
                <c:pt idx="741">
                  <c:v>46093</c:v>
                </c:pt>
                <c:pt idx="742">
                  <c:v>46092</c:v>
                </c:pt>
                <c:pt idx="743">
                  <c:v>46091</c:v>
                </c:pt>
                <c:pt idx="744">
                  <c:v>46093</c:v>
                </c:pt>
                <c:pt idx="745">
                  <c:v>46112</c:v>
                </c:pt>
                <c:pt idx="746">
                  <c:v>46099</c:v>
                </c:pt>
                <c:pt idx="747">
                  <c:v>46093</c:v>
                </c:pt>
                <c:pt idx="748">
                  <c:v>46100</c:v>
                </c:pt>
                <c:pt idx="749">
                  <c:v>46093</c:v>
                </c:pt>
                <c:pt idx="750">
                  <c:v>46091</c:v>
                </c:pt>
                <c:pt idx="751">
                  <c:v>46087</c:v>
                </c:pt>
                <c:pt idx="752">
                  <c:v>46093</c:v>
                </c:pt>
                <c:pt idx="753">
                  <c:v>46093</c:v>
                </c:pt>
                <c:pt idx="754">
                  <c:v>46091</c:v>
                </c:pt>
                <c:pt idx="755">
                  <c:v>46091</c:v>
                </c:pt>
                <c:pt idx="756">
                  <c:v>46091</c:v>
                </c:pt>
                <c:pt idx="757">
                  <c:v>46091</c:v>
                </c:pt>
                <c:pt idx="758">
                  <c:v>46112</c:v>
                </c:pt>
                <c:pt idx="759">
                  <c:v>46129</c:v>
                </c:pt>
                <c:pt idx="760">
                  <c:v>46112</c:v>
                </c:pt>
                <c:pt idx="761">
                  <c:v>46112</c:v>
                </c:pt>
                <c:pt idx="762">
                  <c:v>46112</c:v>
                </c:pt>
                <c:pt idx="763">
                  <c:v>46091</c:v>
                </c:pt>
                <c:pt idx="764">
                  <c:v>46091</c:v>
                </c:pt>
                <c:pt idx="765">
                  <c:v>46093</c:v>
                </c:pt>
                <c:pt idx="766">
                  <c:v>0</c:v>
                </c:pt>
                <c:pt idx="767">
                  <c:v>46091</c:v>
                </c:pt>
                <c:pt idx="768">
                  <c:v>46091</c:v>
                </c:pt>
                <c:pt idx="769">
                  <c:v>46091</c:v>
                </c:pt>
                <c:pt idx="770">
                  <c:v>46092</c:v>
                </c:pt>
                <c:pt idx="771">
                  <c:v>46091</c:v>
                </c:pt>
                <c:pt idx="772">
                  <c:v>46091</c:v>
                </c:pt>
                <c:pt idx="773">
                  <c:v>46092</c:v>
                </c:pt>
                <c:pt idx="774">
                  <c:v>46092</c:v>
                </c:pt>
                <c:pt idx="775">
                  <c:v>46097</c:v>
                </c:pt>
                <c:pt idx="776">
                  <c:v>46097</c:v>
                </c:pt>
                <c:pt idx="777">
                  <c:v>46092</c:v>
                </c:pt>
                <c:pt idx="778">
                  <c:v>46112</c:v>
                </c:pt>
                <c:pt idx="779">
                  <c:v>46140</c:v>
                </c:pt>
                <c:pt idx="780">
                  <c:v>46099</c:v>
                </c:pt>
                <c:pt idx="781">
                  <c:v>46127</c:v>
                </c:pt>
                <c:pt idx="782">
                  <c:v>46100</c:v>
                </c:pt>
                <c:pt idx="783">
                  <c:v>46093</c:v>
                </c:pt>
                <c:pt idx="784">
                  <c:v>46093</c:v>
                </c:pt>
                <c:pt idx="785">
                  <c:v>46099</c:v>
                </c:pt>
                <c:pt idx="786">
                  <c:v>46093</c:v>
                </c:pt>
                <c:pt idx="787">
                  <c:v>46093</c:v>
                </c:pt>
                <c:pt idx="788">
                  <c:v>46092</c:v>
                </c:pt>
                <c:pt idx="789">
                  <c:v>46098</c:v>
                </c:pt>
                <c:pt idx="790">
                  <c:v>46098</c:v>
                </c:pt>
                <c:pt idx="791">
                  <c:v>46098</c:v>
                </c:pt>
                <c:pt idx="792">
                  <c:v>46098</c:v>
                </c:pt>
                <c:pt idx="793">
                  <c:v>46098</c:v>
                </c:pt>
                <c:pt idx="794">
                  <c:v>46094</c:v>
                </c:pt>
                <c:pt idx="795">
                  <c:v>46099</c:v>
                </c:pt>
                <c:pt idx="796">
                  <c:v>46099</c:v>
                </c:pt>
                <c:pt idx="797">
                  <c:v>46093</c:v>
                </c:pt>
                <c:pt idx="798">
                  <c:v>46091</c:v>
                </c:pt>
                <c:pt idx="799">
                  <c:v>46092</c:v>
                </c:pt>
                <c:pt idx="800">
                  <c:v>46094</c:v>
                </c:pt>
                <c:pt idx="801">
                  <c:v>46093</c:v>
                </c:pt>
                <c:pt idx="802">
                  <c:v>46111</c:v>
                </c:pt>
                <c:pt idx="803">
                  <c:v>46097</c:v>
                </c:pt>
                <c:pt idx="804">
                  <c:v>46097</c:v>
                </c:pt>
                <c:pt idx="805">
                  <c:v>46098</c:v>
                </c:pt>
                <c:pt idx="806">
                  <c:v>46094</c:v>
                </c:pt>
                <c:pt idx="807">
                  <c:v>46094</c:v>
                </c:pt>
                <c:pt idx="808">
                  <c:v>46097</c:v>
                </c:pt>
                <c:pt idx="809">
                  <c:v>46140</c:v>
                </c:pt>
                <c:pt idx="810">
                  <c:v>46094</c:v>
                </c:pt>
                <c:pt idx="811">
                  <c:v>46097</c:v>
                </c:pt>
                <c:pt idx="812">
                  <c:v>46097</c:v>
                </c:pt>
                <c:pt idx="813">
                  <c:v>46097</c:v>
                </c:pt>
                <c:pt idx="814">
                  <c:v>46097</c:v>
                </c:pt>
                <c:pt idx="815">
                  <c:v>46097</c:v>
                </c:pt>
                <c:pt idx="816">
                  <c:v>46107</c:v>
                </c:pt>
                <c:pt idx="817">
                  <c:v>46093</c:v>
                </c:pt>
                <c:pt idx="818">
                  <c:v>46099</c:v>
                </c:pt>
                <c:pt idx="819">
                  <c:v>46098</c:v>
                </c:pt>
                <c:pt idx="820">
                  <c:v>46098</c:v>
                </c:pt>
                <c:pt idx="821">
                  <c:v>46098</c:v>
                </c:pt>
                <c:pt idx="822">
                  <c:v>46098</c:v>
                </c:pt>
                <c:pt idx="823">
                  <c:v>46098</c:v>
                </c:pt>
                <c:pt idx="824">
                  <c:v>46098</c:v>
                </c:pt>
                <c:pt idx="825">
                  <c:v>46098</c:v>
                </c:pt>
                <c:pt idx="826">
                  <c:v>46099</c:v>
                </c:pt>
                <c:pt idx="827">
                  <c:v>46094</c:v>
                </c:pt>
                <c:pt idx="828">
                  <c:v>46094</c:v>
                </c:pt>
                <c:pt idx="829">
                  <c:v>46094</c:v>
                </c:pt>
                <c:pt idx="830">
                  <c:v>46097</c:v>
                </c:pt>
                <c:pt idx="831">
                  <c:v>46101</c:v>
                </c:pt>
                <c:pt idx="832">
                  <c:v>46097</c:v>
                </c:pt>
                <c:pt idx="833">
                  <c:v>46100</c:v>
                </c:pt>
                <c:pt idx="834">
                  <c:v>46104</c:v>
                </c:pt>
                <c:pt idx="835">
                  <c:v>46097</c:v>
                </c:pt>
                <c:pt idx="836">
                  <c:v>46097</c:v>
                </c:pt>
                <c:pt idx="837">
                  <c:v>46098</c:v>
                </c:pt>
                <c:pt idx="838">
                  <c:v>46094</c:v>
                </c:pt>
                <c:pt idx="839">
                  <c:v>46094</c:v>
                </c:pt>
                <c:pt idx="840">
                  <c:v>46094</c:v>
                </c:pt>
                <c:pt idx="841">
                  <c:v>46098</c:v>
                </c:pt>
                <c:pt idx="842">
                  <c:v>46101</c:v>
                </c:pt>
                <c:pt idx="843">
                  <c:v>46099</c:v>
                </c:pt>
                <c:pt idx="844">
                  <c:v>46097</c:v>
                </c:pt>
                <c:pt idx="845">
                  <c:v>46094</c:v>
                </c:pt>
                <c:pt idx="846">
                  <c:v>46094</c:v>
                </c:pt>
                <c:pt idx="847">
                  <c:v>46094</c:v>
                </c:pt>
                <c:pt idx="848">
                  <c:v>46094</c:v>
                </c:pt>
                <c:pt idx="849">
                  <c:v>46098</c:v>
                </c:pt>
                <c:pt idx="850">
                  <c:v>46098</c:v>
                </c:pt>
                <c:pt idx="851">
                  <c:v>46101</c:v>
                </c:pt>
                <c:pt idx="852">
                  <c:v>46100</c:v>
                </c:pt>
                <c:pt idx="853">
                  <c:v>46098</c:v>
                </c:pt>
                <c:pt idx="854">
                  <c:v>46099</c:v>
                </c:pt>
                <c:pt idx="855">
                  <c:v>46098</c:v>
                </c:pt>
                <c:pt idx="856">
                  <c:v>46094</c:v>
                </c:pt>
                <c:pt idx="857">
                  <c:v>46120</c:v>
                </c:pt>
                <c:pt idx="858">
                  <c:v>46097</c:v>
                </c:pt>
                <c:pt idx="859">
                  <c:v>46101</c:v>
                </c:pt>
                <c:pt idx="860">
                  <c:v>46101</c:v>
                </c:pt>
                <c:pt idx="861">
                  <c:v>46120</c:v>
                </c:pt>
                <c:pt idx="862">
                  <c:v>46099</c:v>
                </c:pt>
                <c:pt idx="863">
                  <c:v>46099</c:v>
                </c:pt>
                <c:pt idx="864">
                  <c:v>46099</c:v>
                </c:pt>
                <c:pt idx="865">
                  <c:v>46099</c:v>
                </c:pt>
                <c:pt idx="866">
                  <c:v>46099</c:v>
                </c:pt>
                <c:pt idx="867">
                  <c:v>46100</c:v>
                </c:pt>
                <c:pt idx="868">
                  <c:v>46097</c:v>
                </c:pt>
                <c:pt idx="869">
                  <c:v>0</c:v>
                </c:pt>
                <c:pt idx="870">
                  <c:v>46134</c:v>
                </c:pt>
                <c:pt idx="871">
                  <c:v>46129</c:v>
                </c:pt>
                <c:pt idx="872">
                  <c:v>46129</c:v>
                </c:pt>
                <c:pt idx="873">
                  <c:v>46097</c:v>
                </c:pt>
                <c:pt idx="874">
                  <c:v>46098</c:v>
                </c:pt>
                <c:pt idx="875">
                  <c:v>46097</c:v>
                </c:pt>
                <c:pt idx="876">
                  <c:v>46098</c:v>
                </c:pt>
                <c:pt idx="877">
                  <c:v>46098</c:v>
                </c:pt>
                <c:pt idx="878">
                  <c:v>46100</c:v>
                </c:pt>
                <c:pt idx="879">
                  <c:v>46099</c:v>
                </c:pt>
                <c:pt idx="880">
                  <c:v>46120</c:v>
                </c:pt>
                <c:pt idx="881">
                  <c:v>46099</c:v>
                </c:pt>
                <c:pt idx="882">
                  <c:v>46099</c:v>
                </c:pt>
                <c:pt idx="883">
                  <c:v>46098</c:v>
                </c:pt>
                <c:pt idx="884">
                  <c:v>46101</c:v>
                </c:pt>
                <c:pt idx="885">
                  <c:v>46097</c:v>
                </c:pt>
                <c:pt idx="886">
                  <c:v>46099</c:v>
                </c:pt>
                <c:pt idx="887">
                  <c:v>46105</c:v>
                </c:pt>
                <c:pt idx="888">
                  <c:v>46146</c:v>
                </c:pt>
                <c:pt idx="889">
                  <c:v>46101</c:v>
                </c:pt>
                <c:pt idx="890">
                  <c:v>46106</c:v>
                </c:pt>
                <c:pt idx="891">
                  <c:v>46112</c:v>
                </c:pt>
                <c:pt idx="892">
                  <c:v>46099</c:v>
                </c:pt>
                <c:pt idx="893">
                  <c:v>46099</c:v>
                </c:pt>
                <c:pt idx="894">
                  <c:v>46099</c:v>
                </c:pt>
                <c:pt idx="895">
                  <c:v>46099</c:v>
                </c:pt>
                <c:pt idx="896">
                  <c:v>46100</c:v>
                </c:pt>
                <c:pt idx="897">
                  <c:v>46099</c:v>
                </c:pt>
                <c:pt idx="898">
                  <c:v>46099</c:v>
                </c:pt>
                <c:pt idx="899">
                  <c:v>46099</c:v>
                </c:pt>
                <c:pt idx="900">
                  <c:v>46099</c:v>
                </c:pt>
                <c:pt idx="901">
                  <c:v>46099</c:v>
                </c:pt>
                <c:pt idx="902">
                  <c:v>46098</c:v>
                </c:pt>
                <c:pt idx="903">
                  <c:v>46099</c:v>
                </c:pt>
                <c:pt idx="904">
                  <c:v>46099</c:v>
                </c:pt>
                <c:pt idx="905">
                  <c:v>46101</c:v>
                </c:pt>
                <c:pt idx="906">
                  <c:v>46100</c:v>
                </c:pt>
                <c:pt idx="907">
                  <c:v>46100</c:v>
                </c:pt>
                <c:pt idx="908">
                  <c:v>46100</c:v>
                </c:pt>
                <c:pt idx="909">
                  <c:v>46101</c:v>
                </c:pt>
                <c:pt idx="910">
                  <c:v>46100</c:v>
                </c:pt>
                <c:pt idx="911">
                  <c:v>46101</c:v>
                </c:pt>
                <c:pt idx="912">
                  <c:v>46101</c:v>
                </c:pt>
                <c:pt idx="913">
                  <c:v>46108</c:v>
                </c:pt>
                <c:pt idx="914">
                  <c:v>46100</c:v>
                </c:pt>
                <c:pt idx="915">
                  <c:v>46113</c:v>
                </c:pt>
                <c:pt idx="916">
                  <c:v>46105</c:v>
                </c:pt>
                <c:pt idx="917">
                  <c:v>46100</c:v>
                </c:pt>
                <c:pt idx="918">
                  <c:v>46105</c:v>
                </c:pt>
                <c:pt idx="919">
                  <c:v>46126</c:v>
                </c:pt>
                <c:pt idx="920">
                  <c:v>46105</c:v>
                </c:pt>
                <c:pt idx="921">
                  <c:v>46100</c:v>
                </c:pt>
                <c:pt idx="922">
                  <c:v>46105</c:v>
                </c:pt>
                <c:pt idx="923">
                  <c:v>46100</c:v>
                </c:pt>
                <c:pt idx="924">
                  <c:v>46160</c:v>
                </c:pt>
                <c:pt idx="925">
                  <c:v>46101</c:v>
                </c:pt>
                <c:pt idx="926">
                  <c:v>46100</c:v>
                </c:pt>
                <c:pt idx="927">
                  <c:v>46100</c:v>
                </c:pt>
                <c:pt idx="928">
                  <c:v>46100</c:v>
                </c:pt>
                <c:pt idx="929">
                  <c:v>46099</c:v>
                </c:pt>
                <c:pt idx="930">
                  <c:v>46099</c:v>
                </c:pt>
                <c:pt idx="931">
                  <c:v>46101</c:v>
                </c:pt>
                <c:pt idx="932">
                  <c:v>46108</c:v>
                </c:pt>
                <c:pt idx="933">
                  <c:v>46108</c:v>
                </c:pt>
                <c:pt idx="934">
                  <c:v>46106</c:v>
                </c:pt>
                <c:pt idx="935">
                  <c:v>46106</c:v>
                </c:pt>
                <c:pt idx="937">
                  <c:v>46099</c:v>
                </c:pt>
                <c:pt idx="938">
                  <c:v>46100</c:v>
                </c:pt>
                <c:pt idx="939">
                  <c:v>46100</c:v>
                </c:pt>
                <c:pt idx="940">
                  <c:v>46104</c:v>
                </c:pt>
                <c:pt idx="941">
                  <c:v>46100</c:v>
                </c:pt>
                <c:pt idx="942">
                  <c:v>46106</c:v>
                </c:pt>
                <c:pt idx="943">
                  <c:v>46108</c:v>
                </c:pt>
                <c:pt idx="944">
                  <c:v>46108</c:v>
                </c:pt>
                <c:pt idx="945">
                  <c:v>46108</c:v>
                </c:pt>
                <c:pt idx="946">
                  <c:v>0</c:v>
                </c:pt>
                <c:pt idx="947">
                  <c:v>46101</c:v>
                </c:pt>
                <c:pt idx="948">
                  <c:v>46100</c:v>
                </c:pt>
                <c:pt idx="949">
                  <c:v>46101</c:v>
                </c:pt>
                <c:pt idx="950">
                  <c:v>46101</c:v>
                </c:pt>
                <c:pt idx="951">
                  <c:v>46105</c:v>
                </c:pt>
                <c:pt idx="952">
                  <c:v>46100</c:v>
                </c:pt>
                <c:pt idx="953">
                  <c:v>46104</c:v>
                </c:pt>
                <c:pt idx="954">
                  <c:v>46104</c:v>
                </c:pt>
                <c:pt idx="955">
                  <c:v>46196</c:v>
                </c:pt>
                <c:pt idx="956">
                  <c:v>46108</c:v>
                </c:pt>
                <c:pt idx="957">
                  <c:v>46196</c:v>
                </c:pt>
                <c:pt idx="958">
                  <c:v>46108</c:v>
                </c:pt>
                <c:pt idx="959">
                  <c:v>46099</c:v>
                </c:pt>
                <c:pt idx="960">
                  <c:v>46099</c:v>
                </c:pt>
                <c:pt idx="961">
                  <c:v>46099</c:v>
                </c:pt>
                <c:pt idx="962">
                  <c:v>46099</c:v>
                </c:pt>
                <c:pt idx="963">
                  <c:v>46104</c:v>
                </c:pt>
                <c:pt idx="964">
                  <c:v>46101</c:v>
                </c:pt>
                <c:pt idx="965">
                  <c:v>46101</c:v>
                </c:pt>
                <c:pt idx="966">
                  <c:v>46101</c:v>
                </c:pt>
                <c:pt idx="967">
                  <c:v>46101</c:v>
                </c:pt>
                <c:pt idx="968">
                  <c:v>46106</c:v>
                </c:pt>
                <c:pt idx="969">
                  <c:v>46101</c:v>
                </c:pt>
                <c:pt idx="970">
                  <c:v>46101</c:v>
                </c:pt>
                <c:pt idx="971">
                  <c:v>46108</c:v>
                </c:pt>
                <c:pt idx="972">
                  <c:v>46108</c:v>
                </c:pt>
                <c:pt idx="973">
                  <c:v>46101</c:v>
                </c:pt>
                <c:pt idx="974">
                  <c:v>46104</c:v>
                </c:pt>
                <c:pt idx="975">
                  <c:v>46101</c:v>
                </c:pt>
                <c:pt idx="976">
                  <c:v>46101</c:v>
                </c:pt>
                <c:pt idx="977">
                  <c:v>46104</c:v>
                </c:pt>
                <c:pt idx="978">
                  <c:v>46105</c:v>
                </c:pt>
                <c:pt idx="980">
                  <c:v>46104</c:v>
                </c:pt>
                <c:pt idx="981">
                  <c:v>46101</c:v>
                </c:pt>
                <c:pt idx="982">
                  <c:v>46101</c:v>
                </c:pt>
                <c:pt idx="983">
                  <c:v>46101</c:v>
                </c:pt>
                <c:pt idx="985">
                  <c:v>46100</c:v>
                </c:pt>
                <c:pt idx="986">
                  <c:v>46105</c:v>
                </c:pt>
                <c:pt idx="987">
                  <c:v>46104</c:v>
                </c:pt>
                <c:pt idx="988">
                  <c:v>46104</c:v>
                </c:pt>
                <c:pt idx="989">
                  <c:v>46104</c:v>
                </c:pt>
                <c:pt idx="990">
                  <c:v>46104</c:v>
                </c:pt>
                <c:pt idx="991">
                  <c:v>46104</c:v>
                </c:pt>
                <c:pt idx="992">
                  <c:v>46101</c:v>
                </c:pt>
                <c:pt idx="993">
                  <c:v>46104</c:v>
                </c:pt>
                <c:pt idx="994">
                  <c:v>46105</c:v>
                </c:pt>
                <c:pt idx="995">
                  <c:v>46120</c:v>
                </c:pt>
                <c:pt idx="996">
                  <c:v>46108</c:v>
                </c:pt>
                <c:pt idx="997">
                  <c:v>46108</c:v>
                </c:pt>
                <c:pt idx="998">
                  <c:v>46108</c:v>
                </c:pt>
                <c:pt idx="999">
                  <c:v>46108</c:v>
                </c:pt>
                <c:pt idx="1000">
                  <c:v>46106</c:v>
                </c:pt>
                <c:pt idx="1001">
                  <c:v>46106</c:v>
                </c:pt>
                <c:pt idx="1002">
                  <c:v>46111</c:v>
                </c:pt>
                <c:pt idx="1003">
                  <c:v>46108</c:v>
                </c:pt>
                <c:pt idx="1004">
                  <c:v>2</c:v>
                </c:pt>
                <c:pt idx="1005">
                  <c:v>46108</c:v>
                </c:pt>
                <c:pt idx="1006">
                  <c:v>46108</c:v>
                </c:pt>
                <c:pt idx="1007">
                  <c:v>46108</c:v>
                </c:pt>
                <c:pt idx="1008">
                  <c:v>46108</c:v>
                </c:pt>
                <c:pt idx="1009">
                  <c:v>46111</c:v>
                </c:pt>
                <c:pt idx="1010">
                  <c:v>46107</c:v>
                </c:pt>
                <c:pt idx="1011">
                  <c:v>46107</c:v>
                </c:pt>
                <c:pt idx="1012">
                  <c:v>46111</c:v>
                </c:pt>
                <c:pt idx="1013">
                  <c:v>46111</c:v>
                </c:pt>
                <c:pt idx="1014">
                  <c:v>46121</c:v>
                </c:pt>
                <c:pt idx="1015">
                  <c:v>46121</c:v>
                </c:pt>
                <c:pt idx="1016">
                  <c:v>46129</c:v>
                </c:pt>
                <c:pt idx="1017">
                  <c:v>46108</c:v>
                </c:pt>
                <c:pt idx="1018">
                  <c:v>46332</c:v>
                </c:pt>
                <c:pt idx="1019">
                  <c:v>46127</c:v>
                </c:pt>
                <c:pt idx="1020">
                  <c:v>46127</c:v>
                </c:pt>
                <c:pt idx="1021">
                  <c:v>46127</c:v>
                </c:pt>
                <c:pt idx="1022">
                  <c:v>46107</c:v>
                </c:pt>
                <c:pt idx="1023">
                  <c:v>46106</c:v>
                </c:pt>
                <c:pt idx="1024">
                  <c:v>46107</c:v>
                </c:pt>
                <c:pt idx="1025">
                  <c:v>46107</c:v>
                </c:pt>
                <c:pt idx="1026">
                  <c:v>46107</c:v>
                </c:pt>
                <c:pt idx="1027">
                  <c:v>46111</c:v>
                </c:pt>
                <c:pt idx="1028">
                  <c:v>46107</c:v>
                </c:pt>
                <c:pt idx="1029">
                  <c:v>46111</c:v>
                </c:pt>
                <c:pt idx="1030">
                  <c:v>46113</c:v>
                </c:pt>
                <c:pt idx="1031">
                  <c:v>46107</c:v>
                </c:pt>
                <c:pt idx="1032">
                  <c:v>46108</c:v>
                </c:pt>
                <c:pt idx="1033">
                  <c:v>46332</c:v>
                </c:pt>
                <c:pt idx="1034">
                  <c:v>46119</c:v>
                </c:pt>
                <c:pt idx="1035">
                  <c:v>46107</c:v>
                </c:pt>
                <c:pt idx="1036">
                  <c:v>46112</c:v>
                </c:pt>
                <c:pt idx="1037">
                  <c:v>46111</c:v>
                </c:pt>
                <c:pt idx="1038">
                  <c:v>46107</c:v>
                </c:pt>
                <c:pt idx="1039">
                  <c:v>46107</c:v>
                </c:pt>
                <c:pt idx="1040">
                  <c:v>46107</c:v>
                </c:pt>
                <c:pt idx="1041">
                  <c:v>46111</c:v>
                </c:pt>
                <c:pt idx="1042">
                  <c:v>46107</c:v>
                </c:pt>
                <c:pt idx="1043">
                  <c:v>46111</c:v>
                </c:pt>
                <c:pt idx="1044">
                  <c:v>46107</c:v>
                </c:pt>
                <c:pt idx="1045">
                  <c:v>46107</c:v>
                </c:pt>
                <c:pt idx="1046">
                  <c:v>46107</c:v>
                </c:pt>
                <c:pt idx="1047">
                  <c:v>46108</c:v>
                </c:pt>
                <c:pt idx="1048">
                  <c:v>46113</c:v>
                </c:pt>
                <c:pt idx="1049">
                  <c:v>46113</c:v>
                </c:pt>
                <c:pt idx="1050">
                  <c:v>46111</c:v>
                </c:pt>
                <c:pt idx="1051">
                  <c:v>46112</c:v>
                </c:pt>
                <c:pt idx="1052">
                  <c:v>46112</c:v>
                </c:pt>
                <c:pt idx="1053">
                  <c:v>46111</c:v>
                </c:pt>
                <c:pt idx="1054">
                  <c:v>46119</c:v>
                </c:pt>
                <c:pt idx="1055">
                  <c:v>46112</c:v>
                </c:pt>
                <c:pt idx="1056">
                  <c:v>46112</c:v>
                </c:pt>
                <c:pt idx="1057">
                  <c:v>0</c:v>
                </c:pt>
                <c:pt idx="1058">
                  <c:v>46111</c:v>
                </c:pt>
                <c:pt idx="1059">
                  <c:v>46108</c:v>
                </c:pt>
                <c:pt idx="1060">
                  <c:v>46119</c:v>
                </c:pt>
                <c:pt idx="1061">
                  <c:v>46113</c:v>
                </c:pt>
                <c:pt idx="1062">
                  <c:v>46112</c:v>
                </c:pt>
                <c:pt idx="1063">
                  <c:v>46111</c:v>
                </c:pt>
                <c:pt idx="1064">
                  <c:v>46112</c:v>
                </c:pt>
                <c:pt idx="1065">
                  <c:v>46113</c:v>
                </c:pt>
                <c:pt idx="1066">
                  <c:v>46112</c:v>
                </c:pt>
                <c:pt idx="1067">
                  <c:v>46119</c:v>
                </c:pt>
                <c:pt idx="1068">
                  <c:v>46113</c:v>
                </c:pt>
                <c:pt idx="1069">
                  <c:v>46119</c:v>
                </c:pt>
                <c:pt idx="1070">
                  <c:v>46028</c:v>
                </c:pt>
                <c:pt idx="1071">
                  <c:v>46119</c:v>
                </c:pt>
                <c:pt idx="1072">
                  <c:v>46113</c:v>
                </c:pt>
                <c:pt idx="1073">
                  <c:v>46112</c:v>
                </c:pt>
                <c:pt idx="1074">
                  <c:v>46136</c:v>
                </c:pt>
                <c:pt idx="1075">
                  <c:v>46121</c:v>
                </c:pt>
                <c:pt idx="1076">
                  <c:v>46146</c:v>
                </c:pt>
                <c:pt idx="1077">
                  <c:v>46119</c:v>
                </c:pt>
                <c:pt idx="1078">
                  <c:v>46113</c:v>
                </c:pt>
                <c:pt idx="1079">
                  <c:v>46119</c:v>
                </c:pt>
                <c:pt idx="1080">
                  <c:v>46119</c:v>
                </c:pt>
                <c:pt idx="1081">
                  <c:v>46119</c:v>
                </c:pt>
                <c:pt idx="1082">
                  <c:v>46120</c:v>
                </c:pt>
                <c:pt idx="1083">
                  <c:v>46120</c:v>
                </c:pt>
                <c:pt idx="1084">
                  <c:v>46122</c:v>
                </c:pt>
                <c:pt idx="1085">
                  <c:v>46121</c:v>
                </c:pt>
                <c:pt idx="1086">
                  <c:v>46122</c:v>
                </c:pt>
                <c:pt idx="1087">
                  <c:v>46121</c:v>
                </c:pt>
                <c:pt idx="1088">
                  <c:v>46118</c:v>
                </c:pt>
                <c:pt idx="1089">
                  <c:v>46139</c:v>
                </c:pt>
                <c:pt idx="1090">
                  <c:v>46122</c:v>
                </c:pt>
                <c:pt idx="1091">
                  <c:v>46113</c:v>
                </c:pt>
                <c:pt idx="1092">
                  <c:v>46128</c:v>
                </c:pt>
                <c:pt idx="1093">
                  <c:v>46120</c:v>
                </c:pt>
                <c:pt idx="1094">
                  <c:v>46121</c:v>
                </c:pt>
                <c:pt idx="1095">
                  <c:v>46125</c:v>
                </c:pt>
                <c:pt idx="1096">
                  <c:v>46125</c:v>
                </c:pt>
                <c:pt idx="1097">
                  <c:v>46118</c:v>
                </c:pt>
                <c:pt idx="1098">
                  <c:v>46125</c:v>
                </c:pt>
                <c:pt idx="1099">
                  <c:v>46128</c:v>
                </c:pt>
                <c:pt idx="1100">
                  <c:v>46128</c:v>
                </c:pt>
                <c:pt idx="1101">
                  <c:v>46121</c:v>
                </c:pt>
                <c:pt idx="1102">
                  <c:v>46139</c:v>
                </c:pt>
                <c:pt idx="1103">
                  <c:v>46127</c:v>
                </c:pt>
                <c:pt idx="1104">
                  <c:v>46125</c:v>
                </c:pt>
                <c:pt idx="1105">
                  <c:v>46125</c:v>
                </c:pt>
                <c:pt idx="1106">
                  <c:v>46121</c:v>
                </c:pt>
                <c:pt idx="1107">
                  <c:v>46122</c:v>
                </c:pt>
                <c:pt idx="1108">
                  <c:v>46126</c:v>
                </c:pt>
                <c:pt idx="1109">
                  <c:v>46126</c:v>
                </c:pt>
                <c:pt idx="1110">
                  <c:v>46125</c:v>
                </c:pt>
                <c:pt idx="1111">
                  <c:v>46125</c:v>
                </c:pt>
                <c:pt idx="1112">
                  <c:v>46122</c:v>
                </c:pt>
                <c:pt idx="1113">
                  <c:v>46121</c:v>
                </c:pt>
                <c:pt idx="1114">
                  <c:v>46121</c:v>
                </c:pt>
                <c:pt idx="1115">
                  <c:v>46121</c:v>
                </c:pt>
                <c:pt idx="1116">
                  <c:v>46125</c:v>
                </c:pt>
                <c:pt idx="1117">
                  <c:v>46125</c:v>
                </c:pt>
                <c:pt idx="1118">
                  <c:v>46121</c:v>
                </c:pt>
                <c:pt idx="1119">
                  <c:v>46121</c:v>
                </c:pt>
                <c:pt idx="1120">
                  <c:v>46125</c:v>
                </c:pt>
                <c:pt idx="1121">
                  <c:v>46121</c:v>
                </c:pt>
                <c:pt idx="1122">
                  <c:v>46121</c:v>
                </c:pt>
                <c:pt idx="1123">
                  <c:v>46125</c:v>
                </c:pt>
                <c:pt idx="1124">
                  <c:v>46125</c:v>
                </c:pt>
                <c:pt idx="1125">
                  <c:v>46126</c:v>
                </c:pt>
                <c:pt idx="1126">
                  <c:v>46121</c:v>
                </c:pt>
                <c:pt idx="1127">
                  <c:v>46121</c:v>
                </c:pt>
                <c:pt idx="1128">
                  <c:v>46125</c:v>
                </c:pt>
                <c:pt idx="1129">
                  <c:v>46125</c:v>
                </c:pt>
                <c:pt idx="1130">
                  <c:v>46121</c:v>
                </c:pt>
                <c:pt idx="1131">
                  <c:v>46128</c:v>
                </c:pt>
                <c:pt idx="1132">
                  <c:v>46121</c:v>
                </c:pt>
                <c:pt idx="1133">
                  <c:v>46126</c:v>
                </c:pt>
                <c:pt idx="1134">
                  <c:v>46125</c:v>
                </c:pt>
                <c:pt idx="1135">
                  <c:v>46121</c:v>
                </c:pt>
                <c:pt idx="1136">
                  <c:v>46125</c:v>
                </c:pt>
                <c:pt idx="1137">
                  <c:v>46125</c:v>
                </c:pt>
                <c:pt idx="1138">
                  <c:v>46120</c:v>
                </c:pt>
                <c:pt idx="1139">
                  <c:v>46121</c:v>
                </c:pt>
                <c:pt idx="1140">
                  <c:v>46126</c:v>
                </c:pt>
                <c:pt idx="1141">
                  <c:v>46121</c:v>
                </c:pt>
                <c:pt idx="1142">
                  <c:v>46120</c:v>
                </c:pt>
                <c:pt idx="1143">
                  <c:v>46125</c:v>
                </c:pt>
                <c:pt idx="1144">
                  <c:v>46125</c:v>
                </c:pt>
                <c:pt idx="1145">
                  <c:v>46126</c:v>
                </c:pt>
                <c:pt idx="1146">
                  <c:v>46120</c:v>
                </c:pt>
                <c:pt idx="1147">
                  <c:v>46121</c:v>
                </c:pt>
                <c:pt idx="1149">
                  <c:v>46122</c:v>
                </c:pt>
                <c:pt idx="1150">
                  <c:v>46122</c:v>
                </c:pt>
                <c:pt idx="1151">
                  <c:v>46122</c:v>
                </c:pt>
                <c:pt idx="1152">
                  <c:v>46122</c:v>
                </c:pt>
                <c:pt idx="1153">
                  <c:v>46122</c:v>
                </c:pt>
                <c:pt idx="1154">
                  <c:v>46127</c:v>
                </c:pt>
                <c:pt idx="1155">
                  <c:v>46127</c:v>
                </c:pt>
                <c:pt idx="1156">
                  <c:v>46127</c:v>
                </c:pt>
                <c:pt idx="1157">
                  <c:v>46127</c:v>
                </c:pt>
                <c:pt idx="1158">
                  <c:v>46127</c:v>
                </c:pt>
                <c:pt idx="1159">
                  <c:v>46122</c:v>
                </c:pt>
                <c:pt idx="1160">
                  <c:v>46125</c:v>
                </c:pt>
                <c:pt idx="1161">
                  <c:v>46122</c:v>
                </c:pt>
                <c:pt idx="1162">
                  <c:v>46122</c:v>
                </c:pt>
                <c:pt idx="1163">
                  <c:v>46122</c:v>
                </c:pt>
                <c:pt idx="1164">
                  <c:v>46122</c:v>
                </c:pt>
                <c:pt idx="1165">
                  <c:v>46122</c:v>
                </c:pt>
                <c:pt idx="1166">
                  <c:v>46125</c:v>
                </c:pt>
                <c:pt idx="1167">
                  <c:v>46139</c:v>
                </c:pt>
                <c:pt idx="1168">
                  <c:v>46126</c:v>
                </c:pt>
                <c:pt idx="1169">
                  <c:v>46121</c:v>
                </c:pt>
                <c:pt idx="1170">
                  <c:v>46125</c:v>
                </c:pt>
                <c:pt idx="1171">
                  <c:v>46121</c:v>
                </c:pt>
                <c:pt idx="1172">
                  <c:v>46121</c:v>
                </c:pt>
                <c:pt idx="1173">
                  <c:v>46125</c:v>
                </c:pt>
                <c:pt idx="1174">
                  <c:v>46127</c:v>
                </c:pt>
                <c:pt idx="1175">
                  <c:v>46127</c:v>
                </c:pt>
                <c:pt idx="1176">
                  <c:v>46127</c:v>
                </c:pt>
                <c:pt idx="1177">
                  <c:v>46128</c:v>
                </c:pt>
                <c:pt idx="1178">
                  <c:v>46126</c:v>
                </c:pt>
                <c:pt idx="1179">
                  <c:v>46127</c:v>
                </c:pt>
                <c:pt idx="1180">
                  <c:v>46121</c:v>
                </c:pt>
                <c:pt idx="1181">
                  <c:v>46122</c:v>
                </c:pt>
                <c:pt idx="1182">
                  <c:v>46121</c:v>
                </c:pt>
                <c:pt idx="1183">
                  <c:v>46121</c:v>
                </c:pt>
                <c:pt idx="1184">
                  <c:v>46122</c:v>
                </c:pt>
                <c:pt idx="1185">
                  <c:v>46126</c:v>
                </c:pt>
                <c:pt idx="1186">
                  <c:v>46129</c:v>
                </c:pt>
                <c:pt idx="1187">
                  <c:v>46127</c:v>
                </c:pt>
                <c:pt idx="1188">
                  <c:v>46126</c:v>
                </c:pt>
                <c:pt idx="1189">
                  <c:v>46135</c:v>
                </c:pt>
                <c:pt idx="1190">
                  <c:v>46126</c:v>
                </c:pt>
                <c:pt idx="1191">
                  <c:v>46122</c:v>
                </c:pt>
                <c:pt idx="1192">
                  <c:v>46122</c:v>
                </c:pt>
                <c:pt idx="1193">
                  <c:v>46127</c:v>
                </c:pt>
                <c:pt idx="1194">
                  <c:v>46127</c:v>
                </c:pt>
                <c:pt idx="1195">
                  <c:v>46126</c:v>
                </c:pt>
                <c:pt idx="1196">
                  <c:v>46127</c:v>
                </c:pt>
                <c:pt idx="1197">
                  <c:v>46126</c:v>
                </c:pt>
                <c:pt idx="1198">
                  <c:v>46126</c:v>
                </c:pt>
                <c:pt idx="1199">
                  <c:v>46126</c:v>
                </c:pt>
                <c:pt idx="1200">
                  <c:v>46125</c:v>
                </c:pt>
                <c:pt idx="1201">
                  <c:v>46126</c:v>
                </c:pt>
                <c:pt idx="1202">
                  <c:v>46126</c:v>
                </c:pt>
                <c:pt idx="1203">
                  <c:v>46126</c:v>
                </c:pt>
                <c:pt idx="1204">
                  <c:v>46135</c:v>
                </c:pt>
                <c:pt idx="1205">
                  <c:v>46142</c:v>
                </c:pt>
                <c:pt idx="1206">
                  <c:v>46126</c:v>
                </c:pt>
                <c:pt idx="1207">
                  <c:v>46122</c:v>
                </c:pt>
                <c:pt idx="1208">
                  <c:v>46122</c:v>
                </c:pt>
                <c:pt idx="1209">
                  <c:v>46126</c:v>
                </c:pt>
                <c:pt idx="1210">
                  <c:v>46129</c:v>
                </c:pt>
                <c:pt idx="1211">
                  <c:v>46125</c:v>
                </c:pt>
                <c:pt idx="1212">
                  <c:v>46122</c:v>
                </c:pt>
                <c:pt idx="1213">
                  <c:v>46135</c:v>
                </c:pt>
                <c:pt idx="1214">
                  <c:v>46134</c:v>
                </c:pt>
                <c:pt idx="1215">
                  <c:v>46128</c:v>
                </c:pt>
                <c:pt idx="1216">
                  <c:v>46128</c:v>
                </c:pt>
                <c:pt idx="1217">
                  <c:v>46127</c:v>
                </c:pt>
                <c:pt idx="1218">
                  <c:v>46129</c:v>
                </c:pt>
                <c:pt idx="1219">
                  <c:v>46125</c:v>
                </c:pt>
                <c:pt idx="1220">
                  <c:v>46134</c:v>
                </c:pt>
                <c:pt idx="1221">
                  <c:v>46127</c:v>
                </c:pt>
                <c:pt idx="1222">
                  <c:v>46127</c:v>
                </c:pt>
                <c:pt idx="1223">
                  <c:v>46126</c:v>
                </c:pt>
                <c:pt idx="1224">
                  <c:v>46127</c:v>
                </c:pt>
                <c:pt idx="1225">
                  <c:v>46126</c:v>
                </c:pt>
                <c:pt idx="1226">
                  <c:v>46126</c:v>
                </c:pt>
                <c:pt idx="1227">
                  <c:v>46126</c:v>
                </c:pt>
                <c:pt idx="1228">
                  <c:v>46121</c:v>
                </c:pt>
                <c:pt idx="1229">
                  <c:v>46127</c:v>
                </c:pt>
                <c:pt idx="1230">
                  <c:v>46134</c:v>
                </c:pt>
                <c:pt idx="1231">
                  <c:v>46135</c:v>
                </c:pt>
                <c:pt idx="1232">
                  <c:v>46121</c:v>
                </c:pt>
                <c:pt idx="1233">
                  <c:v>46136</c:v>
                </c:pt>
                <c:pt idx="1234">
                  <c:v>46129</c:v>
                </c:pt>
                <c:pt idx="1235">
                  <c:v>46125</c:v>
                </c:pt>
                <c:pt idx="1236">
                  <c:v>46127</c:v>
                </c:pt>
                <c:pt idx="1237">
                  <c:v>46128</c:v>
                </c:pt>
                <c:pt idx="1238">
                  <c:v>46127</c:v>
                </c:pt>
                <c:pt idx="1239">
                  <c:v>46128</c:v>
                </c:pt>
                <c:pt idx="1240">
                  <c:v>46128</c:v>
                </c:pt>
                <c:pt idx="1241">
                  <c:v>46128</c:v>
                </c:pt>
                <c:pt idx="1242">
                  <c:v>46129</c:v>
                </c:pt>
                <c:pt idx="1243">
                  <c:v>46122</c:v>
                </c:pt>
                <c:pt idx="1244">
                  <c:v>46122</c:v>
                </c:pt>
                <c:pt idx="1245">
                  <c:v>46122</c:v>
                </c:pt>
                <c:pt idx="1246">
                  <c:v>46126</c:v>
                </c:pt>
                <c:pt idx="1247">
                  <c:v>46125</c:v>
                </c:pt>
                <c:pt idx="1248">
                  <c:v>46125</c:v>
                </c:pt>
                <c:pt idx="1249">
                  <c:v>46125</c:v>
                </c:pt>
                <c:pt idx="1250">
                  <c:v>46136</c:v>
                </c:pt>
                <c:pt idx="1251">
                  <c:v>46126</c:v>
                </c:pt>
                <c:pt idx="1252">
                  <c:v>46126</c:v>
                </c:pt>
                <c:pt idx="1253">
                  <c:v>46126</c:v>
                </c:pt>
                <c:pt idx="1254">
                  <c:v>46156</c:v>
                </c:pt>
                <c:pt idx="1255">
                  <c:v>46126</c:v>
                </c:pt>
                <c:pt idx="1256">
                  <c:v>46136</c:v>
                </c:pt>
                <c:pt idx="1257">
                  <c:v>46129</c:v>
                </c:pt>
                <c:pt idx="1258">
                  <c:v>46135</c:v>
                </c:pt>
                <c:pt idx="1259">
                  <c:v>46136</c:v>
                </c:pt>
                <c:pt idx="1260">
                  <c:v>46135</c:v>
                </c:pt>
                <c:pt idx="1261">
                  <c:v>46127</c:v>
                </c:pt>
                <c:pt idx="1262">
                  <c:v>46128</c:v>
                </c:pt>
                <c:pt idx="1263">
                  <c:v>46127</c:v>
                </c:pt>
                <c:pt idx="1264">
                  <c:v>46127</c:v>
                </c:pt>
                <c:pt idx="1265">
                  <c:v>46128</c:v>
                </c:pt>
                <c:pt idx="1266">
                  <c:v>46127</c:v>
                </c:pt>
                <c:pt idx="1267">
                  <c:v>46135</c:v>
                </c:pt>
                <c:pt idx="1268">
                  <c:v>46127</c:v>
                </c:pt>
                <c:pt idx="1269">
                  <c:v>46127</c:v>
                </c:pt>
                <c:pt idx="1270">
                  <c:v>46127</c:v>
                </c:pt>
                <c:pt idx="1271">
                  <c:v>46135</c:v>
                </c:pt>
                <c:pt idx="1272">
                  <c:v>46128</c:v>
                </c:pt>
                <c:pt idx="1273">
                  <c:v>46128</c:v>
                </c:pt>
                <c:pt idx="1274">
                  <c:v>46127</c:v>
                </c:pt>
                <c:pt idx="1275">
                  <c:v>46127</c:v>
                </c:pt>
                <c:pt idx="1276">
                  <c:v>46127</c:v>
                </c:pt>
                <c:pt idx="1277">
                  <c:v>46126</c:v>
                </c:pt>
                <c:pt idx="1278">
                  <c:v>46127</c:v>
                </c:pt>
                <c:pt idx="1279">
                  <c:v>46135</c:v>
                </c:pt>
                <c:pt idx="1280">
                  <c:v>46139</c:v>
                </c:pt>
                <c:pt idx="1281">
                  <c:v>46139</c:v>
                </c:pt>
                <c:pt idx="1282">
                  <c:v>46135</c:v>
                </c:pt>
                <c:pt idx="1283">
                  <c:v>46128</c:v>
                </c:pt>
                <c:pt idx="1284">
                  <c:v>46127</c:v>
                </c:pt>
                <c:pt idx="1285">
                  <c:v>46127</c:v>
                </c:pt>
                <c:pt idx="1286">
                  <c:v>46128</c:v>
                </c:pt>
                <c:pt idx="1287">
                  <c:v>46128</c:v>
                </c:pt>
                <c:pt idx="1288">
                  <c:v>46128</c:v>
                </c:pt>
                <c:pt idx="1289">
                  <c:v>46128</c:v>
                </c:pt>
                <c:pt idx="1290">
                  <c:v>46134</c:v>
                </c:pt>
                <c:pt idx="1291">
                  <c:v>46129</c:v>
                </c:pt>
                <c:pt idx="1292">
                  <c:v>46134</c:v>
                </c:pt>
                <c:pt idx="1293">
                  <c:v>46134</c:v>
                </c:pt>
                <c:pt idx="1294">
                  <c:v>46128</c:v>
                </c:pt>
                <c:pt idx="1295">
                  <c:v>46127</c:v>
                </c:pt>
                <c:pt idx="1296">
                  <c:v>46128</c:v>
                </c:pt>
                <c:pt idx="1297">
                  <c:v>46129</c:v>
                </c:pt>
                <c:pt idx="1298">
                  <c:v>46134</c:v>
                </c:pt>
                <c:pt idx="1299">
                  <c:v>46135</c:v>
                </c:pt>
                <c:pt idx="1300">
                  <c:v>46135</c:v>
                </c:pt>
                <c:pt idx="1301">
                  <c:v>46128</c:v>
                </c:pt>
                <c:pt idx="1302">
                  <c:v>46134</c:v>
                </c:pt>
                <c:pt idx="1303">
                  <c:v>46134</c:v>
                </c:pt>
                <c:pt idx="1304">
                  <c:v>46139</c:v>
                </c:pt>
                <c:pt idx="1305">
                  <c:v>46128</c:v>
                </c:pt>
                <c:pt idx="1306">
                  <c:v>46128</c:v>
                </c:pt>
                <c:pt idx="1307">
                  <c:v>46157</c:v>
                </c:pt>
                <c:pt idx="1308">
                  <c:v>46128</c:v>
                </c:pt>
                <c:pt idx="1309">
                  <c:v>46127</c:v>
                </c:pt>
                <c:pt idx="1310">
                  <c:v>46127</c:v>
                </c:pt>
                <c:pt idx="1311">
                  <c:v>46128</c:v>
                </c:pt>
                <c:pt idx="1312">
                  <c:v>46126</c:v>
                </c:pt>
                <c:pt idx="1313">
                  <c:v>46128</c:v>
                </c:pt>
                <c:pt idx="1314">
                  <c:v>46129</c:v>
                </c:pt>
                <c:pt idx="1315">
                  <c:v>46129</c:v>
                </c:pt>
                <c:pt idx="1316">
                  <c:v>46135</c:v>
                </c:pt>
                <c:pt idx="1318">
                  <c:v>46135</c:v>
                </c:pt>
                <c:pt idx="1319">
                  <c:v>46129</c:v>
                </c:pt>
                <c:pt idx="1320">
                  <c:v>46129</c:v>
                </c:pt>
                <c:pt idx="1321">
                  <c:v>46127</c:v>
                </c:pt>
                <c:pt idx="1322">
                  <c:v>46135</c:v>
                </c:pt>
                <c:pt idx="1323">
                  <c:v>46129</c:v>
                </c:pt>
                <c:pt idx="1324">
                  <c:v>46129</c:v>
                </c:pt>
                <c:pt idx="1325">
                  <c:v>46129</c:v>
                </c:pt>
                <c:pt idx="1326">
                  <c:v>46129</c:v>
                </c:pt>
                <c:pt idx="1327">
                  <c:v>46129</c:v>
                </c:pt>
                <c:pt idx="1328">
                  <c:v>46127</c:v>
                </c:pt>
                <c:pt idx="1329">
                  <c:v>46127</c:v>
                </c:pt>
                <c:pt idx="1330">
                  <c:v>46129</c:v>
                </c:pt>
                <c:pt idx="1331">
                  <c:v>46129</c:v>
                </c:pt>
                <c:pt idx="1332">
                  <c:v>46135</c:v>
                </c:pt>
                <c:pt idx="1333">
                  <c:v>46160</c:v>
                </c:pt>
                <c:pt idx="1334">
                  <c:v>46128</c:v>
                </c:pt>
                <c:pt idx="1335">
                  <c:v>46139</c:v>
                </c:pt>
                <c:pt idx="1336">
                  <c:v>46128</c:v>
                </c:pt>
                <c:pt idx="1337">
                  <c:v>46128</c:v>
                </c:pt>
                <c:pt idx="1338">
                  <c:v>46129</c:v>
                </c:pt>
                <c:pt idx="1339">
                  <c:v>46129</c:v>
                </c:pt>
                <c:pt idx="1340">
                  <c:v>46135</c:v>
                </c:pt>
                <c:pt idx="1341">
                  <c:v>46135</c:v>
                </c:pt>
                <c:pt idx="1342">
                  <c:v>46135</c:v>
                </c:pt>
                <c:pt idx="1343">
                  <c:v>46136</c:v>
                </c:pt>
                <c:pt idx="1344">
                  <c:v>46128</c:v>
                </c:pt>
                <c:pt idx="1345">
                  <c:v>46128</c:v>
                </c:pt>
                <c:pt idx="1346">
                  <c:v>46129</c:v>
                </c:pt>
                <c:pt idx="1347">
                  <c:v>46129</c:v>
                </c:pt>
                <c:pt idx="1348">
                  <c:v>46135</c:v>
                </c:pt>
                <c:pt idx="1349">
                  <c:v>46135</c:v>
                </c:pt>
                <c:pt idx="1350">
                  <c:v>46136</c:v>
                </c:pt>
                <c:pt idx="1351">
                  <c:v>46134</c:v>
                </c:pt>
                <c:pt idx="1352">
                  <c:v>46146</c:v>
                </c:pt>
                <c:pt idx="1353">
                  <c:v>46141</c:v>
                </c:pt>
                <c:pt idx="1354">
                  <c:v>46136</c:v>
                </c:pt>
                <c:pt idx="1356">
                  <c:v>46135</c:v>
                </c:pt>
                <c:pt idx="1357">
                  <c:v>46134</c:v>
                </c:pt>
                <c:pt idx="1358">
                  <c:v>46134</c:v>
                </c:pt>
                <c:pt idx="1359">
                  <c:v>46153</c:v>
                </c:pt>
                <c:pt idx="1360">
                  <c:v>46129</c:v>
                </c:pt>
                <c:pt idx="1361">
                  <c:v>46129</c:v>
                </c:pt>
                <c:pt idx="1362">
                  <c:v>46129</c:v>
                </c:pt>
                <c:pt idx="1363">
                  <c:v>46140</c:v>
                </c:pt>
                <c:pt idx="1364">
                  <c:v>46129</c:v>
                </c:pt>
                <c:pt idx="1365">
                  <c:v>46129</c:v>
                </c:pt>
                <c:pt idx="1366">
                  <c:v>46129</c:v>
                </c:pt>
                <c:pt idx="1367">
                  <c:v>46141</c:v>
                </c:pt>
                <c:pt idx="1368">
                  <c:v>46135</c:v>
                </c:pt>
                <c:pt idx="1369">
                  <c:v>46135</c:v>
                </c:pt>
                <c:pt idx="1370">
                  <c:v>46128</c:v>
                </c:pt>
                <c:pt idx="1371">
                  <c:v>46128</c:v>
                </c:pt>
                <c:pt idx="1372">
                  <c:v>46147</c:v>
                </c:pt>
                <c:pt idx="1373">
                  <c:v>46136</c:v>
                </c:pt>
                <c:pt idx="1374">
                  <c:v>46141</c:v>
                </c:pt>
                <c:pt idx="1375">
                  <c:v>46135</c:v>
                </c:pt>
                <c:pt idx="1376">
                  <c:v>46135</c:v>
                </c:pt>
                <c:pt idx="1377">
                  <c:v>46147</c:v>
                </c:pt>
                <c:pt idx="1378">
                  <c:v>46141</c:v>
                </c:pt>
                <c:pt idx="1379">
                  <c:v>46140</c:v>
                </c:pt>
                <c:pt idx="1381">
                  <c:v>46140</c:v>
                </c:pt>
                <c:pt idx="1382">
                  <c:v>46148</c:v>
                </c:pt>
                <c:pt idx="1383">
                  <c:v>46147</c:v>
                </c:pt>
                <c:pt idx="1384">
                  <c:v>46140</c:v>
                </c:pt>
                <c:pt idx="1385">
                  <c:v>46134</c:v>
                </c:pt>
                <c:pt idx="1386">
                  <c:v>46135</c:v>
                </c:pt>
                <c:pt idx="1387">
                  <c:v>46136</c:v>
                </c:pt>
                <c:pt idx="1388">
                  <c:v>46135</c:v>
                </c:pt>
                <c:pt idx="1389">
                  <c:v>46135</c:v>
                </c:pt>
                <c:pt idx="1390">
                  <c:v>46135</c:v>
                </c:pt>
                <c:pt idx="1391">
                  <c:v>46135</c:v>
                </c:pt>
                <c:pt idx="1392">
                  <c:v>46146</c:v>
                </c:pt>
                <c:pt idx="1393">
                  <c:v>46140</c:v>
                </c:pt>
                <c:pt idx="1394">
                  <c:v>46140</c:v>
                </c:pt>
                <c:pt idx="1395">
                  <c:v>46140</c:v>
                </c:pt>
                <c:pt idx="1396">
                  <c:v>46148</c:v>
                </c:pt>
                <c:pt idx="1397">
                  <c:v>46134</c:v>
                </c:pt>
                <c:pt idx="1398">
                  <c:v>46136</c:v>
                </c:pt>
                <c:pt idx="1399">
                  <c:v>46141</c:v>
                </c:pt>
                <c:pt idx="1400">
                  <c:v>46140</c:v>
                </c:pt>
                <c:pt idx="1401">
                  <c:v>46142</c:v>
                </c:pt>
                <c:pt idx="1402">
                  <c:v>46140</c:v>
                </c:pt>
                <c:pt idx="1403">
                  <c:v>46136</c:v>
                </c:pt>
                <c:pt idx="1404">
                  <c:v>46142</c:v>
                </c:pt>
                <c:pt idx="1405">
                  <c:v>46141</c:v>
                </c:pt>
                <c:pt idx="1406">
                  <c:v>46146</c:v>
                </c:pt>
                <c:pt idx="1407">
                  <c:v>46136</c:v>
                </c:pt>
                <c:pt idx="1408">
                  <c:v>46136</c:v>
                </c:pt>
                <c:pt idx="1409">
                  <c:v>46134</c:v>
                </c:pt>
                <c:pt idx="1410">
                  <c:v>46134</c:v>
                </c:pt>
                <c:pt idx="1411">
                  <c:v>46134</c:v>
                </c:pt>
                <c:pt idx="1412">
                  <c:v>46142</c:v>
                </c:pt>
                <c:pt idx="1413">
                  <c:v>46135</c:v>
                </c:pt>
                <c:pt idx="1414">
                  <c:v>46135</c:v>
                </c:pt>
                <c:pt idx="1415">
                  <c:v>46139</c:v>
                </c:pt>
                <c:pt idx="1416">
                  <c:v>46139</c:v>
                </c:pt>
                <c:pt idx="1417">
                  <c:v>46136</c:v>
                </c:pt>
                <c:pt idx="1418">
                  <c:v>46140</c:v>
                </c:pt>
                <c:pt idx="1419">
                  <c:v>46142</c:v>
                </c:pt>
                <c:pt idx="1420">
                  <c:v>46141</c:v>
                </c:pt>
                <c:pt idx="1421">
                  <c:v>46146</c:v>
                </c:pt>
                <c:pt idx="1422">
                  <c:v>46136</c:v>
                </c:pt>
                <c:pt idx="1423">
                  <c:v>46140</c:v>
                </c:pt>
                <c:pt idx="1424">
                  <c:v>46136</c:v>
                </c:pt>
                <c:pt idx="1425">
                  <c:v>46140</c:v>
                </c:pt>
                <c:pt idx="1426">
                  <c:v>46146</c:v>
                </c:pt>
                <c:pt idx="1427">
                  <c:v>46146</c:v>
                </c:pt>
                <c:pt idx="1428">
                  <c:v>46147</c:v>
                </c:pt>
                <c:pt idx="1429">
                  <c:v>46140</c:v>
                </c:pt>
                <c:pt idx="1430">
                  <c:v>46140</c:v>
                </c:pt>
                <c:pt idx="1431">
                  <c:v>46147</c:v>
                </c:pt>
                <c:pt idx="1432">
                  <c:v>46150</c:v>
                </c:pt>
                <c:pt idx="1433">
                  <c:v>46142</c:v>
                </c:pt>
                <c:pt idx="1434">
                  <c:v>46141</c:v>
                </c:pt>
                <c:pt idx="1435">
                  <c:v>46140</c:v>
                </c:pt>
                <c:pt idx="1436">
                  <c:v>46140</c:v>
                </c:pt>
                <c:pt idx="1437">
                  <c:v>46146</c:v>
                </c:pt>
                <c:pt idx="1438">
                  <c:v>46146</c:v>
                </c:pt>
                <c:pt idx="1439">
                  <c:v>46140</c:v>
                </c:pt>
                <c:pt idx="1440">
                  <c:v>46142</c:v>
                </c:pt>
                <c:pt idx="1441">
                  <c:v>46142</c:v>
                </c:pt>
                <c:pt idx="1442">
                  <c:v>46153</c:v>
                </c:pt>
                <c:pt idx="1443">
                  <c:v>46148</c:v>
                </c:pt>
                <c:pt idx="1444">
                  <c:v>46148</c:v>
                </c:pt>
                <c:pt idx="1445">
                  <c:v>46141</c:v>
                </c:pt>
                <c:pt idx="1446">
                  <c:v>46140</c:v>
                </c:pt>
                <c:pt idx="1447">
                  <c:v>46141</c:v>
                </c:pt>
                <c:pt idx="1448">
                  <c:v>46146</c:v>
                </c:pt>
                <c:pt idx="1449">
                  <c:v>46146</c:v>
                </c:pt>
                <c:pt idx="1450">
                  <c:v>46148</c:v>
                </c:pt>
                <c:pt idx="1451">
                  <c:v>46148</c:v>
                </c:pt>
                <c:pt idx="1452">
                  <c:v>46141</c:v>
                </c:pt>
                <c:pt idx="1453">
                  <c:v>46142</c:v>
                </c:pt>
                <c:pt idx="1454">
                  <c:v>46140</c:v>
                </c:pt>
                <c:pt idx="1455">
                  <c:v>46141</c:v>
                </c:pt>
                <c:pt idx="1456">
                  <c:v>46146</c:v>
                </c:pt>
                <c:pt idx="1457">
                  <c:v>46141</c:v>
                </c:pt>
                <c:pt idx="1458">
                  <c:v>46141</c:v>
                </c:pt>
                <c:pt idx="1459">
                  <c:v>46141</c:v>
                </c:pt>
                <c:pt idx="1460">
                  <c:v>46141</c:v>
                </c:pt>
                <c:pt idx="1461">
                  <c:v>46141</c:v>
                </c:pt>
                <c:pt idx="1462">
                  <c:v>46146</c:v>
                </c:pt>
                <c:pt idx="1463">
                  <c:v>46146</c:v>
                </c:pt>
                <c:pt idx="1464">
                  <c:v>46146</c:v>
                </c:pt>
                <c:pt idx="1465">
                  <c:v>46146</c:v>
                </c:pt>
                <c:pt idx="1466">
                  <c:v>46146</c:v>
                </c:pt>
                <c:pt idx="1467">
                  <c:v>46141</c:v>
                </c:pt>
                <c:pt idx="1468">
                  <c:v>46142</c:v>
                </c:pt>
                <c:pt idx="1469">
                  <c:v>46141</c:v>
                </c:pt>
                <c:pt idx="1470">
                  <c:v>46139</c:v>
                </c:pt>
                <c:pt idx="1471">
                  <c:v>46139</c:v>
                </c:pt>
                <c:pt idx="1472">
                  <c:v>46139</c:v>
                </c:pt>
                <c:pt idx="1473">
                  <c:v>46142</c:v>
                </c:pt>
                <c:pt idx="1474">
                  <c:v>46140</c:v>
                </c:pt>
                <c:pt idx="1475">
                  <c:v>46141</c:v>
                </c:pt>
                <c:pt idx="1476">
                  <c:v>46141</c:v>
                </c:pt>
                <c:pt idx="1477">
                  <c:v>46141</c:v>
                </c:pt>
                <c:pt idx="1478">
                  <c:v>46142</c:v>
                </c:pt>
                <c:pt idx="1479">
                  <c:v>46148</c:v>
                </c:pt>
                <c:pt idx="1480">
                  <c:v>46146</c:v>
                </c:pt>
                <c:pt idx="1481">
                  <c:v>46146</c:v>
                </c:pt>
                <c:pt idx="1482">
                  <c:v>46142</c:v>
                </c:pt>
                <c:pt idx="1483">
                  <c:v>46155</c:v>
                </c:pt>
                <c:pt idx="1484">
                  <c:v>46156</c:v>
                </c:pt>
                <c:pt idx="1485">
                  <c:v>46142</c:v>
                </c:pt>
                <c:pt idx="1486">
                  <c:v>46161</c:v>
                </c:pt>
                <c:pt idx="1487">
                  <c:v>46141</c:v>
                </c:pt>
                <c:pt idx="1489">
                  <c:v>46149</c:v>
                </c:pt>
                <c:pt idx="1490">
                  <c:v>46141</c:v>
                </c:pt>
                <c:pt idx="1491">
                  <c:v>46148</c:v>
                </c:pt>
                <c:pt idx="1492">
                  <c:v>46147</c:v>
                </c:pt>
                <c:pt idx="1493">
                  <c:v>46146</c:v>
                </c:pt>
                <c:pt idx="1494">
                  <c:v>46142</c:v>
                </c:pt>
                <c:pt idx="1495">
                  <c:v>46146</c:v>
                </c:pt>
                <c:pt idx="1496">
                  <c:v>46146</c:v>
                </c:pt>
                <c:pt idx="1497">
                  <c:v>46146</c:v>
                </c:pt>
                <c:pt idx="1498">
                  <c:v>46146</c:v>
                </c:pt>
                <c:pt idx="1499">
                  <c:v>46147</c:v>
                </c:pt>
                <c:pt idx="1500">
                  <c:v>46141</c:v>
                </c:pt>
                <c:pt idx="1501">
                  <c:v>46141</c:v>
                </c:pt>
                <c:pt idx="1502">
                  <c:v>46141</c:v>
                </c:pt>
                <c:pt idx="1503">
                  <c:v>46156</c:v>
                </c:pt>
                <c:pt idx="1504">
                  <c:v>46150</c:v>
                </c:pt>
                <c:pt idx="1505">
                  <c:v>46146</c:v>
                </c:pt>
                <c:pt idx="1506">
                  <c:v>46147</c:v>
                </c:pt>
                <c:pt idx="1507">
                  <c:v>46148</c:v>
                </c:pt>
                <c:pt idx="1508">
                  <c:v>46148</c:v>
                </c:pt>
                <c:pt idx="1509">
                  <c:v>46147</c:v>
                </c:pt>
                <c:pt idx="1510">
                  <c:v>46147</c:v>
                </c:pt>
                <c:pt idx="1511">
                  <c:v>46142</c:v>
                </c:pt>
                <c:pt idx="1512">
                  <c:v>46142</c:v>
                </c:pt>
                <c:pt idx="1513">
                  <c:v>46153</c:v>
                </c:pt>
                <c:pt idx="1514">
                  <c:v>46142</c:v>
                </c:pt>
                <c:pt idx="1515">
                  <c:v>46149</c:v>
                </c:pt>
                <c:pt idx="1516">
                  <c:v>46142</c:v>
                </c:pt>
                <c:pt idx="1517">
                  <c:v>46142</c:v>
                </c:pt>
                <c:pt idx="1518">
                  <c:v>46149</c:v>
                </c:pt>
                <c:pt idx="1519">
                  <c:v>46153</c:v>
                </c:pt>
                <c:pt idx="1520">
                  <c:v>46150</c:v>
                </c:pt>
                <c:pt idx="1521">
                  <c:v>46148</c:v>
                </c:pt>
                <c:pt idx="1522">
                  <c:v>46149</c:v>
                </c:pt>
                <c:pt idx="1523">
                  <c:v>46153</c:v>
                </c:pt>
                <c:pt idx="1524">
                  <c:v>46180</c:v>
                </c:pt>
                <c:pt idx="1526">
                  <c:v>46150</c:v>
                </c:pt>
                <c:pt idx="1527">
                  <c:v>46150</c:v>
                </c:pt>
                <c:pt idx="1528">
                  <c:v>46148</c:v>
                </c:pt>
                <c:pt idx="1529">
                  <c:v>46147</c:v>
                </c:pt>
                <c:pt idx="1530">
                  <c:v>46148</c:v>
                </c:pt>
                <c:pt idx="1531">
                  <c:v>46147</c:v>
                </c:pt>
                <c:pt idx="1532">
                  <c:v>46147</c:v>
                </c:pt>
                <c:pt idx="1533">
                  <c:v>46147</c:v>
                </c:pt>
                <c:pt idx="1534">
                  <c:v>46147</c:v>
                </c:pt>
                <c:pt idx="1535">
                  <c:v>46148</c:v>
                </c:pt>
                <c:pt idx="1536">
                  <c:v>46147</c:v>
                </c:pt>
                <c:pt idx="1537">
                  <c:v>46154</c:v>
                </c:pt>
                <c:pt idx="1538">
                  <c:v>46154</c:v>
                </c:pt>
                <c:pt idx="1539">
                  <c:v>46154</c:v>
                </c:pt>
                <c:pt idx="1540">
                  <c:v>46154</c:v>
                </c:pt>
                <c:pt idx="1541">
                  <c:v>46153</c:v>
                </c:pt>
                <c:pt idx="1542">
                  <c:v>46150</c:v>
                </c:pt>
                <c:pt idx="1543">
                  <c:v>46154</c:v>
                </c:pt>
                <c:pt idx="1544">
                  <c:v>46153</c:v>
                </c:pt>
                <c:pt idx="1545">
                  <c:v>46149</c:v>
                </c:pt>
                <c:pt idx="1546">
                  <c:v>46150</c:v>
                </c:pt>
                <c:pt idx="1547">
                  <c:v>46149</c:v>
                </c:pt>
                <c:pt idx="1548">
                  <c:v>46150</c:v>
                </c:pt>
                <c:pt idx="1549">
                  <c:v>46148</c:v>
                </c:pt>
                <c:pt idx="1550">
                  <c:v>46149</c:v>
                </c:pt>
                <c:pt idx="1551">
                  <c:v>46148</c:v>
                </c:pt>
                <c:pt idx="1552">
                  <c:v>46150</c:v>
                </c:pt>
                <c:pt idx="1553">
                  <c:v>46155</c:v>
                </c:pt>
                <c:pt idx="1554">
                  <c:v>46150</c:v>
                </c:pt>
                <c:pt idx="1555">
                  <c:v>46154</c:v>
                </c:pt>
                <c:pt idx="1556">
                  <c:v>46150</c:v>
                </c:pt>
                <c:pt idx="1557">
                  <c:v>46150</c:v>
                </c:pt>
                <c:pt idx="1558">
                  <c:v>46155</c:v>
                </c:pt>
                <c:pt idx="1559">
                  <c:v>46148</c:v>
                </c:pt>
                <c:pt idx="1560">
                  <c:v>46149</c:v>
                </c:pt>
                <c:pt idx="1561">
                  <c:v>46148</c:v>
                </c:pt>
                <c:pt idx="1562">
                  <c:v>46153</c:v>
                </c:pt>
                <c:pt idx="1563">
                  <c:v>46153</c:v>
                </c:pt>
                <c:pt idx="1564">
                  <c:v>46153</c:v>
                </c:pt>
                <c:pt idx="1565">
                  <c:v>46153</c:v>
                </c:pt>
                <c:pt idx="1566">
                  <c:v>46153</c:v>
                </c:pt>
                <c:pt idx="1567">
                  <c:v>46153</c:v>
                </c:pt>
                <c:pt idx="1568">
                  <c:v>46153</c:v>
                </c:pt>
                <c:pt idx="1569">
                  <c:v>46149</c:v>
                </c:pt>
                <c:pt idx="1570">
                  <c:v>46148</c:v>
                </c:pt>
                <c:pt idx="1571">
                  <c:v>46149</c:v>
                </c:pt>
                <c:pt idx="1572">
                  <c:v>46150</c:v>
                </c:pt>
                <c:pt idx="1573">
                  <c:v>46149</c:v>
                </c:pt>
                <c:pt idx="1574">
                  <c:v>46153</c:v>
                </c:pt>
                <c:pt idx="1575">
                  <c:v>46150</c:v>
                </c:pt>
                <c:pt idx="1576">
                  <c:v>46149</c:v>
                </c:pt>
                <c:pt idx="1577">
                  <c:v>46153</c:v>
                </c:pt>
                <c:pt idx="1578">
                  <c:v>46154</c:v>
                </c:pt>
                <c:pt idx="1579">
                  <c:v>46149</c:v>
                </c:pt>
                <c:pt idx="1580">
                  <c:v>46154</c:v>
                </c:pt>
                <c:pt idx="1581">
                  <c:v>46149</c:v>
                </c:pt>
                <c:pt idx="1582">
                  <c:v>46150</c:v>
                </c:pt>
                <c:pt idx="1583">
                  <c:v>46149</c:v>
                </c:pt>
                <c:pt idx="1584">
                  <c:v>46153</c:v>
                </c:pt>
                <c:pt idx="1585">
                  <c:v>46153</c:v>
                </c:pt>
                <c:pt idx="1586">
                  <c:v>46149</c:v>
                </c:pt>
                <c:pt idx="1587">
                  <c:v>46149</c:v>
                </c:pt>
                <c:pt idx="1588">
                  <c:v>46149</c:v>
                </c:pt>
                <c:pt idx="1589">
                  <c:v>46149</c:v>
                </c:pt>
                <c:pt idx="1590">
                  <c:v>46150</c:v>
                </c:pt>
                <c:pt idx="1591">
                  <c:v>46149</c:v>
                </c:pt>
                <c:pt idx="1592">
                  <c:v>46149</c:v>
                </c:pt>
                <c:pt idx="1593">
                  <c:v>46149</c:v>
                </c:pt>
                <c:pt idx="1594">
                  <c:v>46149</c:v>
                </c:pt>
                <c:pt idx="1595">
                  <c:v>46149</c:v>
                </c:pt>
                <c:pt idx="1596">
                  <c:v>46148</c:v>
                </c:pt>
                <c:pt idx="1597">
                  <c:v>46149</c:v>
                </c:pt>
                <c:pt idx="1598">
                  <c:v>46149</c:v>
                </c:pt>
                <c:pt idx="1599">
                  <c:v>46149</c:v>
                </c:pt>
                <c:pt idx="1600">
                  <c:v>46154</c:v>
                </c:pt>
                <c:pt idx="1601">
                  <c:v>46154</c:v>
                </c:pt>
                <c:pt idx="1602">
                  <c:v>46149</c:v>
                </c:pt>
                <c:pt idx="1603">
                  <c:v>46149</c:v>
                </c:pt>
                <c:pt idx="1604">
                  <c:v>46149</c:v>
                </c:pt>
                <c:pt idx="1605">
                  <c:v>46150</c:v>
                </c:pt>
                <c:pt idx="1606">
                  <c:v>46154</c:v>
                </c:pt>
                <c:pt idx="1607">
                  <c:v>46150</c:v>
                </c:pt>
                <c:pt idx="1608">
                  <c:v>46150</c:v>
                </c:pt>
                <c:pt idx="1609">
                  <c:v>46150</c:v>
                </c:pt>
                <c:pt idx="1610">
                  <c:v>46149</c:v>
                </c:pt>
                <c:pt idx="1611">
                  <c:v>46150</c:v>
                </c:pt>
                <c:pt idx="1612">
                  <c:v>46149</c:v>
                </c:pt>
                <c:pt idx="1613">
                  <c:v>46153</c:v>
                </c:pt>
                <c:pt idx="1614">
                  <c:v>46153</c:v>
                </c:pt>
                <c:pt idx="1615">
                  <c:v>46149</c:v>
                </c:pt>
                <c:pt idx="1616">
                  <c:v>46150</c:v>
                </c:pt>
                <c:pt idx="1617">
                  <c:v>46160</c:v>
                </c:pt>
                <c:pt idx="1618">
                  <c:v>46153</c:v>
                </c:pt>
                <c:pt idx="1619">
                  <c:v>46153</c:v>
                </c:pt>
                <c:pt idx="1620">
                  <c:v>46149</c:v>
                </c:pt>
                <c:pt idx="1621">
                  <c:v>46149</c:v>
                </c:pt>
                <c:pt idx="1622">
                  <c:v>46153</c:v>
                </c:pt>
                <c:pt idx="1623">
                  <c:v>46154</c:v>
                </c:pt>
                <c:pt idx="1624">
                  <c:v>46149</c:v>
                </c:pt>
                <c:pt idx="1625">
                  <c:v>46149</c:v>
                </c:pt>
                <c:pt idx="1626">
                  <c:v>46149</c:v>
                </c:pt>
                <c:pt idx="1627">
                  <c:v>46149</c:v>
                </c:pt>
                <c:pt idx="1628">
                  <c:v>46160</c:v>
                </c:pt>
                <c:pt idx="1629">
                  <c:v>46153</c:v>
                </c:pt>
                <c:pt idx="1630">
                  <c:v>46149</c:v>
                </c:pt>
                <c:pt idx="1631">
                  <c:v>46153</c:v>
                </c:pt>
                <c:pt idx="1632">
                  <c:v>46149</c:v>
                </c:pt>
                <c:pt idx="1633">
                  <c:v>46153</c:v>
                </c:pt>
                <c:pt idx="1634">
                  <c:v>46149</c:v>
                </c:pt>
                <c:pt idx="1635">
                  <c:v>46149</c:v>
                </c:pt>
                <c:pt idx="1636">
                  <c:v>46149</c:v>
                </c:pt>
                <c:pt idx="1637">
                  <c:v>46150</c:v>
                </c:pt>
                <c:pt idx="1638">
                  <c:v>46154</c:v>
                </c:pt>
                <c:pt idx="1639">
                  <c:v>46154</c:v>
                </c:pt>
                <c:pt idx="1640">
                  <c:v>46149</c:v>
                </c:pt>
                <c:pt idx="1641">
                  <c:v>46149</c:v>
                </c:pt>
                <c:pt idx="1642">
                  <c:v>46149</c:v>
                </c:pt>
                <c:pt idx="1643">
                  <c:v>46153</c:v>
                </c:pt>
                <c:pt idx="1644">
                  <c:v>46154</c:v>
                </c:pt>
                <c:pt idx="1645">
                  <c:v>46153</c:v>
                </c:pt>
                <c:pt idx="1646">
                  <c:v>46154</c:v>
                </c:pt>
                <c:pt idx="1647">
                  <c:v>46154</c:v>
                </c:pt>
                <c:pt idx="1648">
                  <c:v>46154</c:v>
                </c:pt>
                <c:pt idx="1649">
                  <c:v>46155</c:v>
                </c:pt>
                <c:pt idx="1650">
                  <c:v>46154</c:v>
                </c:pt>
                <c:pt idx="1651">
                  <c:v>46155</c:v>
                </c:pt>
                <c:pt idx="1652">
                  <c:v>46155</c:v>
                </c:pt>
                <c:pt idx="1653">
                  <c:v>46154</c:v>
                </c:pt>
                <c:pt idx="1654">
                  <c:v>46154</c:v>
                </c:pt>
                <c:pt idx="1655">
                  <c:v>46154</c:v>
                </c:pt>
                <c:pt idx="1656">
                  <c:v>46153</c:v>
                </c:pt>
                <c:pt idx="1657">
                  <c:v>46153</c:v>
                </c:pt>
                <c:pt idx="1658">
                  <c:v>46153</c:v>
                </c:pt>
                <c:pt idx="1659">
                  <c:v>46153</c:v>
                </c:pt>
                <c:pt idx="1660">
                  <c:v>46153</c:v>
                </c:pt>
                <c:pt idx="1661">
                  <c:v>46153</c:v>
                </c:pt>
                <c:pt idx="1662">
                  <c:v>46153</c:v>
                </c:pt>
                <c:pt idx="1663">
                  <c:v>46155</c:v>
                </c:pt>
                <c:pt idx="1664">
                  <c:v>46154</c:v>
                </c:pt>
                <c:pt idx="1665">
                  <c:v>46154</c:v>
                </c:pt>
                <c:pt idx="1666">
                  <c:v>46153</c:v>
                </c:pt>
                <c:pt idx="1667">
                  <c:v>46154</c:v>
                </c:pt>
                <c:pt idx="1668">
                  <c:v>46153</c:v>
                </c:pt>
                <c:pt idx="1669">
                  <c:v>46153</c:v>
                </c:pt>
                <c:pt idx="1670">
                  <c:v>46154</c:v>
                </c:pt>
                <c:pt idx="1671">
                  <c:v>46154</c:v>
                </c:pt>
                <c:pt idx="1672">
                  <c:v>46154</c:v>
                </c:pt>
                <c:pt idx="1673">
                  <c:v>46154</c:v>
                </c:pt>
                <c:pt idx="1674">
                  <c:v>46160</c:v>
                </c:pt>
                <c:pt idx="1675">
                  <c:v>46154</c:v>
                </c:pt>
                <c:pt idx="1676">
                  <c:v>46154</c:v>
                </c:pt>
                <c:pt idx="1677">
                  <c:v>46154</c:v>
                </c:pt>
                <c:pt idx="1678">
                  <c:v>46154</c:v>
                </c:pt>
                <c:pt idx="1679">
                  <c:v>46156</c:v>
                </c:pt>
                <c:pt idx="1680">
                  <c:v>46161</c:v>
                </c:pt>
                <c:pt idx="1681">
                  <c:v>46161</c:v>
                </c:pt>
                <c:pt idx="1682">
                  <c:v>46156</c:v>
                </c:pt>
                <c:pt idx="1683">
                  <c:v>46156</c:v>
                </c:pt>
                <c:pt idx="1684">
                  <c:v>46154</c:v>
                </c:pt>
                <c:pt idx="1685">
                  <c:v>46155</c:v>
                </c:pt>
                <c:pt idx="1686">
                  <c:v>46154</c:v>
                </c:pt>
                <c:pt idx="1687">
                  <c:v>46153</c:v>
                </c:pt>
                <c:pt idx="1688">
                  <c:v>46154</c:v>
                </c:pt>
                <c:pt idx="1689">
                  <c:v>46154</c:v>
                </c:pt>
                <c:pt idx="1690">
                  <c:v>46154</c:v>
                </c:pt>
                <c:pt idx="1691">
                  <c:v>46155</c:v>
                </c:pt>
                <c:pt idx="1692">
                  <c:v>46155</c:v>
                </c:pt>
                <c:pt idx="1693">
                  <c:v>46156</c:v>
                </c:pt>
                <c:pt idx="1694">
                  <c:v>46154</c:v>
                </c:pt>
                <c:pt idx="1695">
                  <c:v>46156</c:v>
                </c:pt>
                <c:pt idx="1696">
                  <c:v>46157</c:v>
                </c:pt>
                <c:pt idx="1697">
                  <c:v>46156</c:v>
                </c:pt>
                <c:pt idx="1698">
                  <c:v>46155</c:v>
                </c:pt>
                <c:pt idx="1699">
                  <c:v>46155</c:v>
                </c:pt>
                <c:pt idx="1700">
                  <c:v>46155</c:v>
                </c:pt>
                <c:pt idx="1701">
                  <c:v>46157</c:v>
                </c:pt>
                <c:pt idx="1702">
                  <c:v>46155</c:v>
                </c:pt>
                <c:pt idx="1703">
                  <c:v>46156</c:v>
                </c:pt>
                <c:pt idx="1704">
                  <c:v>46155</c:v>
                </c:pt>
                <c:pt idx="1705">
                  <c:v>46155</c:v>
                </c:pt>
                <c:pt idx="1706">
                  <c:v>46156</c:v>
                </c:pt>
                <c:pt idx="1707">
                  <c:v>46155</c:v>
                </c:pt>
                <c:pt idx="1708">
                  <c:v>46156</c:v>
                </c:pt>
                <c:pt idx="1709">
                  <c:v>46156</c:v>
                </c:pt>
                <c:pt idx="1710">
                  <c:v>46157</c:v>
                </c:pt>
                <c:pt idx="1711">
                  <c:v>46156</c:v>
                </c:pt>
                <c:pt idx="1712">
                  <c:v>46156</c:v>
                </c:pt>
                <c:pt idx="1713">
                  <c:v>46156</c:v>
                </c:pt>
                <c:pt idx="1714">
                  <c:v>46160</c:v>
                </c:pt>
                <c:pt idx="1715">
                  <c:v>46160</c:v>
                </c:pt>
                <c:pt idx="1716">
                  <c:v>46157</c:v>
                </c:pt>
                <c:pt idx="1717">
                  <c:v>46156</c:v>
                </c:pt>
                <c:pt idx="1718">
                  <c:v>46160</c:v>
                </c:pt>
                <c:pt idx="1719">
                  <c:v>46160</c:v>
                </c:pt>
                <c:pt idx="1720">
                  <c:v>46160</c:v>
                </c:pt>
                <c:pt idx="1721">
                  <c:v>46160</c:v>
                </c:pt>
                <c:pt idx="1722">
                  <c:v>46161</c:v>
                </c:pt>
                <c:pt idx="1723">
                  <c:v>46156</c:v>
                </c:pt>
                <c:pt idx="1724">
                  <c:v>46161</c:v>
                </c:pt>
                <c:pt idx="1725">
                  <c:v>46156</c:v>
                </c:pt>
                <c:pt idx="1726">
                  <c:v>46160</c:v>
                </c:pt>
                <c:pt idx="1727">
                  <c:v>46161</c:v>
                </c:pt>
                <c:pt idx="1728">
                  <c:v>46161</c:v>
                </c:pt>
                <c:pt idx="1729">
                  <c:v>46156</c:v>
                </c:pt>
                <c:pt idx="1730">
                  <c:v>46156</c:v>
                </c:pt>
                <c:pt idx="1731">
                  <c:v>46157</c:v>
                </c:pt>
                <c:pt idx="1732">
                  <c:v>46155</c:v>
                </c:pt>
                <c:pt idx="1733">
                  <c:v>46157</c:v>
                </c:pt>
                <c:pt idx="1734">
                  <c:v>46155</c:v>
                </c:pt>
                <c:pt idx="1735">
                  <c:v>46155</c:v>
                </c:pt>
                <c:pt idx="1736">
                  <c:v>46156</c:v>
                </c:pt>
                <c:pt idx="1737">
                  <c:v>46156</c:v>
                </c:pt>
                <c:pt idx="1738">
                  <c:v>46155</c:v>
                </c:pt>
                <c:pt idx="1739">
                  <c:v>46161</c:v>
                </c:pt>
                <c:pt idx="1740">
                  <c:v>46160</c:v>
                </c:pt>
                <c:pt idx="1741">
                  <c:v>46157</c:v>
                </c:pt>
                <c:pt idx="1742">
                  <c:v>46160</c:v>
                </c:pt>
                <c:pt idx="1743">
                  <c:v>46157</c:v>
                </c:pt>
                <c:pt idx="1744">
                  <c:v>46160</c:v>
                </c:pt>
                <c:pt idx="1745">
                  <c:v>46161</c:v>
                </c:pt>
                <c:pt idx="1746">
                  <c:v>46157</c:v>
                </c:pt>
                <c:pt idx="1747">
                  <c:v>46157</c:v>
                </c:pt>
                <c:pt idx="1748">
                  <c:v>46157</c:v>
                </c:pt>
                <c:pt idx="1749">
                  <c:v>46155</c:v>
                </c:pt>
                <c:pt idx="1750">
                  <c:v>46156</c:v>
                </c:pt>
                <c:pt idx="1751">
                  <c:v>46161</c:v>
                </c:pt>
                <c:pt idx="1753">
                  <c:v>46157</c:v>
                </c:pt>
                <c:pt idx="1754">
                  <c:v>46157</c:v>
                </c:pt>
                <c:pt idx="1755">
                  <c:v>46157</c:v>
                </c:pt>
                <c:pt idx="1756">
                  <c:v>46157</c:v>
                </c:pt>
                <c:pt idx="1757">
                  <c:v>46157</c:v>
                </c:pt>
                <c:pt idx="1759">
                  <c:v>46161</c:v>
                </c:pt>
                <c:pt idx="1760">
                  <c:v>46157</c:v>
                </c:pt>
                <c:pt idx="1761">
                  <c:v>46160</c:v>
                </c:pt>
                <c:pt idx="1762">
                  <c:v>46160</c:v>
                </c:pt>
                <c:pt idx="1763">
                  <c:v>46161</c:v>
                </c:pt>
                <c:pt idx="1764">
                  <c:v>46161</c:v>
                </c:pt>
                <c:pt idx="1765">
                  <c:v>46157</c:v>
                </c:pt>
                <c:pt idx="1766">
                  <c:v>46157</c:v>
                </c:pt>
                <c:pt idx="1767">
                  <c:v>46161</c:v>
                </c:pt>
                <c:pt idx="1768">
                  <c:v>46160</c:v>
                </c:pt>
                <c:pt idx="1769">
                  <c:v>46160</c:v>
                </c:pt>
                <c:pt idx="1770">
                  <c:v>46157</c:v>
                </c:pt>
                <c:pt idx="1771">
                  <c:v>46157</c:v>
                </c:pt>
                <c:pt idx="1772">
                  <c:v>46157</c:v>
                </c:pt>
                <c:pt idx="1773">
                  <c:v>46157</c:v>
                </c:pt>
                <c:pt idx="1774">
                  <c:v>46160</c:v>
                </c:pt>
                <c:pt idx="1775">
                  <c:v>46161</c:v>
                </c:pt>
                <c:pt idx="1776">
                  <c:v>46161</c:v>
                </c:pt>
                <c:pt idx="1777">
                  <c:v>46157</c:v>
                </c:pt>
                <c:pt idx="1778">
                  <c:v>46160</c:v>
                </c:pt>
                <c:pt idx="1779">
                  <c:v>46160</c:v>
                </c:pt>
                <c:pt idx="1780">
                  <c:v>46161</c:v>
                </c:pt>
                <c:pt idx="1781">
                  <c:v>46161</c:v>
                </c:pt>
                <c:pt idx="1782">
                  <c:v>46161</c:v>
                </c:pt>
                <c:pt idx="1783">
                  <c:v>46156</c:v>
                </c:pt>
                <c:pt idx="1784">
                  <c:v>46162</c:v>
                </c:pt>
                <c:pt idx="1785">
                  <c:v>46157</c:v>
                </c:pt>
                <c:pt idx="1786">
                  <c:v>46161</c:v>
                </c:pt>
                <c:pt idx="1787">
                  <c:v>46157</c:v>
                </c:pt>
                <c:pt idx="1788">
                  <c:v>46161</c:v>
                </c:pt>
                <c:pt idx="1789">
                  <c:v>46162</c:v>
                </c:pt>
                <c:pt idx="1790">
                  <c:v>46162</c:v>
                </c:pt>
                <c:pt idx="1791">
                  <c:v>46161</c:v>
                </c:pt>
                <c:pt idx="1792">
                  <c:v>46160</c:v>
                </c:pt>
                <c:pt idx="1793">
                  <c:v>46161</c:v>
                </c:pt>
                <c:pt idx="1794">
                  <c:v>46160</c:v>
                </c:pt>
                <c:pt idx="1795">
                  <c:v>46162</c:v>
                </c:pt>
                <c:pt idx="1796">
                  <c:v>46161</c:v>
                </c:pt>
                <c:pt idx="1797">
                  <c:v>46161</c:v>
                </c:pt>
                <c:pt idx="1798">
                  <c:v>46161</c:v>
                </c:pt>
                <c:pt idx="1799">
                  <c:v>46161</c:v>
                </c:pt>
                <c:pt idx="1800">
                  <c:v>46162</c:v>
                </c:pt>
                <c:pt idx="1801">
                  <c:v>46161</c:v>
                </c:pt>
                <c:pt idx="1802">
                  <c:v>46161</c:v>
                </c:pt>
                <c:pt idx="1803">
                  <c:v>46157</c:v>
                </c:pt>
                <c:pt idx="1804">
                  <c:v>46160</c:v>
                </c:pt>
                <c:pt idx="1805">
                  <c:v>46161</c:v>
                </c:pt>
                <c:pt idx="1806">
                  <c:v>46162</c:v>
                </c:pt>
                <c:pt idx="1807">
                  <c:v>46161</c:v>
                </c:pt>
                <c:pt idx="1808">
                  <c:v>46161</c:v>
                </c:pt>
                <c:pt idx="1809">
                  <c:v>46161</c:v>
                </c:pt>
                <c:pt idx="1811">
                  <c:v>46161</c:v>
                </c:pt>
                <c:pt idx="1812">
                  <c:v>46161</c:v>
                </c:pt>
                <c:pt idx="1813">
                  <c:v>46161</c:v>
                </c:pt>
                <c:pt idx="1815">
                  <c:v>46162</c:v>
                </c:pt>
                <c:pt idx="1816">
                  <c:v>46162</c:v>
                </c:pt>
                <c:pt idx="1817">
                  <c:v>46162</c:v>
                </c:pt>
                <c:pt idx="1818">
                  <c:v>46162</c:v>
                </c:pt>
                <c:pt idx="1836">
                  <c:v>46162</c:v>
                </c:pt>
                <c:pt idx="1837">
                  <c:v>46162</c:v>
                </c:pt>
                <c:pt idx="1838">
                  <c:v>46162</c:v>
                </c:pt>
                <c:pt idx="1840">
                  <c:v>46162</c:v>
                </c:pt>
                <c:pt idx="1841">
                  <c:v>46162</c:v>
                </c:pt>
                <c:pt idx="1842">
                  <c:v>46162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D3-4085-A09B-B89DD00D11D6}"/>
            </c:ext>
          </c:extLst>
        </c:ser>
        <c:ser>
          <c:idx val="13"/>
          <c:order val="13"/>
          <c:tx>
            <c:strRef>
              <c:f>'INVENTÁRIO 2026'!$N$2</c:f>
              <c:strCache>
                <c:ptCount val="1"/>
                <c:pt idx="0">
                  <c:v>ANALISTA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2026'!$N$3:$N$11861</c:f>
              <c:numCache>
                <c:formatCode>General</c:formatCode>
                <c:ptCount val="11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4">
                  <c:v>0</c:v>
                </c:pt>
                <c:pt idx="435">
                  <c:v>0</c:v>
                </c:pt>
                <c:pt idx="437">
                  <c:v>0</c:v>
                </c:pt>
                <c:pt idx="438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 formatCode="m/d/yyyy">
                  <c:v>0</c:v>
                </c:pt>
                <c:pt idx="511" formatCode="m/d/yyyy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 formatCode="m/d/yyyy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4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 formatCode="m/d/yyyy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3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4">
                  <c:v>0</c:v>
                </c:pt>
                <c:pt idx="1295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 formatCode="m/d/yyyy">
                  <c:v>0</c:v>
                </c:pt>
                <c:pt idx="1436" formatCode="m/d/yyyy">
                  <c:v>0</c:v>
                </c:pt>
                <c:pt idx="1437" formatCode="m/d/yyyy">
                  <c:v>0</c:v>
                </c:pt>
                <c:pt idx="1438" formatCode="m/d/yyyy">
                  <c:v>0</c:v>
                </c:pt>
                <c:pt idx="1439" formatCode="m/d/yyyy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D3-4085-A09B-B89DD00D11D6}"/>
            </c:ext>
          </c:extLst>
        </c:ser>
        <c:ser>
          <c:idx val="14"/>
          <c:order val="14"/>
          <c:tx>
            <c:strRef>
              <c:f>'INVENTÁRIO 2026'!$O$2</c:f>
              <c:strCache>
                <c:ptCount val="1"/>
                <c:pt idx="0">
                  <c:v>OBS: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'INVENTÁRIO 2026'!$O$3:$O$11861</c:f>
              <c:numCache>
                <c:formatCode>General</c:formatCode>
                <c:ptCount val="11859"/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66">
                  <c:v>0</c:v>
                </c:pt>
                <c:pt idx="157">
                  <c:v>0</c:v>
                </c:pt>
                <c:pt idx="158">
                  <c:v>0</c:v>
                </c:pt>
                <c:pt idx="189">
                  <c:v>0</c:v>
                </c:pt>
                <c:pt idx="207">
                  <c:v>0</c:v>
                </c:pt>
                <c:pt idx="238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89">
                  <c:v>0</c:v>
                </c:pt>
                <c:pt idx="326">
                  <c:v>0</c:v>
                </c:pt>
                <c:pt idx="329">
                  <c:v>0</c:v>
                </c:pt>
                <c:pt idx="556">
                  <c:v>0</c:v>
                </c:pt>
                <c:pt idx="562">
                  <c:v>0</c:v>
                </c:pt>
                <c:pt idx="571">
                  <c:v>0</c:v>
                </c:pt>
                <c:pt idx="728">
                  <c:v>0</c:v>
                </c:pt>
                <c:pt idx="729">
                  <c:v>0</c:v>
                </c:pt>
                <c:pt idx="780">
                  <c:v>0</c:v>
                </c:pt>
                <c:pt idx="782">
                  <c:v>0</c:v>
                </c:pt>
                <c:pt idx="804">
                  <c:v>0</c:v>
                </c:pt>
                <c:pt idx="818">
                  <c:v>0</c:v>
                </c:pt>
                <c:pt idx="851">
                  <c:v>0</c:v>
                </c:pt>
                <c:pt idx="919">
                  <c:v>0</c:v>
                </c:pt>
                <c:pt idx="1022">
                  <c:v>0</c:v>
                </c:pt>
                <c:pt idx="1064">
                  <c:v>0</c:v>
                </c:pt>
                <c:pt idx="1078">
                  <c:v>0</c:v>
                </c:pt>
                <c:pt idx="1094">
                  <c:v>0</c:v>
                </c:pt>
                <c:pt idx="1148">
                  <c:v>0</c:v>
                </c:pt>
                <c:pt idx="1315">
                  <c:v>0</c:v>
                </c:pt>
                <c:pt idx="1422">
                  <c:v>0</c:v>
                </c:pt>
                <c:pt idx="1484">
                  <c:v>0</c:v>
                </c:pt>
                <c:pt idx="1499">
                  <c:v>0</c:v>
                </c:pt>
                <c:pt idx="1515">
                  <c:v>0</c:v>
                </c:pt>
                <c:pt idx="1553">
                  <c:v>0</c:v>
                </c:pt>
                <c:pt idx="1558">
                  <c:v>0</c:v>
                </c:pt>
                <c:pt idx="1578">
                  <c:v>0</c:v>
                </c:pt>
                <c:pt idx="1733">
                  <c:v>0</c:v>
                </c:pt>
                <c:pt idx="17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D3-4085-A09B-B89DD00D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34208"/>
        <c:axId val="90635040"/>
      </c:barChart>
      <c:catAx>
        <c:axId val="9063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35040"/>
        <c:crosses val="autoZero"/>
        <c:auto val="1"/>
        <c:lblAlgn val="ctr"/>
        <c:lblOffset val="100"/>
        <c:noMultiLvlLbl val="0"/>
      </c:catAx>
      <c:valAx>
        <c:axId val="906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C93027-0040-41E3-8256-821A1A41A83D}">
  <sheetPr/>
  <sheetViews>
    <sheetView zoomScale="57" workbookViewId="0" zoomToFit="1"/>
  </sheetViews>
  <pageMargins left="0.511811024" right="0.511811024" top="0.78740157499999996" bottom="0.78740157499999996" header="0.31496062000000002" footer="0.31496062000000002"/>
  <pageSetup paperSize="9" orientation="portrait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2F13C2-3581-466D-A9FF-42790C8537E2}">
  <sheetPr/>
  <sheetViews>
    <sheetView zoomScale="86" workbookViewId="0" zoomToFit="1"/>
  </sheetViews>
  <pageMargins left="0.511811024" right="0.511811024" top="0.78740157499999996" bottom="0.78740157499999996" header="0.31496062000000002" footer="0.31496062000000002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B027FE-9EA2-4709-B709-915A4AD574B3}">
  <sheetPr/>
  <sheetViews>
    <sheetView zoomScale="57" workbookViewId="0" zoomToFit="1"/>
  </sheetViews>
  <pageMargins left="0.511811024" right="0.511811024" top="0.78740157499999996" bottom="0.78740157499999996" header="0.31496062000000002" footer="0.31496062000000002"/>
  <pageSetup paperSize="9" orientation="portrait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533816" cy="91239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B57315-AD57-499D-AAF2-120C0BA067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5756" cy="60361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6BCCC3-9A1D-4D69-8A39-279A1B3BD9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533816" cy="912394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6ABD12-615C-4DA4-AE60-9CA094A7C1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O11861" totalsRowShown="0" headerRowDxfId="16" dataDxfId="15">
  <autoFilter ref="A2:O11861" xr:uid="{00000000-000C-0000-FFFF-FFFF00000000}"/>
  <tableColumns count="15">
    <tableColumn id="2" xr3:uid="{00000000-0010-0000-0000-000002000000}" name="CREDOR/OBJETO" dataDxfId="14"/>
    <tableColumn id="3" xr3:uid="{00000000-0010-0000-0000-000003000000}" name="QUANT. ENTRADA" dataDxfId="13"/>
    <tableColumn id="4" xr3:uid="{00000000-0010-0000-0000-000004000000}" name="DATA" dataDxfId="12"/>
    <tableColumn id="5" xr3:uid="{00000000-0010-0000-0000-000005000000}" name="NÚMERO DE PROTOCOLO" dataDxfId="11"/>
    <tableColumn id="6" xr3:uid="{00000000-0010-0000-0000-000006000000}" name="ÓRGÃO" dataDxfId="10"/>
    <tableColumn id="7" xr3:uid="{00000000-0010-0000-0000-000007000000}" name="COMPETÊNCIA" dataDxfId="9"/>
    <tableColumn id="8" xr3:uid="{00000000-0010-0000-0000-000008000000}" name="TIPO DE PROCESSO" dataDxfId="8"/>
    <tableColumn id="9" xr3:uid="{00000000-0010-0000-0000-000009000000}" name="NOTA/FATURA" dataDxfId="7"/>
    <tableColumn id="10" xr3:uid="{00000000-0010-0000-0000-00000A000000}" name="FONTE" dataDxfId="6"/>
    <tableColumn id="16" xr3:uid="{00000000-0010-0000-0000-000010000000}" name="VALOR" dataDxfId="5" dataCellStyle="Moeda"/>
    <tableColumn id="11" xr3:uid="{00000000-0010-0000-0000-00000B000000}" name="DESTINO" dataDxfId="4"/>
    <tableColumn id="12" xr3:uid="{00000000-0010-0000-0000-00000C000000}" name="SITUAÇÃO" dataDxfId="3"/>
    <tableColumn id="14" xr3:uid="{00000000-0010-0000-0000-00000E000000}" name="DATA DE SAÍDA" dataDxfId="2" dataCellStyle="Normal"/>
    <tableColumn id="15" xr3:uid="{00000000-0010-0000-0000-00000F000000}" name="ANALISTA" dataDxfId="1"/>
    <tableColumn id="13" xr3:uid="{00000000-0010-0000-0000-00000D000000}" name="OBS: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866"/>
  <sheetViews>
    <sheetView tabSelected="1" zoomScale="80" zoomScaleNormal="80" workbookViewId="0">
      <pane xSplit="1" ySplit="2" topLeftCell="B1842" activePane="bottomRight" state="frozen"/>
      <selection pane="topRight" activeCell="B1" sqref="B1"/>
      <selection pane="bottomLeft" activeCell="A3" sqref="A3"/>
      <selection pane="bottomRight" activeCell="C1848" sqref="C1848"/>
    </sheetView>
  </sheetViews>
  <sheetFormatPr defaultRowHeight="15" x14ac:dyDescent="0.25"/>
  <cols>
    <col min="1" max="1" width="51" style="41" customWidth="1"/>
    <col min="2" max="2" width="17" style="1" customWidth="1"/>
    <col min="3" max="3" width="17" style="7" customWidth="1"/>
    <col min="4" max="4" width="20.28515625" style="1" customWidth="1"/>
    <col min="5" max="5" width="14.5703125" style="7" customWidth="1"/>
    <col min="6" max="6" width="18.5703125" style="1" customWidth="1"/>
    <col min="7" max="7" width="23.42578125" style="9" customWidth="1"/>
    <col min="8" max="8" width="30" style="7" customWidth="1"/>
    <col min="9" max="9" width="15.42578125" style="18" customWidth="1"/>
    <col min="10" max="10" width="15.7109375" style="10" customWidth="1"/>
    <col min="11" max="11" width="15.5703125" style="7" customWidth="1"/>
    <col min="12" max="12" width="37.28515625" style="7" customWidth="1"/>
    <col min="13" max="13" width="21.5703125" style="34" bestFit="1" customWidth="1"/>
    <col min="14" max="14" width="26.85546875" style="7" customWidth="1"/>
    <col min="15" max="15" width="49.5703125" style="7" customWidth="1"/>
    <col min="16" max="16" width="9.140625" style="7"/>
    <col min="17" max="17" width="19.5703125" style="7" customWidth="1"/>
    <col min="18" max="18" width="32.140625" style="7" customWidth="1"/>
    <col min="19" max="19" width="15.85546875" style="7" customWidth="1"/>
    <col min="20" max="20" width="25.140625" style="7" customWidth="1"/>
    <col min="21" max="21" width="19.42578125" style="7" customWidth="1"/>
    <col min="22" max="16384" width="9.140625" style="7"/>
  </cols>
  <sheetData>
    <row r="1" spans="1:21" ht="9.75" customHeight="1" x14ac:dyDescent="0.25"/>
    <row r="2" spans="1:21" s="1" customFormat="1" ht="50.25" customHeight="1" thickBot="1" x14ac:dyDescent="0.3">
      <c r="A2" s="77" t="s">
        <v>51</v>
      </c>
      <c r="B2" s="36" t="s">
        <v>10</v>
      </c>
      <c r="C2" s="49" t="s">
        <v>103</v>
      </c>
      <c r="D2" s="36" t="s">
        <v>3</v>
      </c>
      <c r="E2" s="35" t="s">
        <v>4</v>
      </c>
      <c r="F2" s="35" t="s">
        <v>87</v>
      </c>
      <c r="G2" s="36" t="s">
        <v>5</v>
      </c>
      <c r="H2" s="36" t="s">
        <v>6</v>
      </c>
      <c r="I2" s="59" t="s">
        <v>0</v>
      </c>
      <c r="J2" s="37" t="s">
        <v>61</v>
      </c>
      <c r="K2" s="35" t="s">
        <v>86</v>
      </c>
      <c r="L2" s="35" t="s">
        <v>1</v>
      </c>
      <c r="M2" s="50" t="s">
        <v>8</v>
      </c>
      <c r="N2" s="1" t="s">
        <v>9</v>
      </c>
      <c r="O2" s="1" t="s">
        <v>60</v>
      </c>
      <c r="P2" s="4" t="s">
        <v>4</v>
      </c>
      <c r="Q2" s="5" t="s">
        <v>87</v>
      </c>
      <c r="R2" s="6" t="s">
        <v>5</v>
      </c>
      <c r="S2" s="5" t="s">
        <v>7</v>
      </c>
      <c r="T2" s="2" t="s">
        <v>1</v>
      </c>
      <c r="U2" s="3" t="s">
        <v>9</v>
      </c>
    </row>
    <row r="3" spans="1:21" ht="28.5" customHeight="1" thickTop="1" x14ac:dyDescent="0.25">
      <c r="A3" s="41" t="s">
        <v>102</v>
      </c>
      <c r="B3" s="1">
        <v>2</v>
      </c>
      <c r="C3" s="8">
        <v>45665</v>
      </c>
      <c r="D3" s="1" t="s">
        <v>100</v>
      </c>
      <c r="E3" s="7" t="s">
        <v>13</v>
      </c>
      <c r="F3" s="1" t="s">
        <v>23</v>
      </c>
      <c r="G3" s="9" t="s">
        <v>63</v>
      </c>
      <c r="H3" s="7" t="s">
        <v>74</v>
      </c>
      <c r="I3" s="18" t="s">
        <v>95</v>
      </c>
      <c r="J3" s="10" t="s">
        <v>61</v>
      </c>
      <c r="K3" s="7" t="s">
        <v>13</v>
      </c>
      <c r="L3" s="7" t="s">
        <v>55</v>
      </c>
      <c r="M3" s="34">
        <v>45665</v>
      </c>
      <c r="N3" s="7" t="s">
        <v>64</v>
      </c>
      <c r="P3" s="7" t="s">
        <v>12</v>
      </c>
      <c r="Q3" s="7" t="s">
        <v>24</v>
      </c>
      <c r="R3" s="7" t="s">
        <v>38</v>
      </c>
      <c r="S3" s="7" t="s">
        <v>12</v>
      </c>
      <c r="T3" s="9" t="s">
        <v>53</v>
      </c>
      <c r="U3" s="7" t="s">
        <v>43</v>
      </c>
    </row>
    <row r="4" spans="1:21" ht="30" customHeight="1" x14ac:dyDescent="0.25">
      <c r="A4" s="41" t="s">
        <v>79</v>
      </c>
      <c r="B4" s="1">
        <v>1</v>
      </c>
      <c r="C4" s="8">
        <v>45663</v>
      </c>
      <c r="D4" s="1" t="s">
        <v>98</v>
      </c>
      <c r="E4" s="7" t="s">
        <v>13</v>
      </c>
      <c r="F4" s="1" t="s">
        <v>23</v>
      </c>
      <c r="G4" s="9" t="s">
        <v>63</v>
      </c>
      <c r="H4" s="7" t="s">
        <v>74</v>
      </c>
      <c r="I4" s="18" t="s">
        <v>97</v>
      </c>
      <c r="J4" s="10" t="s">
        <v>61</v>
      </c>
      <c r="K4" s="7" t="s">
        <v>17</v>
      </c>
      <c r="L4" s="7" t="s">
        <v>55</v>
      </c>
      <c r="M4" s="34">
        <v>45664</v>
      </c>
      <c r="N4" s="7" t="s">
        <v>92</v>
      </c>
      <c r="P4" s="7" t="s">
        <v>13</v>
      </c>
      <c r="Q4" s="7" t="s">
        <v>25</v>
      </c>
      <c r="R4" s="7" t="s">
        <v>36</v>
      </c>
      <c r="S4" s="7" t="s">
        <v>13</v>
      </c>
      <c r="T4" s="9" t="s">
        <v>40</v>
      </c>
      <c r="U4" s="7" t="s">
        <v>41</v>
      </c>
    </row>
    <row r="5" spans="1:21" x14ac:dyDescent="0.25">
      <c r="A5" s="41" t="s">
        <v>96</v>
      </c>
      <c r="B5" s="1">
        <v>1</v>
      </c>
      <c r="C5" s="8">
        <v>45663</v>
      </c>
      <c r="D5" s="1" t="s">
        <v>99</v>
      </c>
      <c r="E5" s="7" t="s">
        <v>13</v>
      </c>
      <c r="F5" s="1" t="s">
        <v>23</v>
      </c>
      <c r="G5" s="9" t="s">
        <v>63</v>
      </c>
      <c r="H5" s="7" t="s">
        <v>74</v>
      </c>
      <c r="I5" s="18" t="s">
        <v>104</v>
      </c>
      <c r="J5" s="10" t="s">
        <v>61</v>
      </c>
      <c r="K5" s="7" t="s">
        <v>17</v>
      </c>
      <c r="L5" s="7" t="s">
        <v>55</v>
      </c>
      <c r="M5" s="34">
        <v>45666</v>
      </c>
      <c r="N5" s="7" t="s">
        <v>92</v>
      </c>
      <c r="P5" s="7" t="s">
        <v>14</v>
      </c>
      <c r="Q5" s="7" t="s">
        <v>26</v>
      </c>
      <c r="R5" s="7" t="s">
        <v>50</v>
      </c>
      <c r="S5" s="7" t="s">
        <v>14</v>
      </c>
      <c r="T5" s="9" t="s">
        <v>54</v>
      </c>
      <c r="U5" s="7" t="s">
        <v>44</v>
      </c>
    </row>
    <row r="6" spans="1:21" x14ac:dyDescent="0.25">
      <c r="A6" s="41" t="s">
        <v>106</v>
      </c>
      <c r="B6" s="1">
        <v>1</v>
      </c>
      <c r="C6" s="8">
        <v>45663</v>
      </c>
      <c r="D6" s="1" t="s">
        <v>105</v>
      </c>
      <c r="E6" s="7" t="s">
        <v>82</v>
      </c>
      <c r="F6" s="1" t="s">
        <v>23</v>
      </c>
      <c r="G6" s="9" t="s">
        <v>37</v>
      </c>
      <c r="H6" s="7" t="s">
        <v>74</v>
      </c>
      <c r="I6" s="18" t="s">
        <v>0</v>
      </c>
      <c r="J6" s="10" t="s">
        <v>61</v>
      </c>
      <c r="K6" s="7" t="s">
        <v>22</v>
      </c>
      <c r="L6" s="7" t="s">
        <v>55</v>
      </c>
      <c r="M6" s="34">
        <v>45666</v>
      </c>
      <c r="N6" s="7" t="s">
        <v>91</v>
      </c>
      <c r="P6" s="7" t="s">
        <v>15</v>
      </c>
      <c r="Q6" s="7" t="s">
        <v>27</v>
      </c>
      <c r="R6" s="7" t="s">
        <v>89</v>
      </c>
      <c r="S6" s="7" t="s">
        <v>15</v>
      </c>
      <c r="T6" s="9" t="s">
        <v>55</v>
      </c>
      <c r="U6" s="7" t="s">
        <v>46</v>
      </c>
    </row>
    <row r="7" spans="1:21" ht="30" customHeight="1" x14ac:dyDescent="0.25">
      <c r="A7" s="41" t="s">
        <v>107</v>
      </c>
      <c r="B7" s="1">
        <v>1</v>
      </c>
      <c r="C7" s="8">
        <v>45663</v>
      </c>
      <c r="D7" s="1" t="s">
        <v>108</v>
      </c>
      <c r="E7" s="7" t="s">
        <v>2</v>
      </c>
      <c r="F7" s="1" t="s">
        <v>23</v>
      </c>
      <c r="G7" s="9" t="s">
        <v>37</v>
      </c>
      <c r="H7" s="7" t="s">
        <v>74</v>
      </c>
      <c r="I7" s="18" t="s">
        <v>0</v>
      </c>
      <c r="J7" s="10">
        <v>9168</v>
      </c>
      <c r="K7" s="7" t="s">
        <v>22</v>
      </c>
      <c r="L7" s="7" t="s">
        <v>55</v>
      </c>
      <c r="M7" s="34">
        <v>45670</v>
      </c>
      <c r="N7" s="7" t="s">
        <v>45</v>
      </c>
      <c r="P7" s="7" t="s">
        <v>16</v>
      </c>
      <c r="Q7" s="7" t="s">
        <v>29</v>
      </c>
      <c r="R7" s="7" t="s">
        <v>48</v>
      </c>
      <c r="S7" s="7" t="s">
        <v>16</v>
      </c>
      <c r="T7" s="9" t="s">
        <v>59</v>
      </c>
      <c r="U7" s="7" t="s">
        <v>45</v>
      </c>
    </row>
    <row r="8" spans="1:21" ht="45" customHeight="1" x14ac:dyDescent="0.25">
      <c r="A8" s="41" t="s">
        <v>112</v>
      </c>
      <c r="B8" s="1">
        <v>1</v>
      </c>
      <c r="C8" s="8">
        <v>45664</v>
      </c>
      <c r="D8" s="1" t="s">
        <v>109</v>
      </c>
      <c r="E8" s="7" t="s">
        <v>13</v>
      </c>
      <c r="F8" s="1" t="s">
        <v>23</v>
      </c>
      <c r="G8" s="9" t="s">
        <v>35</v>
      </c>
      <c r="H8" s="7" t="s">
        <v>74</v>
      </c>
      <c r="I8" s="18">
        <v>16000000</v>
      </c>
      <c r="J8" s="10">
        <v>235000</v>
      </c>
      <c r="K8" s="7" t="s">
        <v>13</v>
      </c>
      <c r="L8" s="7" t="s">
        <v>54</v>
      </c>
      <c r="M8" s="34">
        <v>45664</v>
      </c>
      <c r="N8" s="7" t="s">
        <v>41</v>
      </c>
      <c r="O8" s="7" t="s">
        <v>111</v>
      </c>
      <c r="P8" s="7" t="s">
        <v>56</v>
      </c>
      <c r="Q8" s="7" t="s">
        <v>28</v>
      </c>
      <c r="R8" s="7" t="s">
        <v>49</v>
      </c>
      <c r="S8" s="7" t="s">
        <v>56</v>
      </c>
      <c r="T8" s="7" t="s">
        <v>67</v>
      </c>
      <c r="U8" s="7" t="s">
        <v>42</v>
      </c>
    </row>
    <row r="9" spans="1:21" x14ac:dyDescent="0.25">
      <c r="A9" s="41" t="s">
        <v>112</v>
      </c>
      <c r="B9" s="1">
        <v>1</v>
      </c>
      <c r="C9" s="8">
        <v>45664</v>
      </c>
      <c r="D9" s="1" t="s">
        <v>110</v>
      </c>
      <c r="E9" s="7" t="s">
        <v>13</v>
      </c>
      <c r="F9" s="1" t="s">
        <v>23</v>
      </c>
      <c r="G9" s="9" t="s">
        <v>35</v>
      </c>
      <c r="H9" s="7" t="s">
        <v>74</v>
      </c>
      <c r="I9" s="18">
        <v>15010000</v>
      </c>
      <c r="J9" s="10">
        <v>1190062.3799999999</v>
      </c>
      <c r="K9" s="7" t="s">
        <v>13</v>
      </c>
      <c r="L9" s="7" t="s">
        <v>54</v>
      </c>
      <c r="M9" s="34">
        <v>45664</v>
      </c>
      <c r="N9" s="7" t="s">
        <v>41</v>
      </c>
      <c r="O9" s="7" t="s">
        <v>111</v>
      </c>
      <c r="P9" s="7" t="s">
        <v>2</v>
      </c>
      <c r="Q9" s="7" t="s">
        <v>30</v>
      </c>
      <c r="R9" s="7" t="s">
        <v>47</v>
      </c>
      <c r="S9" s="7" t="s">
        <v>2</v>
      </c>
      <c r="U9" s="7" t="s">
        <v>57</v>
      </c>
    </row>
    <row r="10" spans="1:21" ht="45" customHeight="1" x14ac:dyDescent="0.25">
      <c r="A10" s="41" t="s">
        <v>112</v>
      </c>
      <c r="B10" s="1">
        <v>2</v>
      </c>
      <c r="C10" s="8">
        <v>45671</v>
      </c>
      <c r="D10" s="1" t="s">
        <v>342</v>
      </c>
      <c r="E10" s="7" t="s">
        <v>13</v>
      </c>
      <c r="F10" s="1" t="s">
        <v>23</v>
      </c>
      <c r="G10" s="9" t="s">
        <v>63</v>
      </c>
      <c r="H10" s="7" t="s">
        <v>74</v>
      </c>
      <c r="I10" s="18" t="s">
        <v>113</v>
      </c>
      <c r="J10" s="10" t="s">
        <v>61</v>
      </c>
      <c r="K10" s="7" t="s">
        <v>17</v>
      </c>
      <c r="L10" s="7" t="s">
        <v>55</v>
      </c>
      <c r="M10" s="34">
        <v>46037</v>
      </c>
      <c r="N10" s="7" t="s">
        <v>64</v>
      </c>
      <c r="O10" s="7" t="s">
        <v>343</v>
      </c>
      <c r="P10" s="7" t="s">
        <v>17</v>
      </c>
      <c r="Q10" s="7" t="s">
        <v>31</v>
      </c>
      <c r="R10" s="7" t="s">
        <v>88</v>
      </c>
      <c r="S10" s="7" t="s">
        <v>17</v>
      </c>
      <c r="U10" s="7" t="s">
        <v>52</v>
      </c>
    </row>
    <row r="11" spans="1:21" ht="45" customHeight="1" x14ac:dyDescent="0.25">
      <c r="A11" s="41" t="s">
        <v>115</v>
      </c>
      <c r="B11" s="1">
        <v>1</v>
      </c>
      <c r="C11" s="8">
        <v>45664</v>
      </c>
      <c r="D11" s="1" t="s">
        <v>114</v>
      </c>
      <c r="E11" s="7" t="s">
        <v>2</v>
      </c>
      <c r="F11" s="1" t="s">
        <v>23</v>
      </c>
      <c r="G11" s="9" t="s">
        <v>38</v>
      </c>
      <c r="H11" s="7" t="s">
        <v>74</v>
      </c>
      <c r="I11" s="18" t="s">
        <v>0</v>
      </c>
      <c r="J11" s="10" t="s">
        <v>61</v>
      </c>
      <c r="K11" s="7" t="s">
        <v>2</v>
      </c>
      <c r="L11" s="7" t="s">
        <v>40</v>
      </c>
      <c r="M11" s="34">
        <v>45664</v>
      </c>
      <c r="N11" s="41" t="s">
        <v>45</v>
      </c>
      <c r="P11" s="7" t="s">
        <v>18</v>
      </c>
      <c r="Q11" s="7" t="s">
        <v>32</v>
      </c>
      <c r="R11" s="7" t="s">
        <v>37</v>
      </c>
      <c r="S11" s="7" t="s">
        <v>18</v>
      </c>
      <c r="U11" s="7" t="s">
        <v>62</v>
      </c>
    </row>
    <row r="12" spans="1:21" ht="45" customHeight="1" x14ac:dyDescent="0.25">
      <c r="A12" s="41" t="s">
        <v>124</v>
      </c>
      <c r="B12" s="1">
        <v>2</v>
      </c>
      <c r="C12" s="8">
        <v>45974</v>
      </c>
      <c r="D12" s="1" t="s">
        <v>116</v>
      </c>
      <c r="E12" s="7" t="s">
        <v>94</v>
      </c>
      <c r="F12" s="1" t="s">
        <v>23</v>
      </c>
      <c r="G12" s="9" t="s">
        <v>76</v>
      </c>
      <c r="H12" s="7" t="s">
        <v>74</v>
      </c>
      <c r="I12" s="18" t="s">
        <v>0</v>
      </c>
      <c r="J12" s="10" t="s">
        <v>61</v>
      </c>
      <c r="K12" s="7" t="s">
        <v>21</v>
      </c>
      <c r="L12" s="7" t="s">
        <v>40</v>
      </c>
      <c r="M12" s="34">
        <v>45975</v>
      </c>
      <c r="N12" s="7" t="s">
        <v>45</v>
      </c>
      <c r="P12" s="7" t="s">
        <v>19</v>
      </c>
      <c r="Q12" s="7" t="s">
        <v>33</v>
      </c>
      <c r="R12" s="7" t="s">
        <v>35</v>
      </c>
      <c r="S12" s="7" t="s">
        <v>19</v>
      </c>
      <c r="U12" s="7" t="s">
        <v>64</v>
      </c>
    </row>
    <row r="13" spans="1:21" ht="39.75" customHeight="1" x14ac:dyDescent="0.25">
      <c r="A13" s="41" t="s">
        <v>118</v>
      </c>
      <c r="B13" s="1">
        <v>1</v>
      </c>
      <c r="C13" s="8">
        <v>45665</v>
      </c>
      <c r="D13" s="1" t="s">
        <v>117</v>
      </c>
      <c r="E13" s="7" t="s">
        <v>14</v>
      </c>
      <c r="F13" s="1" t="s">
        <v>23</v>
      </c>
      <c r="H13" s="7" t="s">
        <v>74</v>
      </c>
      <c r="I13" s="18">
        <v>15000000</v>
      </c>
      <c r="J13" s="10" t="s">
        <v>61</v>
      </c>
      <c r="K13" s="7" t="s">
        <v>17</v>
      </c>
      <c r="L13" s="7" t="s">
        <v>55</v>
      </c>
      <c r="M13" s="34">
        <v>45669</v>
      </c>
      <c r="N13" s="7" t="s">
        <v>91</v>
      </c>
      <c r="P13" s="7" t="s">
        <v>11</v>
      </c>
      <c r="Q13" s="7" t="s">
        <v>23</v>
      </c>
      <c r="R13" s="7" t="s">
        <v>39</v>
      </c>
      <c r="S13" s="7" t="s">
        <v>11</v>
      </c>
      <c r="U13" s="7" t="s">
        <v>70</v>
      </c>
    </row>
    <row r="14" spans="1:21" ht="45" customHeight="1" x14ac:dyDescent="0.25">
      <c r="A14" s="41" t="s">
        <v>123</v>
      </c>
      <c r="B14" s="1">
        <v>1</v>
      </c>
      <c r="C14" s="8">
        <v>45662</v>
      </c>
      <c r="D14" s="1" t="s">
        <v>119</v>
      </c>
      <c r="E14" s="7" t="s">
        <v>13</v>
      </c>
      <c r="F14" s="1" t="s">
        <v>23</v>
      </c>
      <c r="G14" s="9" t="s">
        <v>84</v>
      </c>
      <c r="H14" s="7" t="s">
        <v>74</v>
      </c>
      <c r="I14" s="18" t="s">
        <v>0</v>
      </c>
      <c r="J14" s="10" t="s">
        <v>61</v>
      </c>
      <c r="K14" s="7" t="s">
        <v>22</v>
      </c>
      <c r="L14" s="7" t="s">
        <v>55</v>
      </c>
      <c r="M14" s="34">
        <v>45666</v>
      </c>
      <c r="N14" s="7" t="s">
        <v>120</v>
      </c>
      <c r="P14" s="7" t="s">
        <v>20</v>
      </c>
      <c r="Q14" s="7" t="s">
        <v>34</v>
      </c>
      <c r="R14" s="7" t="s">
        <v>63</v>
      </c>
      <c r="S14" s="7" t="s">
        <v>20</v>
      </c>
      <c r="U14" s="7" t="s">
        <v>77</v>
      </c>
    </row>
    <row r="15" spans="1:21" x14ac:dyDescent="0.25">
      <c r="A15" s="41" t="s">
        <v>122</v>
      </c>
      <c r="B15" s="1">
        <v>2</v>
      </c>
      <c r="C15" s="8">
        <v>45666</v>
      </c>
      <c r="D15" s="1" t="s">
        <v>121</v>
      </c>
      <c r="E15" s="7" t="s">
        <v>13</v>
      </c>
      <c r="F15" s="1" t="s">
        <v>23</v>
      </c>
      <c r="G15" s="9" t="s">
        <v>63</v>
      </c>
      <c r="H15" s="7" t="s">
        <v>74</v>
      </c>
      <c r="I15" s="18" t="s">
        <v>125</v>
      </c>
      <c r="J15" s="10" t="s">
        <v>61</v>
      </c>
      <c r="K15" s="7" t="s">
        <v>13</v>
      </c>
      <c r="L15" s="7" t="s">
        <v>55</v>
      </c>
      <c r="M15" s="34">
        <v>45670</v>
      </c>
      <c r="N15" s="7" t="s">
        <v>91</v>
      </c>
      <c r="P15" s="7" t="s">
        <v>21</v>
      </c>
      <c r="R15" s="7" t="s">
        <v>66</v>
      </c>
      <c r="S15" s="7" t="s">
        <v>58</v>
      </c>
      <c r="U15" s="7" t="s">
        <v>91</v>
      </c>
    </row>
    <row r="16" spans="1:21" x14ac:dyDescent="0.25">
      <c r="A16" s="41" t="s">
        <v>126</v>
      </c>
      <c r="B16" s="1">
        <v>2</v>
      </c>
      <c r="C16" s="8">
        <v>45666</v>
      </c>
      <c r="D16" s="1" t="s">
        <v>127</v>
      </c>
      <c r="E16" s="7" t="s">
        <v>2</v>
      </c>
      <c r="F16" s="1" t="s">
        <v>23</v>
      </c>
      <c r="G16" s="9" t="s">
        <v>63</v>
      </c>
      <c r="H16" s="7" t="s">
        <v>74</v>
      </c>
      <c r="I16" s="18" t="s">
        <v>0</v>
      </c>
      <c r="J16" s="10" t="s">
        <v>61</v>
      </c>
      <c r="K16" s="7" t="s">
        <v>17</v>
      </c>
      <c r="L16" s="7" t="s">
        <v>55</v>
      </c>
      <c r="M16" s="34">
        <v>46038</v>
      </c>
      <c r="N16" s="7" t="s">
        <v>46</v>
      </c>
      <c r="P16" s="7" t="s">
        <v>22</v>
      </c>
      <c r="R16" s="7" t="s">
        <v>68</v>
      </c>
      <c r="S16" s="7" t="s">
        <v>22</v>
      </c>
      <c r="U16" s="7" t="s">
        <v>92</v>
      </c>
    </row>
    <row r="17" spans="1:21" x14ac:dyDescent="0.25">
      <c r="C17" s="8"/>
      <c r="F17" s="1" t="s">
        <v>23</v>
      </c>
      <c r="G17" s="11"/>
      <c r="P17" s="7" t="s">
        <v>82</v>
      </c>
      <c r="R17" s="7" t="s">
        <v>73</v>
      </c>
      <c r="S17" s="7" t="s">
        <v>21</v>
      </c>
      <c r="U17" s="7" t="s">
        <v>774</v>
      </c>
    </row>
    <row r="18" spans="1:21" x14ac:dyDescent="0.25">
      <c r="A18" s="41" t="s">
        <v>128</v>
      </c>
      <c r="B18" s="1">
        <v>2</v>
      </c>
      <c r="C18" s="8">
        <v>45670</v>
      </c>
      <c r="D18" s="1" t="s">
        <v>129</v>
      </c>
      <c r="E18" s="7" t="s">
        <v>13</v>
      </c>
      <c r="F18" s="1" t="s">
        <v>23</v>
      </c>
      <c r="G18" s="9" t="s">
        <v>35</v>
      </c>
      <c r="H18" s="7">
        <v>573</v>
      </c>
      <c r="I18" s="18">
        <v>16000000</v>
      </c>
      <c r="J18" s="10">
        <v>16520</v>
      </c>
      <c r="K18" s="7" t="s">
        <v>13</v>
      </c>
      <c r="L18" s="7" t="s">
        <v>54</v>
      </c>
      <c r="M18" s="34">
        <v>45670</v>
      </c>
      <c r="N18" s="7" t="s">
        <v>41</v>
      </c>
      <c r="O18" s="7" t="s">
        <v>180</v>
      </c>
      <c r="P18" s="7" t="s">
        <v>83</v>
      </c>
      <c r="R18" s="7" t="s">
        <v>76</v>
      </c>
      <c r="S18" s="7" t="s">
        <v>71</v>
      </c>
      <c r="U18" s="7" t="s">
        <v>2525</v>
      </c>
    </row>
    <row r="19" spans="1:21" x14ac:dyDescent="0.25">
      <c r="A19" s="41" t="s">
        <v>130</v>
      </c>
      <c r="B19" s="1">
        <v>1</v>
      </c>
      <c r="C19" s="8">
        <v>45973</v>
      </c>
      <c r="D19" s="1" t="s">
        <v>131</v>
      </c>
      <c r="E19" s="7" t="s">
        <v>13</v>
      </c>
      <c r="F19" s="1" t="s">
        <v>23</v>
      </c>
      <c r="G19" s="9" t="s">
        <v>35</v>
      </c>
      <c r="H19" s="7">
        <v>347</v>
      </c>
      <c r="I19" s="18">
        <v>15001002</v>
      </c>
      <c r="J19" s="10">
        <v>10360</v>
      </c>
      <c r="K19" s="7" t="s">
        <v>13</v>
      </c>
      <c r="L19" s="7" t="s">
        <v>40</v>
      </c>
      <c r="M19" s="34">
        <v>45669</v>
      </c>
      <c r="N19" s="7" t="s">
        <v>41</v>
      </c>
      <c r="O19" s="7" t="s">
        <v>180</v>
      </c>
      <c r="P19" s="7" t="s">
        <v>78</v>
      </c>
      <c r="R19" s="7" t="s">
        <v>75</v>
      </c>
      <c r="S19" s="7" t="s">
        <v>72</v>
      </c>
    </row>
    <row r="20" spans="1:21" x14ac:dyDescent="0.25">
      <c r="A20" s="41" t="s">
        <v>132</v>
      </c>
      <c r="B20" s="1">
        <v>2</v>
      </c>
      <c r="C20" s="8">
        <v>45670</v>
      </c>
      <c r="D20" s="1" t="s">
        <v>133</v>
      </c>
      <c r="E20" s="7" t="s">
        <v>13</v>
      </c>
      <c r="F20" s="1" t="s">
        <v>23</v>
      </c>
      <c r="G20" s="9" t="s">
        <v>35</v>
      </c>
      <c r="H20" s="7">
        <v>4728</v>
      </c>
      <c r="I20" s="18">
        <v>15001002</v>
      </c>
      <c r="J20" s="10">
        <v>7080</v>
      </c>
      <c r="K20" s="7" t="s">
        <v>13</v>
      </c>
      <c r="L20" s="7" t="s">
        <v>54</v>
      </c>
      <c r="M20" s="34">
        <v>45670</v>
      </c>
      <c r="N20" s="7" t="s">
        <v>41</v>
      </c>
      <c r="O20" s="7" t="s">
        <v>180</v>
      </c>
      <c r="P20" s="7" t="s">
        <v>93</v>
      </c>
      <c r="R20" s="7" t="s">
        <v>80</v>
      </c>
      <c r="S20" s="7" t="s">
        <v>85</v>
      </c>
    </row>
    <row r="21" spans="1:21" x14ac:dyDescent="0.25">
      <c r="A21" s="41" t="s">
        <v>134</v>
      </c>
      <c r="B21" s="1">
        <v>1</v>
      </c>
      <c r="C21" s="8">
        <v>45973</v>
      </c>
      <c r="D21" s="1" t="s">
        <v>143</v>
      </c>
      <c r="E21" s="7" t="s">
        <v>13</v>
      </c>
      <c r="F21" s="1" t="s">
        <v>23</v>
      </c>
      <c r="G21" s="9" t="s">
        <v>35</v>
      </c>
      <c r="H21" s="7">
        <v>1383</v>
      </c>
      <c r="I21" s="18">
        <v>16000000</v>
      </c>
      <c r="J21" s="10">
        <v>18850</v>
      </c>
      <c r="K21" s="7" t="s">
        <v>13</v>
      </c>
      <c r="L21" s="7" t="s">
        <v>54</v>
      </c>
      <c r="M21" s="34">
        <v>46051</v>
      </c>
      <c r="O21" s="7" t="s">
        <v>180</v>
      </c>
      <c r="P21" s="7" t="s">
        <v>94</v>
      </c>
      <c r="R21" s="7" t="s">
        <v>81</v>
      </c>
      <c r="S21" s="7" t="s">
        <v>83</v>
      </c>
    </row>
    <row r="22" spans="1:21" x14ac:dyDescent="0.25">
      <c r="A22" s="41" t="s">
        <v>136</v>
      </c>
      <c r="B22" s="1">
        <v>1</v>
      </c>
      <c r="C22" s="8">
        <v>45973</v>
      </c>
      <c r="D22" s="1" t="s">
        <v>144</v>
      </c>
      <c r="E22" s="7" t="s">
        <v>13</v>
      </c>
      <c r="F22" s="1" t="s">
        <v>23</v>
      </c>
      <c r="G22" s="9" t="s">
        <v>35</v>
      </c>
      <c r="H22" s="7">
        <v>229</v>
      </c>
      <c r="I22" s="18">
        <v>15001002</v>
      </c>
      <c r="J22" s="10">
        <v>1220</v>
      </c>
      <c r="K22" s="7" t="s">
        <v>13</v>
      </c>
      <c r="L22" s="7" t="s">
        <v>54</v>
      </c>
      <c r="M22" s="34">
        <v>45669</v>
      </c>
      <c r="N22" s="7" t="s">
        <v>41</v>
      </c>
      <c r="O22" s="7" t="s">
        <v>180</v>
      </c>
      <c r="R22" s="7" t="s">
        <v>84</v>
      </c>
      <c r="S22" s="7" t="s">
        <v>82</v>
      </c>
    </row>
    <row r="23" spans="1:21" x14ac:dyDescent="0.25">
      <c r="A23" s="41" t="s">
        <v>135</v>
      </c>
      <c r="B23" s="1">
        <v>2</v>
      </c>
      <c r="C23" s="8">
        <v>45670</v>
      </c>
      <c r="D23" s="1" t="s">
        <v>145</v>
      </c>
      <c r="E23" s="7" t="s">
        <v>13</v>
      </c>
      <c r="F23" s="1" t="s">
        <v>23</v>
      </c>
      <c r="G23" s="9" t="s">
        <v>35</v>
      </c>
      <c r="H23" s="7">
        <v>79</v>
      </c>
      <c r="I23" s="18">
        <v>16000000</v>
      </c>
      <c r="J23" s="10">
        <v>26200</v>
      </c>
      <c r="K23" s="7" t="s">
        <v>13</v>
      </c>
      <c r="L23" s="7" t="s">
        <v>54</v>
      </c>
      <c r="M23" s="34">
        <v>45670</v>
      </c>
      <c r="N23" s="7" t="s">
        <v>41</v>
      </c>
      <c r="O23" s="7" t="s">
        <v>180</v>
      </c>
      <c r="R23" s="7" t="s">
        <v>90</v>
      </c>
      <c r="S23" s="7" t="s">
        <v>78</v>
      </c>
    </row>
    <row r="24" spans="1:21" x14ac:dyDescent="0.25">
      <c r="A24" s="41" t="s">
        <v>137</v>
      </c>
      <c r="B24" s="1">
        <v>1</v>
      </c>
      <c r="C24" s="8">
        <v>45973</v>
      </c>
      <c r="D24" s="1" t="s">
        <v>146</v>
      </c>
      <c r="E24" s="7" t="s">
        <v>13</v>
      </c>
      <c r="F24" s="1" t="s">
        <v>23</v>
      </c>
      <c r="G24" s="9" t="s">
        <v>35</v>
      </c>
      <c r="H24" s="7">
        <v>996</v>
      </c>
      <c r="I24" s="18">
        <v>15001002</v>
      </c>
      <c r="J24" s="10">
        <v>11800</v>
      </c>
      <c r="K24" s="7" t="s">
        <v>13</v>
      </c>
      <c r="L24" s="7" t="s">
        <v>54</v>
      </c>
      <c r="M24" s="34">
        <v>46034</v>
      </c>
      <c r="O24" s="7" t="s">
        <v>180</v>
      </c>
      <c r="R24" s="7" t="s">
        <v>101</v>
      </c>
      <c r="S24" s="7" t="s">
        <v>94</v>
      </c>
    </row>
    <row r="25" spans="1:21" x14ac:dyDescent="0.25">
      <c r="A25" s="41" t="s">
        <v>138</v>
      </c>
      <c r="B25" s="1">
        <v>1</v>
      </c>
      <c r="C25" s="8">
        <v>45973</v>
      </c>
      <c r="D25" s="1" t="s">
        <v>147</v>
      </c>
      <c r="E25" s="7" t="s">
        <v>13</v>
      </c>
      <c r="F25" s="1" t="s">
        <v>23</v>
      </c>
      <c r="G25" s="9" t="s">
        <v>35</v>
      </c>
      <c r="H25" s="7">
        <v>825</v>
      </c>
      <c r="I25" s="18">
        <v>16000000</v>
      </c>
      <c r="J25" s="10">
        <v>5800</v>
      </c>
      <c r="K25" s="7" t="s">
        <v>13</v>
      </c>
      <c r="L25" s="7" t="s">
        <v>54</v>
      </c>
      <c r="M25" s="34">
        <v>46034</v>
      </c>
      <c r="O25" s="7" t="s">
        <v>180</v>
      </c>
      <c r="R25" s="7" t="s">
        <v>721</v>
      </c>
    </row>
    <row r="26" spans="1:21" x14ac:dyDescent="0.25">
      <c r="A26" s="41" t="s">
        <v>139</v>
      </c>
      <c r="B26" s="1">
        <v>1</v>
      </c>
      <c r="C26" s="8">
        <v>45973</v>
      </c>
      <c r="D26" s="1" t="s">
        <v>148</v>
      </c>
      <c r="E26" s="7" t="s">
        <v>13</v>
      </c>
      <c r="F26" s="1" t="s">
        <v>23</v>
      </c>
      <c r="G26" s="9" t="s">
        <v>35</v>
      </c>
      <c r="H26" s="7">
        <v>3321</v>
      </c>
      <c r="I26" s="18">
        <v>15001002</v>
      </c>
      <c r="J26" s="10">
        <v>14500</v>
      </c>
      <c r="K26" s="7" t="s">
        <v>13</v>
      </c>
      <c r="L26" s="7" t="s">
        <v>59</v>
      </c>
      <c r="O26" s="7" t="s">
        <v>180</v>
      </c>
      <c r="R26" s="7" t="s">
        <v>1538</v>
      </c>
    </row>
    <row r="27" spans="1:21" x14ac:dyDescent="0.25">
      <c r="A27" s="41" t="s">
        <v>140</v>
      </c>
      <c r="B27" s="1">
        <v>1</v>
      </c>
      <c r="C27" s="8">
        <v>45973</v>
      </c>
      <c r="D27" s="1" t="s">
        <v>149</v>
      </c>
      <c r="E27" s="7" t="s">
        <v>13</v>
      </c>
      <c r="F27" s="1" t="s">
        <v>23</v>
      </c>
      <c r="G27" s="9" t="s">
        <v>35</v>
      </c>
      <c r="H27" s="7">
        <v>13</v>
      </c>
      <c r="I27" s="18">
        <v>15001002</v>
      </c>
      <c r="J27" s="10">
        <v>18850</v>
      </c>
      <c r="K27" s="7" t="s">
        <v>13</v>
      </c>
      <c r="L27" s="7" t="s">
        <v>54</v>
      </c>
      <c r="M27" s="34">
        <v>46034</v>
      </c>
      <c r="N27" s="7" t="s">
        <v>91</v>
      </c>
      <c r="O27" s="7" t="s">
        <v>180</v>
      </c>
      <c r="R27" s="7" t="s">
        <v>1949</v>
      </c>
    </row>
    <row r="28" spans="1:21" x14ac:dyDescent="0.25">
      <c r="A28" s="41" t="s">
        <v>141</v>
      </c>
      <c r="B28" s="1">
        <v>1</v>
      </c>
      <c r="C28" s="8">
        <v>45973</v>
      </c>
      <c r="D28" s="1" t="s">
        <v>150</v>
      </c>
      <c r="E28" s="7" t="s">
        <v>13</v>
      </c>
      <c r="F28" s="1" t="s">
        <v>23</v>
      </c>
      <c r="G28" s="9" t="s">
        <v>35</v>
      </c>
      <c r="H28" s="7">
        <v>1648</v>
      </c>
      <c r="I28" s="18">
        <v>15001002</v>
      </c>
      <c r="J28" s="10">
        <v>10620</v>
      </c>
      <c r="K28" s="7" t="s">
        <v>58</v>
      </c>
      <c r="L28" s="7" t="s">
        <v>59</v>
      </c>
      <c r="O28" s="7" t="s">
        <v>180</v>
      </c>
    </row>
    <row r="29" spans="1:21" x14ac:dyDescent="0.25">
      <c r="A29" s="41" t="s">
        <v>151</v>
      </c>
      <c r="B29" s="1">
        <v>1</v>
      </c>
      <c r="C29" s="8">
        <v>45973</v>
      </c>
      <c r="D29" s="1" t="s">
        <v>142</v>
      </c>
      <c r="E29" s="7" t="s">
        <v>13</v>
      </c>
      <c r="F29" s="1" t="s">
        <v>23</v>
      </c>
      <c r="G29" s="9" t="s">
        <v>35</v>
      </c>
      <c r="H29" s="7">
        <v>209</v>
      </c>
      <c r="I29" s="18">
        <v>15001002</v>
      </c>
      <c r="J29" s="10">
        <v>2900</v>
      </c>
      <c r="K29" s="7" t="s">
        <v>13</v>
      </c>
      <c r="L29" s="7" t="s">
        <v>54</v>
      </c>
      <c r="M29" s="34">
        <v>45670</v>
      </c>
      <c r="N29" s="7" t="s">
        <v>91</v>
      </c>
      <c r="O29" s="7" t="s">
        <v>180</v>
      </c>
    </row>
    <row r="30" spans="1:21" x14ac:dyDescent="0.25">
      <c r="A30" s="41" t="s">
        <v>153</v>
      </c>
      <c r="B30" s="1">
        <v>2</v>
      </c>
      <c r="C30" s="8">
        <v>45671</v>
      </c>
      <c r="D30" s="1" t="s">
        <v>152</v>
      </c>
      <c r="E30" s="7" t="s">
        <v>13</v>
      </c>
      <c r="F30" s="1" t="s">
        <v>23</v>
      </c>
      <c r="G30" s="9" t="s">
        <v>35</v>
      </c>
      <c r="H30" s="7">
        <v>216</v>
      </c>
      <c r="I30" s="18">
        <v>15001002</v>
      </c>
      <c r="J30" s="10">
        <v>7080</v>
      </c>
      <c r="K30" s="7" t="s">
        <v>13</v>
      </c>
      <c r="L30" s="7" t="s">
        <v>54</v>
      </c>
      <c r="M30" s="34">
        <v>45672</v>
      </c>
      <c r="N30" s="7" t="s">
        <v>91</v>
      </c>
      <c r="O30" s="7" t="s">
        <v>180</v>
      </c>
    </row>
    <row r="31" spans="1:21" x14ac:dyDescent="0.25">
      <c r="A31" s="41" t="s">
        <v>154</v>
      </c>
      <c r="B31" s="1">
        <v>2</v>
      </c>
      <c r="C31" s="8">
        <v>46042</v>
      </c>
      <c r="D31" s="1" t="s">
        <v>155</v>
      </c>
      <c r="E31" s="7" t="s">
        <v>13</v>
      </c>
      <c r="F31" s="1" t="s">
        <v>23</v>
      </c>
      <c r="G31" s="9" t="s">
        <v>35</v>
      </c>
      <c r="H31" s="7">
        <v>110</v>
      </c>
      <c r="I31" s="18">
        <v>15001002</v>
      </c>
      <c r="J31" s="10">
        <v>14500</v>
      </c>
      <c r="K31" s="7" t="s">
        <v>13</v>
      </c>
      <c r="L31" s="7" t="s">
        <v>54</v>
      </c>
      <c r="M31" s="34">
        <v>46042</v>
      </c>
      <c r="N31" s="7" t="s">
        <v>91</v>
      </c>
      <c r="O31" s="7" t="s">
        <v>180</v>
      </c>
    </row>
    <row r="32" spans="1:21" x14ac:dyDescent="0.25">
      <c r="A32" s="41" t="s">
        <v>157</v>
      </c>
      <c r="B32" s="1">
        <v>1</v>
      </c>
      <c r="C32" s="8">
        <v>45973</v>
      </c>
      <c r="D32" s="1" t="s">
        <v>156</v>
      </c>
      <c r="E32" s="7" t="s">
        <v>13</v>
      </c>
      <c r="F32" s="1" t="s">
        <v>23</v>
      </c>
      <c r="G32" s="9" t="s">
        <v>35</v>
      </c>
      <c r="H32" s="7">
        <v>97</v>
      </c>
      <c r="I32" s="18">
        <v>15001002</v>
      </c>
      <c r="J32" s="10">
        <v>5800</v>
      </c>
      <c r="K32" s="7" t="s">
        <v>13</v>
      </c>
      <c r="L32" s="7" t="s">
        <v>54</v>
      </c>
      <c r="M32" s="34">
        <v>45670</v>
      </c>
      <c r="N32" s="7" t="s">
        <v>91</v>
      </c>
      <c r="O32" s="7" t="s">
        <v>180</v>
      </c>
    </row>
    <row r="33" spans="1:20" x14ac:dyDescent="0.25">
      <c r="A33" s="41" t="s">
        <v>158</v>
      </c>
      <c r="B33" s="1">
        <v>1</v>
      </c>
      <c r="C33" s="8">
        <v>45973</v>
      </c>
      <c r="D33" s="1" t="s">
        <v>159</v>
      </c>
      <c r="E33" s="7" t="s">
        <v>13</v>
      </c>
      <c r="F33" s="1" t="s">
        <v>23</v>
      </c>
      <c r="G33" s="9" t="s">
        <v>35</v>
      </c>
      <c r="H33" s="7">
        <v>2631</v>
      </c>
      <c r="I33" s="18">
        <v>15001002</v>
      </c>
      <c r="J33" s="10">
        <v>35525</v>
      </c>
      <c r="K33" s="7" t="s">
        <v>13</v>
      </c>
      <c r="L33" s="7" t="s">
        <v>54</v>
      </c>
      <c r="M33" s="34">
        <v>45670</v>
      </c>
      <c r="N33" s="7" t="s">
        <v>91</v>
      </c>
      <c r="O33" s="7" t="s">
        <v>180</v>
      </c>
    </row>
    <row r="34" spans="1:20" x14ac:dyDescent="0.25">
      <c r="A34" s="41" t="s">
        <v>161</v>
      </c>
      <c r="B34" s="1">
        <v>1</v>
      </c>
      <c r="C34" s="8">
        <v>45973</v>
      </c>
      <c r="D34" s="1" t="s">
        <v>160</v>
      </c>
      <c r="E34" s="7" t="s">
        <v>13</v>
      </c>
      <c r="F34" s="1" t="s">
        <v>23</v>
      </c>
      <c r="G34" s="9" t="s">
        <v>35</v>
      </c>
      <c r="H34" s="7">
        <v>83</v>
      </c>
      <c r="I34" s="18">
        <v>15001002</v>
      </c>
      <c r="J34" s="10">
        <v>8260</v>
      </c>
      <c r="K34" s="7" t="s">
        <v>13</v>
      </c>
      <c r="L34" s="7" t="s">
        <v>54</v>
      </c>
      <c r="M34" s="34">
        <v>45670</v>
      </c>
      <c r="N34" s="7" t="s">
        <v>41</v>
      </c>
      <c r="O34" s="7" t="s">
        <v>180</v>
      </c>
    </row>
    <row r="35" spans="1:20" x14ac:dyDescent="0.25">
      <c r="A35" s="41" t="s">
        <v>162</v>
      </c>
      <c r="B35" s="1">
        <v>1</v>
      </c>
      <c r="C35" s="8">
        <v>45973</v>
      </c>
      <c r="D35" s="1" t="s">
        <v>163</v>
      </c>
      <c r="E35" s="7" t="s">
        <v>13</v>
      </c>
      <c r="F35" s="1" t="s">
        <v>23</v>
      </c>
      <c r="G35" s="9" t="s">
        <v>35</v>
      </c>
      <c r="H35" s="7">
        <v>234</v>
      </c>
      <c r="I35" s="18">
        <v>15001002</v>
      </c>
      <c r="J35" s="10">
        <v>16460</v>
      </c>
      <c r="K35" s="7" t="s">
        <v>13</v>
      </c>
      <c r="L35" s="7" t="s">
        <v>54</v>
      </c>
      <c r="M35" s="34">
        <v>45670</v>
      </c>
      <c r="N35" s="7" t="s">
        <v>41</v>
      </c>
      <c r="O35" s="7" t="s">
        <v>180</v>
      </c>
    </row>
    <row r="36" spans="1:20" x14ac:dyDescent="0.25">
      <c r="A36" s="41" t="s">
        <v>165</v>
      </c>
      <c r="B36" s="1">
        <v>2</v>
      </c>
      <c r="C36" s="8">
        <v>45671</v>
      </c>
      <c r="D36" s="1" t="s">
        <v>164</v>
      </c>
      <c r="E36" s="7" t="s">
        <v>13</v>
      </c>
      <c r="F36" s="1" t="s">
        <v>23</v>
      </c>
      <c r="G36" s="9" t="s">
        <v>35</v>
      </c>
      <c r="H36" s="7">
        <v>621</v>
      </c>
      <c r="I36" s="18">
        <v>15001002</v>
      </c>
      <c r="J36" s="10">
        <v>16520</v>
      </c>
      <c r="K36" s="7" t="s">
        <v>13</v>
      </c>
      <c r="L36" s="7" t="s">
        <v>54</v>
      </c>
      <c r="M36" s="34">
        <v>46036</v>
      </c>
      <c r="N36" s="7" t="s">
        <v>41</v>
      </c>
      <c r="O36" s="7" t="s">
        <v>180</v>
      </c>
    </row>
    <row r="37" spans="1:20" x14ac:dyDescent="0.25">
      <c r="A37" s="41" t="s">
        <v>166</v>
      </c>
      <c r="B37" s="1">
        <v>1</v>
      </c>
      <c r="C37" s="8">
        <v>45973</v>
      </c>
      <c r="D37" s="1" t="s">
        <v>167</v>
      </c>
      <c r="E37" s="7" t="s">
        <v>13</v>
      </c>
      <c r="F37" s="1" t="s">
        <v>23</v>
      </c>
      <c r="G37" s="9" t="s">
        <v>35</v>
      </c>
      <c r="H37" s="7">
        <v>2</v>
      </c>
      <c r="I37" s="18">
        <v>16000000</v>
      </c>
      <c r="J37" s="10">
        <v>29280</v>
      </c>
      <c r="K37" s="7" t="s">
        <v>13</v>
      </c>
      <c r="L37" s="7" t="s">
        <v>54</v>
      </c>
      <c r="M37" s="34">
        <v>45670</v>
      </c>
      <c r="N37" s="7" t="s">
        <v>92</v>
      </c>
      <c r="O37" s="7" t="s">
        <v>180</v>
      </c>
    </row>
    <row r="38" spans="1:20" x14ac:dyDescent="0.25">
      <c r="A38" s="41" t="s">
        <v>169</v>
      </c>
      <c r="B38" s="1">
        <v>1</v>
      </c>
      <c r="C38" s="8">
        <v>45973</v>
      </c>
      <c r="D38" s="1" t="s">
        <v>168</v>
      </c>
      <c r="E38" s="7" t="s">
        <v>13</v>
      </c>
      <c r="F38" s="1" t="s">
        <v>23</v>
      </c>
      <c r="G38" s="9" t="s">
        <v>35</v>
      </c>
      <c r="H38" s="7">
        <v>289</v>
      </c>
      <c r="I38" s="18">
        <v>16000000</v>
      </c>
      <c r="J38" s="10">
        <v>14500</v>
      </c>
      <c r="K38" s="7" t="s">
        <v>13</v>
      </c>
      <c r="L38" s="7" t="s">
        <v>54</v>
      </c>
      <c r="M38" s="34">
        <v>46035</v>
      </c>
      <c r="O38" s="7" t="s">
        <v>180</v>
      </c>
    </row>
    <row r="39" spans="1:20" x14ac:dyDescent="0.25">
      <c r="A39" s="41" t="s">
        <v>170</v>
      </c>
      <c r="B39" s="1">
        <v>1</v>
      </c>
      <c r="C39" s="8">
        <v>45973</v>
      </c>
      <c r="D39" s="1" t="s">
        <v>171</v>
      </c>
      <c r="E39" s="7" t="s">
        <v>13</v>
      </c>
      <c r="F39" s="1" t="s">
        <v>23</v>
      </c>
      <c r="G39" s="9" t="s">
        <v>35</v>
      </c>
      <c r="H39" s="7">
        <v>1033</v>
      </c>
      <c r="I39" s="18">
        <v>16000000</v>
      </c>
      <c r="J39" s="10">
        <v>14500</v>
      </c>
      <c r="K39" s="7" t="s">
        <v>13</v>
      </c>
      <c r="L39" s="7" t="s">
        <v>54</v>
      </c>
      <c r="M39" s="34">
        <v>46035</v>
      </c>
      <c r="O39" s="7" t="s">
        <v>180</v>
      </c>
    </row>
    <row r="40" spans="1:20" x14ac:dyDescent="0.25">
      <c r="A40" s="41" t="s">
        <v>173</v>
      </c>
      <c r="B40" s="1">
        <v>1</v>
      </c>
      <c r="C40" s="8">
        <v>45973</v>
      </c>
      <c r="D40" s="1" t="s">
        <v>172</v>
      </c>
      <c r="E40" s="7" t="s">
        <v>13</v>
      </c>
      <c r="F40" s="1" t="s">
        <v>23</v>
      </c>
      <c r="G40" s="9" t="s">
        <v>35</v>
      </c>
      <c r="H40" s="7">
        <v>199</v>
      </c>
      <c r="I40" s="18">
        <v>15001002</v>
      </c>
      <c r="J40" s="10">
        <v>14640</v>
      </c>
      <c r="K40" s="7" t="s">
        <v>13</v>
      </c>
      <c r="L40" s="7" t="s">
        <v>54</v>
      </c>
      <c r="M40" s="34">
        <v>46035</v>
      </c>
      <c r="O40" s="7" t="s">
        <v>180</v>
      </c>
    </row>
    <row r="41" spans="1:20" x14ac:dyDescent="0.25">
      <c r="A41" s="41" t="s">
        <v>174</v>
      </c>
      <c r="B41" s="1">
        <v>1</v>
      </c>
      <c r="C41" s="8">
        <v>45973</v>
      </c>
      <c r="D41" s="1" t="s">
        <v>308</v>
      </c>
      <c r="E41" s="7" t="s">
        <v>13</v>
      </c>
      <c r="F41" s="1" t="s">
        <v>23</v>
      </c>
      <c r="G41" s="9" t="s">
        <v>35</v>
      </c>
      <c r="H41" s="7">
        <v>327</v>
      </c>
      <c r="I41" s="18">
        <v>15001002</v>
      </c>
      <c r="J41" s="10">
        <v>26520</v>
      </c>
      <c r="K41" s="7" t="s">
        <v>13</v>
      </c>
      <c r="L41" s="7" t="s">
        <v>54</v>
      </c>
      <c r="M41" s="34">
        <v>45671</v>
      </c>
      <c r="N41" s="7" t="s">
        <v>41</v>
      </c>
      <c r="O41" s="7" t="s">
        <v>180</v>
      </c>
    </row>
    <row r="42" spans="1:20" x14ac:dyDescent="0.25">
      <c r="A42" s="41" t="s">
        <v>176</v>
      </c>
      <c r="B42" s="1">
        <v>1</v>
      </c>
      <c r="C42" s="8">
        <v>45973</v>
      </c>
      <c r="D42" s="1" t="s">
        <v>175</v>
      </c>
      <c r="E42" s="7" t="s">
        <v>13</v>
      </c>
      <c r="F42" s="1" t="s">
        <v>23</v>
      </c>
      <c r="G42" s="9" t="s">
        <v>35</v>
      </c>
      <c r="H42" s="7">
        <v>721</v>
      </c>
      <c r="I42" s="18">
        <v>15001002</v>
      </c>
      <c r="J42" s="10">
        <v>11800</v>
      </c>
      <c r="K42" s="7" t="s">
        <v>13</v>
      </c>
      <c r="L42" s="7" t="s">
        <v>54</v>
      </c>
      <c r="O42" s="7" t="s">
        <v>180</v>
      </c>
    </row>
    <row r="43" spans="1:20" x14ac:dyDescent="0.25">
      <c r="A43" s="41" t="s">
        <v>102</v>
      </c>
      <c r="B43" s="1">
        <v>1</v>
      </c>
      <c r="C43" s="8">
        <v>45973</v>
      </c>
      <c r="D43" s="1" t="s">
        <v>177</v>
      </c>
      <c r="E43" s="7" t="s">
        <v>13</v>
      </c>
      <c r="F43" s="1" t="s">
        <v>23</v>
      </c>
      <c r="G43" s="9" t="s">
        <v>35</v>
      </c>
      <c r="H43" s="7">
        <v>952</v>
      </c>
      <c r="I43" s="18">
        <v>15001002</v>
      </c>
      <c r="J43" s="10">
        <v>13050</v>
      </c>
      <c r="K43" s="7" t="s">
        <v>13</v>
      </c>
      <c r="L43" s="7" t="s">
        <v>54</v>
      </c>
      <c r="M43" s="34">
        <v>45670</v>
      </c>
      <c r="N43" s="7" t="s">
        <v>41</v>
      </c>
      <c r="O43" s="7" t="s">
        <v>180</v>
      </c>
    </row>
    <row r="44" spans="1:20" x14ac:dyDescent="0.25">
      <c r="A44" s="41" t="s">
        <v>179</v>
      </c>
      <c r="B44" s="1">
        <v>2</v>
      </c>
      <c r="C44" s="8">
        <v>46036</v>
      </c>
      <c r="D44" s="1" t="s">
        <v>178</v>
      </c>
      <c r="E44" s="7" t="s">
        <v>13</v>
      </c>
      <c r="F44" s="1" t="s">
        <v>23</v>
      </c>
      <c r="G44" s="9" t="s">
        <v>35</v>
      </c>
      <c r="H44" s="7">
        <v>424</v>
      </c>
      <c r="I44" s="18">
        <v>15001002</v>
      </c>
      <c r="J44" s="10">
        <v>9440</v>
      </c>
      <c r="K44" s="7" t="s">
        <v>13</v>
      </c>
      <c r="L44" s="7" t="s">
        <v>54</v>
      </c>
      <c r="M44" s="34">
        <v>46036</v>
      </c>
      <c r="N44" s="7" t="s">
        <v>41</v>
      </c>
      <c r="O44" s="7" t="s">
        <v>180</v>
      </c>
      <c r="T44" s="7" t="s">
        <v>55</v>
      </c>
    </row>
    <row r="45" spans="1:20" x14ac:dyDescent="0.25">
      <c r="A45" s="41" t="s">
        <v>181</v>
      </c>
      <c r="B45" s="1">
        <v>1</v>
      </c>
      <c r="C45" s="8">
        <v>45973</v>
      </c>
      <c r="D45" s="1" t="s">
        <v>182</v>
      </c>
      <c r="E45" s="7" t="s">
        <v>13</v>
      </c>
      <c r="F45" s="1" t="s">
        <v>23</v>
      </c>
      <c r="G45" s="9" t="s">
        <v>35</v>
      </c>
      <c r="H45" s="7">
        <v>610047433768</v>
      </c>
      <c r="I45" s="18">
        <v>15001002</v>
      </c>
      <c r="J45" s="10">
        <v>30387.55</v>
      </c>
      <c r="K45" s="7" t="s">
        <v>13</v>
      </c>
      <c r="L45" s="7" t="s">
        <v>54</v>
      </c>
      <c r="M45" s="34">
        <v>46038</v>
      </c>
      <c r="N45" s="7" t="s">
        <v>92</v>
      </c>
      <c r="O45" s="7" t="s">
        <v>180</v>
      </c>
      <c r="T45" s="7" t="s">
        <v>40</v>
      </c>
    </row>
    <row r="46" spans="1:20" x14ac:dyDescent="0.25">
      <c r="A46" s="41" t="s">
        <v>181</v>
      </c>
      <c r="B46" s="1">
        <v>1</v>
      </c>
      <c r="C46" s="8">
        <v>45973</v>
      </c>
      <c r="D46" s="1" t="s">
        <v>353</v>
      </c>
      <c r="E46" s="7" t="s">
        <v>13</v>
      </c>
      <c r="F46" s="1" t="s">
        <v>23</v>
      </c>
      <c r="G46" s="9" t="s">
        <v>35</v>
      </c>
      <c r="H46" s="7" t="s">
        <v>74</v>
      </c>
      <c r="I46" s="18">
        <v>16000000</v>
      </c>
      <c r="J46" s="10">
        <v>78905.399999999994</v>
      </c>
      <c r="K46" s="7" t="s">
        <v>13</v>
      </c>
      <c r="L46" s="7" t="s">
        <v>54</v>
      </c>
      <c r="M46" s="34">
        <v>46038</v>
      </c>
      <c r="N46" s="7" t="s">
        <v>92</v>
      </c>
      <c r="O46" s="7" t="s">
        <v>180</v>
      </c>
      <c r="T46" s="7" t="s">
        <v>53</v>
      </c>
    </row>
    <row r="47" spans="1:20" x14ac:dyDescent="0.25">
      <c r="A47" s="41" t="s">
        <v>183</v>
      </c>
      <c r="B47" s="1">
        <v>1</v>
      </c>
      <c r="C47" s="8">
        <v>45973</v>
      </c>
      <c r="D47" s="1" t="s">
        <v>311</v>
      </c>
      <c r="E47" s="7" t="s">
        <v>13</v>
      </c>
      <c r="F47" s="1" t="s">
        <v>23</v>
      </c>
      <c r="G47" s="9" t="s">
        <v>35</v>
      </c>
      <c r="H47" s="7">
        <v>13415</v>
      </c>
      <c r="I47" s="18">
        <v>15001002</v>
      </c>
      <c r="J47" s="10">
        <v>8797.83</v>
      </c>
      <c r="K47" s="7" t="s">
        <v>13</v>
      </c>
      <c r="L47" s="7" t="s">
        <v>54</v>
      </c>
      <c r="M47" s="34">
        <v>46036</v>
      </c>
      <c r="N47" s="7" t="s">
        <v>64</v>
      </c>
      <c r="O47" s="7" t="s">
        <v>180</v>
      </c>
      <c r="T47" s="7" t="s">
        <v>54</v>
      </c>
    </row>
    <row r="48" spans="1:20" x14ac:dyDescent="0.25">
      <c r="A48" s="41" t="s">
        <v>185</v>
      </c>
      <c r="B48" s="1">
        <v>1</v>
      </c>
      <c r="C48" s="8">
        <v>45973</v>
      </c>
      <c r="D48" s="1" t="s">
        <v>184</v>
      </c>
      <c r="E48" s="7" t="s">
        <v>13</v>
      </c>
      <c r="F48" s="1" t="s">
        <v>23</v>
      </c>
      <c r="H48" s="7" t="s">
        <v>74</v>
      </c>
      <c r="I48" s="18" t="s">
        <v>0</v>
      </c>
      <c r="J48" s="10" t="s">
        <v>61</v>
      </c>
      <c r="K48" s="7" t="s">
        <v>13</v>
      </c>
      <c r="L48" s="7" t="s">
        <v>40</v>
      </c>
      <c r="M48" s="34">
        <v>46037</v>
      </c>
      <c r="N48" s="7" t="s">
        <v>64</v>
      </c>
      <c r="T48" s="7" t="s">
        <v>59</v>
      </c>
    </row>
    <row r="49" spans="1:20" x14ac:dyDescent="0.25">
      <c r="A49" s="41" t="s">
        <v>186</v>
      </c>
      <c r="B49" s="1">
        <v>1</v>
      </c>
      <c r="C49" s="8">
        <v>45973</v>
      </c>
      <c r="D49" s="1" t="s">
        <v>187</v>
      </c>
      <c r="E49" s="7" t="s">
        <v>13</v>
      </c>
      <c r="F49" s="1" t="s">
        <v>23</v>
      </c>
      <c r="G49" s="9" t="s">
        <v>35</v>
      </c>
      <c r="H49" s="7" t="s">
        <v>74</v>
      </c>
      <c r="I49" s="18">
        <v>16000000</v>
      </c>
      <c r="J49" s="10">
        <v>1480</v>
      </c>
      <c r="K49" s="7" t="s">
        <v>13</v>
      </c>
      <c r="L49" s="7" t="s">
        <v>54</v>
      </c>
      <c r="M49" s="34">
        <v>46035</v>
      </c>
      <c r="N49" s="7" t="s">
        <v>41</v>
      </c>
      <c r="O49" s="7" t="s">
        <v>180</v>
      </c>
      <c r="T49" s="7" t="s">
        <v>65</v>
      </c>
    </row>
    <row r="50" spans="1:20" x14ac:dyDescent="0.25">
      <c r="A50" s="41" t="s">
        <v>188</v>
      </c>
      <c r="B50" s="1">
        <v>2</v>
      </c>
      <c r="C50" s="8">
        <v>46036</v>
      </c>
      <c r="D50" s="1" t="s">
        <v>309</v>
      </c>
      <c r="E50" s="7" t="s">
        <v>13</v>
      </c>
      <c r="F50" s="1" t="s">
        <v>23</v>
      </c>
      <c r="G50" s="9" t="s">
        <v>35</v>
      </c>
      <c r="H50" s="7" t="s">
        <v>74</v>
      </c>
      <c r="I50" s="18">
        <v>16000000</v>
      </c>
      <c r="J50" s="10">
        <v>380</v>
      </c>
      <c r="K50" s="7" t="s">
        <v>13</v>
      </c>
      <c r="L50" s="7" t="s">
        <v>54</v>
      </c>
      <c r="M50" s="34">
        <v>46036</v>
      </c>
      <c r="N50" s="7" t="s">
        <v>41</v>
      </c>
      <c r="O50" s="7" t="s">
        <v>180</v>
      </c>
    </row>
    <row r="51" spans="1:20" x14ac:dyDescent="0.25">
      <c r="A51" s="41" t="s">
        <v>189</v>
      </c>
      <c r="B51" s="1">
        <v>1</v>
      </c>
      <c r="C51" s="8">
        <v>45973</v>
      </c>
      <c r="D51" s="1" t="s">
        <v>190</v>
      </c>
      <c r="E51" s="7" t="s">
        <v>13</v>
      </c>
      <c r="F51" s="1" t="s">
        <v>23</v>
      </c>
      <c r="G51" s="9" t="s">
        <v>35</v>
      </c>
      <c r="H51" s="7" t="s">
        <v>74</v>
      </c>
      <c r="I51" s="18">
        <v>16000000</v>
      </c>
      <c r="J51" s="10">
        <v>1100</v>
      </c>
      <c r="K51" s="7" t="s">
        <v>13</v>
      </c>
      <c r="L51" s="7" t="s">
        <v>54</v>
      </c>
      <c r="M51" s="34">
        <v>45670</v>
      </c>
      <c r="N51" s="7" t="s">
        <v>41</v>
      </c>
      <c r="O51" s="7" t="s">
        <v>180</v>
      </c>
    </row>
    <row r="52" spans="1:20" x14ac:dyDescent="0.25">
      <c r="A52" s="41" t="s">
        <v>192</v>
      </c>
      <c r="B52" s="1">
        <v>1</v>
      </c>
      <c r="C52" s="8">
        <v>45973</v>
      </c>
      <c r="D52" s="1" t="s">
        <v>191</v>
      </c>
      <c r="E52" s="7" t="s">
        <v>13</v>
      </c>
      <c r="F52" s="1" t="s">
        <v>23</v>
      </c>
      <c r="G52" s="9" t="s">
        <v>35</v>
      </c>
      <c r="H52" s="7" t="s">
        <v>74</v>
      </c>
      <c r="I52" s="18">
        <v>16000000</v>
      </c>
      <c r="J52" s="10">
        <v>1100</v>
      </c>
      <c r="K52" s="7" t="s">
        <v>13</v>
      </c>
      <c r="L52" s="7" t="s">
        <v>54</v>
      </c>
      <c r="M52" s="34">
        <v>45670</v>
      </c>
      <c r="N52" s="7" t="s">
        <v>41</v>
      </c>
      <c r="O52" s="7" t="s">
        <v>180</v>
      </c>
    </row>
    <row r="53" spans="1:20" x14ac:dyDescent="0.25">
      <c r="A53" s="41" t="s">
        <v>193</v>
      </c>
      <c r="B53" s="1">
        <v>1</v>
      </c>
      <c r="C53" s="8">
        <v>45973</v>
      </c>
      <c r="D53" s="1" t="s">
        <v>194</v>
      </c>
      <c r="E53" s="7" t="s">
        <v>13</v>
      </c>
      <c r="F53" s="1" t="s">
        <v>23</v>
      </c>
      <c r="G53" s="9" t="s">
        <v>35</v>
      </c>
      <c r="H53" s="7" t="s">
        <v>74</v>
      </c>
      <c r="I53" s="18">
        <v>16000000</v>
      </c>
      <c r="J53" s="10">
        <v>1500</v>
      </c>
      <c r="K53" s="7" t="s">
        <v>13</v>
      </c>
      <c r="L53" s="7" t="s">
        <v>54</v>
      </c>
      <c r="M53" s="34">
        <v>45670</v>
      </c>
      <c r="N53" s="7" t="s">
        <v>41</v>
      </c>
      <c r="O53" s="7" t="s">
        <v>180</v>
      </c>
    </row>
    <row r="54" spans="1:20" x14ac:dyDescent="0.25">
      <c r="A54" s="41" t="s">
        <v>196</v>
      </c>
      <c r="B54" s="1">
        <v>1</v>
      </c>
      <c r="C54" s="8">
        <v>45973</v>
      </c>
      <c r="D54" s="1" t="s">
        <v>195</v>
      </c>
      <c r="E54" s="7" t="s">
        <v>13</v>
      </c>
      <c r="F54" s="1" t="s">
        <v>23</v>
      </c>
      <c r="G54" s="9" t="s">
        <v>35</v>
      </c>
      <c r="H54" s="7" t="s">
        <v>74</v>
      </c>
      <c r="I54" s="18">
        <v>16000000</v>
      </c>
      <c r="J54" s="10">
        <v>1100</v>
      </c>
      <c r="K54" s="7" t="s">
        <v>13</v>
      </c>
      <c r="L54" s="7" t="s">
        <v>54</v>
      </c>
      <c r="M54" s="34">
        <v>45670</v>
      </c>
      <c r="N54" s="7" t="s">
        <v>92</v>
      </c>
      <c r="O54" s="7" t="s">
        <v>180</v>
      </c>
    </row>
    <row r="55" spans="1:20" x14ac:dyDescent="0.25">
      <c r="A55" s="41" t="s">
        <v>197</v>
      </c>
      <c r="B55" s="1">
        <v>1</v>
      </c>
      <c r="C55" s="8">
        <v>45973</v>
      </c>
      <c r="D55" s="1" t="s">
        <v>198</v>
      </c>
      <c r="E55" s="7" t="s">
        <v>13</v>
      </c>
      <c r="F55" s="1" t="s">
        <v>23</v>
      </c>
      <c r="G55" s="9" t="s">
        <v>35</v>
      </c>
      <c r="H55" s="7" t="s">
        <v>74</v>
      </c>
      <c r="I55" s="18">
        <v>16000000</v>
      </c>
      <c r="J55" s="10">
        <v>1100</v>
      </c>
      <c r="K55" s="7" t="s">
        <v>13</v>
      </c>
      <c r="L55" s="7" t="s">
        <v>54</v>
      </c>
      <c r="M55" s="34">
        <v>45670</v>
      </c>
      <c r="N55" s="7" t="s">
        <v>92</v>
      </c>
      <c r="O55" s="7" t="s">
        <v>180</v>
      </c>
    </row>
    <row r="56" spans="1:20" x14ac:dyDescent="0.25">
      <c r="A56" s="41" t="s">
        <v>199</v>
      </c>
      <c r="B56" s="1">
        <v>1</v>
      </c>
      <c r="C56" s="8">
        <v>45973</v>
      </c>
      <c r="D56" s="1" t="s">
        <v>310</v>
      </c>
      <c r="E56" s="7" t="s">
        <v>13</v>
      </c>
      <c r="F56" s="1" t="s">
        <v>23</v>
      </c>
      <c r="G56" s="9" t="s">
        <v>35</v>
      </c>
      <c r="H56" s="7" t="s">
        <v>74</v>
      </c>
      <c r="I56" s="18">
        <v>15001002</v>
      </c>
      <c r="J56" s="10">
        <v>4000</v>
      </c>
      <c r="K56" s="7" t="s">
        <v>13</v>
      </c>
      <c r="L56" s="7" t="s">
        <v>54</v>
      </c>
      <c r="M56" s="34">
        <v>46036</v>
      </c>
      <c r="N56" s="7" t="s">
        <v>64</v>
      </c>
      <c r="O56" s="7" t="s">
        <v>180</v>
      </c>
    </row>
    <row r="57" spans="1:20" x14ac:dyDescent="0.25">
      <c r="A57" s="41" t="s">
        <v>200</v>
      </c>
      <c r="B57" s="1">
        <v>3</v>
      </c>
      <c r="C57" s="8">
        <v>46041</v>
      </c>
      <c r="D57" s="1" t="s">
        <v>358</v>
      </c>
      <c r="E57" s="7" t="s">
        <v>13</v>
      </c>
      <c r="F57" s="1" t="s">
        <v>23</v>
      </c>
      <c r="G57" s="9" t="s">
        <v>35</v>
      </c>
      <c r="H57" s="7">
        <v>839</v>
      </c>
      <c r="I57" s="18">
        <v>16000000</v>
      </c>
      <c r="J57" s="10">
        <v>1978.19</v>
      </c>
      <c r="K57" s="7" t="s">
        <v>13</v>
      </c>
      <c r="L57" s="7" t="s">
        <v>54</v>
      </c>
      <c r="M57" s="34">
        <v>46041</v>
      </c>
      <c r="N57" s="7" t="s">
        <v>41</v>
      </c>
      <c r="O57" s="7" t="s">
        <v>180</v>
      </c>
    </row>
    <row r="58" spans="1:20" x14ac:dyDescent="0.25">
      <c r="A58" s="41" t="s">
        <v>201</v>
      </c>
      <c r="B58" s="1">
        <v>2</v>
      </c>
      <c r="C58" s="8">
        <v>46036</v>
      </c>
      <c r="D58" s="1" t="s">
        <v>360</v>
      </c>
      <c r="E58" s="7" t="s">
        <v>13</v>
      </c>
      <c r="F58" s="1" t="s">
        <v>23</v>
      </c>
      <c r="G58" s="9" t="s">
        <v>35</v>
      </c>
      <c r="H58" s="7">
        <v>87</v>
      </c>
      <c r="I58" s="18">
        <v>16000000</v>
      </c>
      <c r="J58" s="10">
        <v>3683.64</v>
      </c>
      <c r="K58" s="7" t="s">
        <v>13</v>
      </c>
      <c r="L58" s="7" t="s">
        <v>54</v>
      </c>
      <c r="M58" s="34">
        <v>46038</v>
      </c>
      <c r="N58" s="7" t="s">
        <v>41</v>
      </c>
      <c r="O58" s="7" t="s">
        <v>180</v>
      </c>
    </row>
    <row r="59" spans="1:20" x14ac:dyDescent="0.25">
      <c r="A59" s="41" t="s">
        <v>202</v>
      </c>
      <c r="B59" s="1">
        <v>2</v>
      </c>
      <c r="C59" s="8">
        <v>46036</v>
      </c>
      <c r="D59" s="1" t="s">
        <v>359</v>
      </c>
      <c r="E59" s="7" t="s">
        <v>13</v>
      </c>
      <c r="F59" s="1" t="s">
        <v>23</v>
      </c>
      <c r="G59" s="9" t="s">
        <v>35</v>
      </c>
      <c r="H59" s="7">
        <v>40</v>
      </c>
      <c r="I59" s="18">
        <v>16000000</v>
      </c>
      <c r="J59" s="10">
        <v>4274.3599999999997</v>
      </c>
      <c r="K59" s="7" t="s">
        <v>13</v>
      </c>
      <c r="L59" s="7" t="s">
        <v>54</v>
      </c>
      <c r="M59" s="34">
        <v>46038</v>
      </c>
      <c r="N59" s="7" t="s">
        <v>41</v>
      </c>
      <c r="O59" s="7" t="s">
        <v>180</v>
      </c>
    </row>
    <row r="60" spans="1:20" ht="15" customHeight="1" x14ac:dyDescent="0.25">
      <c r="A60" s="41" t="s">
        <v>203</v>
      </c>
      <c r="B60" s="1">
        <v>2</v>
      </c>
      <c r="C60" s="8">
        <v>45669</v>
      </c>
      <c r="D60" s="1" t="s">
        <v>204</v>
      </c>
      <c r="E60" s="7" t="s">
        <v>13</v>
      </c>
      <c r="F60" s="1" t="s">
        <v>23</v>
      </c>
      <c r="G60" s="9" t="s">
        <v>63</v>
      </c>
      <c r="H60" s="7" t="s">
        <v>74</v>
      </c>
      <c r="I60" s="18" t="s">
        <v>0</v>
      </c>
      <c r="J60" s="10" t="s">
        <v>61</v>
      </c>
      <c r="K60" s="7" t="s">
        <v>17</v>
      </c>
      <c r="L60" s="7" t="s">
        <v>55</v>
      </c>
      <c r="M60" s="34">
        <v>45669</v>
      </c>
      <c r="N60" s="7" t="s">
        <v>92</v>
      </c>
    </row>
    <row r="61" spans="1:20" ht="15" customHeight="1" x14ac:dyDescent="0.25">
      <c r="A61" s="78" t="s">
        <v>205</v>
      </c>
      <c r="B61" s="1">
        <v>3</v>
      </c>
      <c r="C61" s="8">
        <v>45670</v>
      </c>
      <c r="D61" s="1" t="s">
        <v>206</v>
      </c>
      <c r="E61" s="7" t="s">
        <v>13</v>
      </c>
      <c r="F61" s="1" t="s">
        <v>23</v>
      </c>
      <c r="G61" s="9" t="s">
        <v>35</v>
      </c>
      <c r="H61" s="7">
        <v>35957</v>
      </c>
      <c r="I61" s="18">
        <v>15001002</v>
      </c>
      <c r="J61" s="10">
        <v>3570.8</v>
      </c>
      <c r="K61" s="7" t="s">
        <v>13</v>
      </c>
      <c r="L61" s="7" t="s">
        <v>54</v>
      </c>
      <c r="M61" s="34">
        <v>46035</v>
      </c>
      <c r="N61" s="7" t="s">
        <v>92</v>
      </c>
      <c r="O61" s="7" t="s">
        <v>180</v>
      </c>
    </row>
    <row r="62" spans="1:20" ht="14.25" customHeight="1" x14ac:dyDescent="0.25">
      <c r="A62" s="41" t="s">
        <v>207</v>
      </c>
      <c r="B62" s="1">
        <v>3</v>
      </c>
      <c r="C62" s="8">
        <v>45669</v>
      </c>
      <c r="D62" s="1" t="s">
        <v>208</v>
      </c>
      <c r="E62" s="7" t="s">
        <v>94</v>
      </c>
      <c r="F62" s="1" t="s">
        <v>23</v>
      </c>
      <c r="G62" s="9" t="s">
        <v>76</v>
      </c>
      <c r="H62" s="7" t="s">
        <v>74</v>
      </c>
      <c r="I62" s="18" t="s">
        <v>0</v>
      </c>
      <c r="J62" s="10" t="s">
        <v>61</v>
      </c>
      <c r="K62" s="7" t="s">
        <v>22</v>
      </c>
      <c r="L62" s="7" t="s">
        <v>55</v>
      </c>
      <c r="M62" s="34">
        <v>45670</v>
      </c>
      <c r="N62" s="7" t="s">
        <v>91</v>
      </c>
    </row>
    <row r="63" spans="1:20" ht="15.75" customHeight="1" x14ac:dyDescent="0.25">
      <c r="A63" s="41" t="s">
        <v>210</v>
      </c>
      <c r="B63" s="1">
        <v>2</v>
      </c>
      <c r="C63" s="8">
        <v>46057</v>
      </c>
      <c r="D63" s="1" t="s">
        <v>209</v>
      </c>
      <c r="E63" s="7" t="s">
        <v>14</v>
      </c>
      <c r="F63" s="1" t="s">
        <v>23</v>
      </c>
      <c r="G63" s="9" t="s">
        <v>63</v>
      </c>
      <c r="H63" s="7" t="s">
        <v>74</v>
      </c>
      <c r="I63" s="18">
        <v>15000000</v>
      </c>
      <c r="J63" s="10" t="s">
        <v>61</v>
      </c>
      <c r="K63" s="7" t="s">
        <v>17</v>
      </c>
      <c r="L63" s="7" t="s">
        <v>55</v>
      </c>
      <c r="M63" s="34">
        <v>46072</v>
      </c>
      <c r="N63" s="7" t="s">
        <v>64</v>
      </c>
    </row>
    <row r="64" spans="1:20" ht="14.25" customHeight="1" x14ac:dyDescent="0.25">
      <c r="A64" s="41" t="s">
        <v>211</v>
      </c>
      <c r="B64" s="1">
        <v>2</v>
      </c>
      <c r="C64" s="8">
        <v>46059</v>
      </c>
      <c r="D64" s="1" t="s">
        <v>212</v>
      </c>
      <c r="E64" s="7" t="s">
        <v>12</v>
      </c>
      <c r="F64" s="1" t="s">
        <v>23</v>
      </c>
      <c r="G64" s="9" t="s">
        <v>63</v>
      </c>
      <c r="H64" s="7" t="s">
        <v>74</v>
      </c>
      <c r="I64" s="18" t="s">
        <v>0</v>
      </c>
      <c r="J64" s="10" t="s">
        <v>61</v>
      </c>
      <c r="K64" s="7" t="s">
        <v>17</v>
      </c>
      <c r="L64" s="7" t="s">
        <v>55</v>
      </c>
      <c r="M64" s="34">
        <v>46064</v>
      </c>
      <c r="N64" s="7" t="s">
        <v>64</v>
      </c>
    </row>
    <row r="65" spans="1:15" x14ac:dyDescent="0.25">
      <c r="A65" s="41" t="s">
        <v>213</v>
      </c>
      <c r="B65" s="1">
        <v>1</v>
      </c>
      <c r="C65" s="8">
        <v>45974</v>
      </c>
      <c r="D65" s="1" t="s">
        <v>566</v>
      </c>
      <c r="E65" s="7" t="s">
        <v>13</v>
      </c>
      <c r="F65" s="1" t="s">
        <v>23</v>
      </c>
      <c r="G65" s="9" t="s">
        <v>35</v>
      </c>
      <c r="H65" s="7">
        <v>1</v>
      </c>
      <c r="I65" s="18">
        <v>15001002</v>
      </c>
      <c r="J65" s="10">
        <v>9760</v>
      </c>
      <c r="K65" s="7" t="s">
        <v>13</v>
      </c>
      <c r="L65" s="7" t="s">
        <v>54</v>
      </c>
      <c r="M65" s="34">
        <v>46041</v>
      </c>
    </row>
    <row r="66" spans="1:15" x14ac:dyDescent="0.25">
      <c r="A66" s="41" t="s">
        <v>214</v>
      </c>
      <c r="B66" s="1">
        <v>1</v>
      </c>
      <c r="C66" s="8">
        <v>45974</v>
      </c>
      <c r="D66" s="1" t="s">
        <v>290</v>
      </c>
      <c r="E66" s="7" t="s">
        <v>13</v>
      </c>
      <c r="F66" s="1" t="s">
        <v>23</v>
      </c>
      <c r="G66" s="9" t="s">
        <v>35</v>
      </c>
      <c r="H66" s="7" t="s">
        <v>74</v>
      </c>
      <c r="I66" s="18">
        <v>15001002</v>
      </c>
      <c r="J66" s="10">
        <v>9440</v>
      </c>
      <c r="K66" s="7" t="s">
        <v>13</v>
      </c>
      <c r="L66" s="7" t="s">
        <v>54</v>
      </c>
      <c r="M66" s="34">
        <v>46036</v>
      </c>
      <c r="N66" s="7" t="s">
        <v>64</v>
      </c>
    </row>
    <row r="67" spans="1:15" ht="30" x14ac:dyDescent="0.25">
      <c r="A67" s="41" t="s">
        <v>2177</v>
      </c>
      <c r="B67" s="1">
        <v>2</v>
      </c>
      <c r="C67" s="8">
        <v>46141</v>
      </c>
      <c r="D67" s="1" t="s">
        <v>215</v>
      </c>
      <c r="E67" s="7" t="s">
        <v>14</v>
      </c>
      <c r="F67" s="1" t="s">
        <v>23</v>
      </c>
      <c r="G67" s="9" t="s">
        <v>47</v>
      </c>
      <c r="H67" s="7" t="s">
        <v>74</v>
      </c>
      <c r="I67" s="18" t="s">
        <v>0</v>
      </c>
      <c r="J67" s="10">
        <v>9813548.4000000004</v>
      </c>
      <c r="K67" s="7" t="s">
        <v>22</v>
      </c>
      <c r="L67" s="7" t="s">
        <v>55</v>
      </c>
      <c r="M67" s="34">
        <v>46035</v>
      </c>
      <c r="N67" s="7" t="s">
        <v>45</v>
      </c>
    </row>
    <row r="68" spans="1:15" ht="30" x14ac:dyDescent="0.25">
      <c r="A68" s="41" t="s">
        <v>216</v>
      </c>
      <c r="B68" s="1">
        <v>2</v>
      </c>
      <c r="C68" s="8">
        <v>46036</v>
      </c>
      <c r="D68" s="1" t="s">
        <v>349</v>
      </c>
      <c r="E68" s="7" t="s">
        <v>94</v>
      </c>
      <c r="F68" s="1" t="s">
        <v>34</v>
      </c>
      <c r="G68" s="9" t="s">
        <v>50</v>
      </c>
      <c r="H68" s="7" t="s">
        <v>74</v>
      </c>
      <c r="I68" s="18" t="s">
        <v>0</v>
      </c>
      <c r="J68" s="10" t="s">
        <v>61</v>
      </c>
      <c r="K68" s="7" t="s">
        <v>22</v>
      </c>
      <c r="L68" s="7" t="s">
        <v>55</v>
      </c>
      <c r="M68" s="34">
        <v>46037</v>
      </c>
      <c r="N68" s="7" t="s">
        <v>45</v>
      </c>
    </row>
    <row r="69" spans="1:15" x14ac:dyDescent="0.25">
      <c r="A69" s="41" t="s">
        <v>217</v>
      </c>
      <c r="B69" s="1">
        <v>3</v>
      </c>
      <c r="C69" s="8">
        <v>46037</v>
      </c>
      <c r="D69" s="1" t="s">
        <v>351</v>
      </c>
      <c r="E69" s="7" t="s">
        <v>13</v>
      </c>
      <c r="F69" s="1" t="s">
        <v>23</v>
      </c>
      <c r="G69" s="9" t="s">
        <v>35</v>
      </c>
      <c r="H69" s="7">
        <v>167</v>
      </c>
      <c r="I69" s="18">
        <v>15001002</v>
      </c>
      <c r="J69" s="10">
        <v>34740</v>
      </c>
      <c r="K69" s="7" t="s">
        <v>13</v>
      </c>
      <c r="L69" s="7" t="s">
        <v>54</v>
      </c>
      <c r="M69" s="34">
        <v>46038</v>
      </c>
      <c r="N69" s="7" t="s">
        <v>41</v>
      </c>
      <c r="O69" s="7" t="s">
        <v>352</v>
      </c>
    </row>
    <row r="70" spans="1:15" x14ac:dyDescent="0.25">
      <c r="A70" s="41" t="s">
        <v>218</v>
      </c>
      <c r="B70" s="1">
        <v>1</v>
      </c>
      <c r="C70" s="8">
        <v>45974</v>
      </c>
      <c r="D70" s="1" t="s">
        <v>340</v>
      </c>
      <c r="E70" s="7" t="s">
        <v>13</v>
      </c>
      <c r="F70" s="1" t="s">
        <v>23</v>
      </c>
      <c r="G70" s="9" t="s">
        <v>35</v>
      </c>
      <c r="H70" s="7">
        <v>260</v>
      </c>
      <c r="I70" s="18">
        <v>15001002</v>
      </c>
      <c r="J70" s="10">
        <v>7080</v>
      </c>
      <c r="K70" s="7" t="s">
        <v>13</v>
      </c>
      <c r="L70" s="7" t="s">
        <v>54</v>
      </c>
      <c r="M70" s="34">
        <v>46037</v>
      </c>
      <c r="N70" s="7" t="s">
        <v>41</v>
      </c>
    </row>
    <row r="71" spans="1:15" x14ac:dyDescent="0.25">
      <c r="A71" s="41" t="s">
        <v>219</v>
      </c>
      <c r="B71" s="1">
        <v>2</v>
      </c>
      <c r="C71" s="8">
        <v>46037</v>
      </c>
      <c r="D71" s="1" t="s">
        <v>291</v>
      </c>
      <c r="E71" s="7" t="s">
        <v>13</v>
      </c>
      <c r="F71" s="1" t="s">
        <v>23</v>
      </c>
      <c r="G71" s="9" t="s">
        <v>35</v>
      </c>
      <c r="H71" s="7">
        <v>2344</v>
      </c>
      <c r="I71" s="18">
        <v>16000000</v>
      </c>
      <c r="J71" s="10">
        <v>189950.09</v>
      </c>
      <c r="K71" s="7" t="s">
        <v>13</v>
      </c>
      <c r="L71" s="7" t="s">
        <v>54</v>
      </c>
      <c r="M71" s="34">
        <v>46037</v>
      </c>
      <c r="N71" s="7" t="s">
        <v>41</v>
      </c>
    </row>
    <row r="72" spans="1:15" x14ac:dyDescent="0.25">
      <c r="A72" s="41" t="s">
        <v>219</v>
      </c>
      <c r="B72" s="1">
        <v>2</v>
      </c>
      <c r="C72" s="8">
        <v>46037</v>
      </c>
      <c r="D72" s="1" t="s">
        <v>312</v>
      </c>
      <c r="E72" s="7" t="s">
        <v>13</v>
      </c>
      <c r="F72" s="1" t="s">
        <v>23</v>
      </c>
      <c r="G72" s="9" t="s">
        <v>35</v>
      </c>
      <c r="H72" s="7">
        <v>2343</v>
      </c>
      <c r="I72" s="18">
        <v>15010000</v>
      </c>
      <c r="J72" s="10">
        <v>360957.41</v>
      </c>
      <c r="K72" s="7" t="s">
        <v>13</v>
      </c>
      <c r="L72" s="7" t="s">
        <v>54</v>
      </c>
      <c r="M72" s="34">
        <v>46036</v>
      </c>
      <c r="N72" s="7" t="s">
        <v>41</v>
      </c>
    </row>
    <row r="73" spans="1:15" x14ac:dyDescent="0.25">
      <c r="A73" s="41" t="s">
        <v>220</v>
      </c>
      <c r="B73" s="1">
        <v>2</v>
      </c>
      <c r="C73" s="8">
        <v>45671</v>
      </c>
      <c r="D73" s="1" t="s">
        <v>221</v>
      </c>
      <c r="E73" s="7" t="s">
        <v>11</v>
      </c>
      <c r="F73" s="1" t="s">
        <v>23</v>
      </c>
      <c r="G73" s="9" t="s">
        <v>63</v>
      </c>
      <c r="H73" s="7" t="s">
        <v>74</v>
      </c>
      <c r="I73" s="18" t="s">
        <v>0</v>
      </c>
      <c r="J73" s="10" t="s">
        <v>61</v>
      </c>
      <c r="K73" s="7" t="s">
        <v>17</v>
      </c>
      <c r="L73" s="7" t="s">
        <v>55</v>
      </c>
      <c r="M73" s="34">
        <v>46037</v>
      </c>
    </row>
    <row r="74" spans="1:15" x14ac:dyDescent="0.25">
      <c r="A74" s="41" t="s">
        <v>223</v>
      </c>
      <c r="B74" s="1">
        <v>2</v>
      </c>
      <c r="C74" s="8">
        <v>46042</v>
      </c>
      <c r="D74" s="1" t="s">
        <v>222</v>
      </c>
      <c r="E74" s="7" t="s">
        <v>14</v>
      </c>
      <c r="F74" s="1" t="s">
        <v>23</v>
      </c>
      <c r="G74" s="9" t="s">
        <v>63</v>
      </c>
      <c r="H74" s="7" t="s">
        <v>74</v>
      </c>
      <c r="I74" s="18" t="s">
        <v>0</v>
      </c>
      <c r="J74" s="10" t="s">
        <v>61</v>
      </c>
      <c r="K74" s="7" t="s">
        <v>58</v>
      </c>
      <c r="L74" s="7" t="s">
        <v>59</v>
      </c>
      <c r="M74" s="34">
        <v>46038</v>
      </c>
    </row>
    <row r="75" spans="1:15" x14ac:dyDescent="0.25">
      <c r="A75" s="41" t="s">
        <v>205</v>
      </c>
      <c r="B75" s="1">
        <v>1</v>
      </c>
      <c r="C75" s="8">
        <v>46036</v>
      </c>
      <c r="D75" s="1" t="s">
        <v>224</v>
      </c>
      <c r="E75" s="7" t="s">
        <v>13</v>
      </c>
      <c r="F75" s="1" t="s">
        <v>23</v>
      </c>
      <c r="G75" s="9" t="s">
        <v>35</v>
      </c>
      <c r="H75" s="7">
        <v>36040</v>
      </c>
      <c r="I75" s="18">
        <v>15001002</v>
      </c>
      <c r="J75" s="10">
        <v>8814</v>
      </c>
      <c r="K75" s="7" t="s">
        <v>13</v>
      </c>
      <c r="L75" s="7" t="s">
        <v>54</v>
      </c>
      <c r="M75" s="34">
        <v>46037</v>
      </c>
      <c r="N75" s="7" t="s">
        <v>64</v>
      </c>
    </row>
    <row r="76" spans="1:15" x14ac:dyDescent="0.25">
      <c r="A76" s="41" t="s">
        <v>225</v>
      </c>
      <c r="B76" s="1">
        <v>2</v>
      </c>
      <c r="C76" s="8">
        <v>46041</v>
      </c>
      <c r="D76" s="1" t="s">
        <v>341</v>
      </c>
      <c r="E76" s="7" t="s">
        <v>13</v>
      </c>
      <c r="F76" s="1" t="s">
        <v>23</v>
      </c>
      <c r="G76" s="9" t="s">
        <v>35</v>
      </c>
      <c r="H76" s="7">
        <v>6928</v>
      </c>
      <c r="I76" s="18">
        <v>15001002</v>
      </c>
      <c r="J76" s="10">
        <v>86748.95</v>
      </c>
      <c r="K76" s="7" t="s">
        <v>13</v>
      </c>
      <c r="L76" s="7" t="s">
        <v>54</v>
      </c>
      <c r="M76" s="34">
        <v>46042</v>
      </c>
      <c r="N76" s="7" t="s">
        <v>64</v>
      </c>
    </row>
    <row r="77" spans="1:15" x14ac:dyDescent="0.25">
      <c r="A77" s="41" t="s">
        <v>205</v>
      </c>
      <c r="B77" s="1">
        <v>1</v>
      </c>
      <c r="C77" s="8">
        <v>46036</v>
      </c>
      <c r="D77" s="1" t="s">
        <v>226</v>
      </c>
      <c r="E77" s="7" t="s">
        <v>13</v>
      </c>
      <c r="F77" s="1" t="s">
        <v>23</v>
      </c>
      <c r="G77" s="9" t="s">
        <v>35</v>
      </c>
      <c r="H77" s="7">
        <v>253998</v>
      </c>
      <c r="I77" s="18">
        <v>15001002</v>
      </c>
      <c r="J77" s="10">
        <v>74.459999999999994</v>
      </c>
      <c r="K77" s="7" t="s">
        <v>13</v>
      </c>
      <c r="L77" s="7" t="s">
        <v>54</v>
      </c>
      <c r="M77" s="34">
        <v>46037</v>
      </c>
      <c r="N77" s="7" t="s">
        <v>64</v>
      </c>
    </row>
    <row r="78" spans="1:15" x14ac:dyDescent="0.25">
      <c r="A78" s="41" t="s">
        <v>227</v>
      </c>
      <c r="B78" s="1">
        <v>1</v>
      </c>
      <c r="C78" s="8">
        <v>46036</v>
      </c>
      <c r="D78" s="1" t="s">
        <v>361</v>
      </c>
      <c r="E78" s="7" t="s">
        <v>13</v>
      </c>
      <c r="F78" s="1" t="s">
        <v>23</v>
      </c>
      <c r="G78" s="9" t="s">
        <v>35</v>
      </c>
      <c r="H78" s="7">
        <v>682</v>
      </c>
      <c r="I78" s="18">
        <v>15001002</v>
      </c>
      <c r="J78" s="10">
        <v>6241.41</v>
      </c>
      <c r="K78" s="7" t="s">
        <v>13</v>
      </c>
      <c r="L78" s="7" t="s">
        <v>54</v>
      </c>
      <c r="M78" s="34">
        <v>46038</v>
      </c>
      <c r="N78" s="7" t="s">
        <v>64</v>
      </c>
    </row>
    <row r="79" spans="1:15" x14ac:dyDescent="0.25">
      <c r="A79" s="41" t="s">
        <v>228</v>
      </c>
      <c r="B79" s="1">
        <v>1</v>
      </c>
      <c r="C79" s="8">
        <v>46036</v>
      </c>
      <c r="D79" s="1" t="s">
        <v>229</v>
      </c>
      <c r="E79" s="7" t="s">
        <v>13</v>
      </c>
      <c r="F79" s="1" t="s">
        <v>23</v>
      </c>
      <c r="G79" s="9" t="s">
        <v>35</v>
      </c>
      <c r="H79" s="7">
        <v>1048</v>
      </c>
      <c r="I79" s="18">
        <v>26010000</v>
      </c>
      <c r="J79" s="10">
        <v>490</v>
      </c>
      <c r="K79" s="7" t="s">
        <v>13</v>
      </c>
      <c r="L79" s="7" t="s">
        <v>54</v>
      </c>
      <c r="M79" s="34">
        <v>46037</v>
      </c>
    </row>
    <row r="80" spans="1:15" x14ac:dyDescent="0.25">
      <c r="A80" s="41" t="s">
        <v>231</v>
      </c>
      <c r="B80" s="1">
        <v>1</v>
      </c>
      <c r="C80" s="8">
        <v>46036</v>
      </c>
      <c r="D80" s="1" t="s">
        <v>230</v>
      </c>
      <c r="E80" s="7" t="s">
        <v>13</v>
      </c>
      <c r="F80" s="1" t="s">
        <v>23</v>
      </c>
      <c r="G80" s="9" t="s">
        <v>35</v>
      </c>
      <c r="H80" s="7">
        <v>943</v>
      </c>
      <c r="I80" s="18">
        <v>16000000</v>
      </c>
      <c r="J80" s="10">
        <v>13916.66</v>
      </c>
      <c r="K80" s="7" t="s">
        <v>13</v>
      </c>
      <c r="L80" s="7" t="s">
        <v>54</v>
      </c>
      <c r="M80" s="34">
        <v>46037</v>
      </c>
    </row>
    <row r="81" spans="1:14" x14ac:dyDescent="0.25">
      <c r="A81" s="41" t="s">
        <v>232</v>
      </c>
      <c r="B81" s="1">
        <v>1</v>
      </c>
      <c r="C81" s="8">
        <v>46036</v>
      </c>
      <c r="D81" s="1" t="s">
        <v>233</v>
      </c>
      <c r="E81" s="7" t="s">
        <v>13</v>
      </c>
      <c r="F81" s="1" t="s">
        <v>23</v>
      </c>
      <c r="G81" s="9" t="s">
        <v>35</v>
      </c>
      <c r="H81" s="7">
        <v>523193</v>
      </c>
      <c r="I81" s="18">
        <v>15001002</v>
      </c>
      <c r="J81" s="10">
        <v>8893.2000000000007</v>
      </c>
      <c r="K81" s="7" t="s">
        <v>13</v>
      </c>
      <c r="L81" s="7" t="s">
        <v>54</v>
      </c>
      <c r="M81" s="34">
        <v>46037</v>
      </c>
    </row>
    <row r="82" spans="1:14" x14ac:dyDescent="0.25">
      <c r="A82" s="41" t="s">
        <v>235</v>
      </c>
      <c r="B82" s="1">
        <v>1</v>
      </c>
      <c r="C82" s="8">
        <v>46036</v>
      </c>
      <c r="D82" s="1" t="s">
        <v>234</v>
      </c>
      <c r="E82" s="7" t="s">
        <v>13</v>
      </c>
      <c r="F82" s="1" t="s">
        <v>23</v>
      </c>
      <c r="G82" s="9" t="s">
        <v>35</v>
      </c>
      <c r="H82" s="7">
        <v>185889</v>
      </c>
      <c r="I82" s="18">
        <v>16003110</v>
      </c>
      <c r="J82" s="10">
        <v>300</v>
      </c>
      <c r="K82" s="7" t="s">
        <v>13</v>
      </c>
      <c r="L82" s="7" t="s">
        <v>54</v>
      </c>
      <c r="M82" s="34">
        <v>46037</v>
      </c>
      <c r="N82" s="7" t="s">
        <v>64</v>
      </c>
    </row>
    <row r="83" spans="1:14" x14ac:dyDescent="0.25">
      <c r="A83" s="41" t="s">
        <v>236</v>
      </c>
      <c r="B83" s="1">
        <v>1</v>
      </c>
      <c r="C83" s="8">
        <v>46036</v>
      </c>
      <c r="D83" s="1" t="s">
        <v>237</v>
      </c>
      <c r="E83" s="7" t="s">
        <v>13</v>
      </c>
      <c r="F83" s="1" t="s">
        <v>23</v>
      </c>
      <c r="G83" s="9" t="s">
        <v>35</v>
      </c>
      <c r="H83" s="7">
        <v>18659</v>
      </c>
      <c r="I83" s="18">
        <v>16000000</v>
      </c>
      <c r="J83" s="10">
        <v>2448</v>
      </c>
      <c r="K83" s="7" t="s">
        <v>13</v>
      </c>
      <c r="L83" s="7" t="s">
        <v>54</v>
      </c>
      <c r="M83" s="34">
        <v>46037</v>
      </c>
      <c r="N83" s="7" t="s">
        <v>64</v>
      </c>
    </row>
    <row r="84" spans="1:14" x14ac:dyDescent="0.25">
      <c r="A84" s="41" t="s">
        <v>236</v>
      </c>
      <c r="B84" s="1">
        <v>1</v>
      </c>
      <c r="C84" s="8">
        <v>46036</v>
      </c>
      <c r="D84" s="1" t="s">
        <v>238</v>
      </c>
      <c r="E84" s="7" t="s">
        <v>13</v>
      </c>
      <c r="F84" s="1" t="s">
        <v>23</v>
      </c>
      <c r="G84" s="9" t="s">
        <v>35</v>
      </c>
      <c r="H84" s="7">
        <v>185505</v>
      </c>
      <c r="I84" s="18">
        <v>16000000</v>
      </c>
      <c r="J84" s="10">
        <v>529.20000000000005</v>
      </c>
      <c r="K84" s="7" t="s">
        <v>13</v>
      </c>
      <c r="L84" s="7" t="s">
        <v>54</v>
      </c>
      <c r="M84" s="34">
        <v>46037</v>
      </c>
      <c r="N84" s="7" t="s">
        <v>64</v>
      </c>
    </row>
    <row r="85" spans="1:14" x14ac:dyDescent="0.25">
      <c r="A85" s="41" t="s">
        <v>235</v>
      </c>
      <c r="B85" s="1">
        <v>1</v>
      </c>
      <c r="C85" s="8">
        <v>46036</v>
      </c>
      <c r="D85" s="1" t="s">
        <v>350</v>
      </c>
      <c r="E85" s="7" t="s">
        <v>13</v>
      </c>
      <c r="F85" s="1" t="s">
        <v>23</v>
      </c>
      <c r="G85" s="9" t="s">
        <v>35</v>
      </c>
      <c r="H85" s="7">
        <v>4618</v>
      </c>
      <c r="I85" s="18">
        <v>16210000</v>
      </c>
      <c r="J85" s="10">
        <v>2160</v>
      </c>
      <c r="K85" s="7" t="s">
        <v>13</v>
      </c>
      <c r="L85" s="7" t="s">
        <v>54</v>
      </c>
      <c r="M85" s="34">
        <v>46037</v>
      </c>
      <c r="N85" s="7" t="s">
        <v>41</v>
      </c>
    </row>
    <row r="86" spans="1:14" x14ac:dyDescent="0.25">
      <c r="A86" s="41" t="s">
        <v>246</v>
      </c>
      <c r="B86" s="1">
        <v>1</v>
      </c>
      <c r="C86" s="8">
        <v>46036</v>
      </c>
      <c r="D86" s="1" t="s">
        <v>239</v>
      </c>
      <c r="E86" s="7" t="s">
        <v>13</v>
      </c>
      <c r="F86" s="1" t="s">
        <v>23</v>
      </c>
      <c r="G86" s="9" t="s">
        <v>35</v>
      </c>
      <c r="H86" s="7">
        <v>20922607</v>
      </c>
      <c r="I86" s="18">
        <v>16000000</v>
      </c>
      <c r="J86" s="10">
        <v>150</v>
      </c>
      <c r="K86" s="7" t="s">
        <v>13</v>
      </c>
      <c r="L86" s="7" t="s">
        <v>54</v>
      </c>
      <c r="M86" s="34">
        <v>46038</v>
      </c>
      <c r="N86" s="7" t="s">
        <v>91</v>
      </c>
    </row>
    <row r="87" spans="1:14" x14ac:dyDescent="0.25">
      <c r="A87" s="41" t="s">
        <v>227</v>
      </c>
      <c r="B87" s="1">
        <v>1</v>
      </c>
      <c r="C87" s="8">
        <v>46036</v>
      </c>
      <c r="D87" s="1" t="s">
        <v>240</v>
      </c>
      <c r="E87" s="7" t="s">
        <v>13</v>
      </c>
      <c r="F87" s="1" t="s">
        <v>23</v>
      </c>
      <c r="G87" s="9" t="s">
        <v>35</v>
      </c>
      <c r="H87" s="7">
        <v>680</v>
      </c>
      <c r="I87" s="18">
        <v>16003110</v>
      </c>
      <c r="J87" s="10">
        <v>9101.4</v>
      </c>
      <c r="K87" s="7" t="s">
        <v>13</v>
      </c>
      <c r="L87" s="7" t="s">
        <v>54</v>
      </c>
      <c r="M87" s="34">
        <v>46038</v>
      </c>
      <c r="N87" s="7" t="s">
        <v>64</v>
      </c>
    </row>
    <row r="88" spans="1:14" x14ac:dyDescent="0.25">
      <c r="A88" s="41" t="s">
        <v>247</v>
      </c>
      <c r="B88" s="1">
        <v>1</v>
      </c>
      <c r="C88" s="8">
        <v>46036</v>
      </c>
      <c r="D88" s="1" t="s">
        <v>241</v>
      </c>
      <c r="E88" s="7" t="s">
        <v>13</v>
      </c>
      <c r="F88" s="1" t="s">
        <v>23</v>
      </c>
      <c r="G88" s="9" t="s">
        <v>35</v>
      </c>
      <c r="H88" s="7">
        <v>2092490</v>
      </c>
      <c r="I88" s="18">
        <v>16000000</v>
      </c>
      <c r="J88" s="10">
        <v>732</v>
      </c>
      <c r="K88" s="7" t="s">
        <v>13</v>
      </c>
      <c r="L88" s="7" t="s">
        <v>54</v>
      </c>
      <c r="M88" s="34">
        <v>46038</v>
      </c>
      <c r="N88" s="7" t="s">
        <v>91</v>
      </c>
    </row>
    <row r="89" spans="1:14" x14ac:dyDescent="0.25">
      <c r="A89" s="41" t="s">
        <v>227</v>
      </c>
      <c r="B89" s="1">
        <v>1</v>
      </c>
      <c r="C89" s="8">
        <v>46036</v>
      </c>
      <c r="D89" s="1" t="s">
        <v>242</v>
      </c>
      <c r="E89" s="7" t="s">
        <v>13</v>
      </c>
      <c r="F89" s="1" t="s">
        <v>23</v>
      </c>
      <c r="G89" s="9" t="s">
        <v>35</v>
      </c>
      <c r="H89" s="7">
        <v>684</v>
      </c>
      <c r="I89" s="18">
        <v>16000000</v>
      </c>
      <c r="J89" s="10">
        <v>1560.24</v>
      </c>
      <c r="K89" s="7" t="s">
        <v>13</v>
      </c>
      <c r="L89" s="7" t="s">
        <v>54</v>
      </c>
      <c r="M89" s="34">
        <v>46038</v>
      </c>
      <c r="N89" s="7" t="s">
        <v>64</v>
      </c>
    </row>
    <row r="90" spans="1:14" x14ac:dyDescent="0.25">
      <c r="A90" s="41" t="s">
        <v>248</v>
      </c>
      <c r="B90" s="1">
        <v>2</v>
      </c>
      <c r="C90" s="8">
        <v>46041</v>
      </c>
      <c r="D90" s="1" t="s">
        <v>243</v>
      </c>
      <c r="E90" s="7" t="s">
        <v>13</v>
      </c>
      <c r="F90" s="1" t="s">
        <v>23</v>
      </c>
      <c r="G90" s="9" t="s">
        <v>35</v>
      </c>
      <c r="H90" s="7">
        <v>64958</v>
      </c>
      <c r="I90" s="18">
        <v>16210000</v>
      </c>
      <c r="J90" s="10">
        <v>11780</v>
      </c>
      <c r="K90" s="7" t="s">
        <v>13</v>
      </c>
      <c r="L90" s="7" t="s">
        <v>54</v>
      </c>
      <c r="M90" s="34">
        <v>46041</v>
      </c>
      <c r="N90" s="7" t="s">
        <v>91</v>
      </c>
    </row>
    <row r="91" spans="1:14" x14ac:dyDescent="0.25">
      <c r="A91" s="41" t="s">
        <v>249</v>
      </c>
      <c r="B91" s="1">
        <v>1</v>
      </c>
      <c r="C91" s="8">
        <v>46036</v>
      </c>
      <c r="D91" s="1" t="s">
        <v>244</v>
      </c>
      <c r="E91" s="7" t="s">
        <v>13</v>
      </c>
      <c r="F91" s="1" t="s">
        <v>23</v>
      </c>
      <c r="G91" s="9" t="s">
        <v>35</v>
      </c>
      <c r="H91" s="7">
        <v>344565</v>
      </c>
      <c r="I91" s="18">
        <v>15001002</v>
      </c>
      <c r="J91" s="10">
        <v>161</v>
      </c>
      <c r="K91" s="7" t="s">
        <v>13</v>
      </c>
      <c r="L91" s="7" t="s">
        <v>54</v>
      </c>
      <c r="M91" s="34">
        <v>46037</v>
      </c>
      <c r="N91" s="7" t="s">
        <v>64</v>
      </c>
    </row>
    <row r="92" spans="1:14" x14ac:dyDescent="0.25">
      <c r="A92" s="41" t="s">
        <v>250</v>
      </c>
      <c r="B92" s="1">
        <v>1</v>
      </c>
      <c r="C92" s="8">
        <v>46036</v>
      </c>
      <c r="D92" s="1" t="s">
        <v>245</v>
      </c>
      <c r="E92" s="7" t="s">
        <v>13</v>
      </c>
      <c r="F92" s="1" t="s">
        <v>23</v>
      </c>
      <c r="G92" s="9" t="s">
        <v>35</v>
      </c>
      <c r="H92" s="7">
        <v>9653</v>
      </c>
      <c r="I92" s="18">
        <v>15001002</v>
      </c>
      <c r="J92" s="10">
        <v>1615.4</v>
      </c>
      <c r="K92" s="7" t="s">
        <v>13</v>
      </c>
      <c r="L92" s="7" t="s">
        <v>54</v>
      </c>
      <c r="M92" s="34">
        <v>46038</v>
      </c>
      <c r="N92" s="7" t="s">
        <v>41</v>
      </c>
    </row>
    <row r="93" spans="1:14" x14ac:dyDescent="0.25">
      <c r="A93" s="41" t="s">
        <v>252</v>
      </c>
      <c r="B93" s="1">
        <v>1</v>
      </c>
      <c r="C93" s="8">
        <v>46036</v>
      </c>
      <c r="D93" s="1" t="s">
        <v>251</v>
      </c>
      <c r="E93" s="7" t="s">
        <v>13</v>
      </c>
      <c r="F93" s="1" t="s">
        <v>23</v>
      </c>
      <c r="G93" s="9" t="s">
        <v>35</v>
      </c>
      <c r="H93" s="7" t="s">
        <v>74</v>
      </c>
      <c r="I93" s="18">
        <v>15001002</v>
      </c>
      <c r="J93" s="10">
        <v>2500</v>
      </c>
      <c r="K93" s="7" t="s">
        <v>13</v>
      </c>
      <c r="L93" s="7" t="s">
        <v>54</v>
      </c>
      <c r="M93" s="34">
        <v>46042</v>
      </c>
      <c r="N93" s="7" t="s">
        <v>92</v>
      </c>
    </row>
    <row r="94" spans="1:14" x14ac:dyDescent="0.25">
      <c r="A94" s="41" t="s">
        <v>236</v>
      </c>
      <c r="B94" s="1">
        <v>2</v>
      </c>
      <c r="C94" s="8">
        <v>46041</v>
      </c>
      <c r="D94" s="1" t="s">
        <v>253</v>
      </c>
      <c r="E94" s="7" t="s">
        <v>13</v>
      </c>
      <c r="F94" s="1" t="s">
        <v>23</v>
      </c>
      <c r="G94" s="9" t="s">
        <v>35</v>
      </c>
      <c r="H94" s="7">
        <v>184473</v>
      </c>
      <c r="I94" s="18">
        <v>16210000</v>
      </c>
      <c r="J94" s="10">
        <v>3720</v>
      </c>
      <c r="K94" s="7" t="s">
        <v>13</v>
      </c>
      <c r="L94" s="7" t="s">
        <v>54</v>
      </c>
      <c r="M94" s="34">
        <v>46041</v>
      </c>
      <c r="N94" s="7" t="s">
        <v>64</v>
      </c>
    </row>
    <row r="95" spans="1:14" x14ac:dyDescent="0.25">
      <c r="A95" s="41" t="s">
        <v>236</v>
      </c>
      <c r="B95" s="1">
        <v>1</v>
      </c>
      <c r="C95" s="8">
        <v>46036</v>
      </c>
      <c r="D95" s="1" t="s">
        <v>254</v>
      </c>
      <c r="E95" s="7" t="s">
        <v>13</v>
      </c>
      <c r="F95" s="1" t="s">
        <v>23</v>
      </c>
      <c r="G95" s="9" t="s">
        <v>35</v>
      </c>
      <c r="H95" s="7">
        <v>184752</v>
      </c>
      <c r="I95" s="18">
        <v>16000000</v>
      </c>
      <c r="J95" s="10">
        <v>798</v>
      </c>
      <c r="K95" s="7" t="s">
        <v>13</v>
      </c>
      <c r="L95" s="7" t="s">
        <v>54</v>
      </c>
      <c r="M95" s="34">
        <v>46037</v>
      </c>
      <c r="N95" s="7" t="s">
        <v>64</v>
      </c>
    </row>
    <row r="96" spans="1:14" x14ac:dyDescent="0.25">
      <c r="A96" s="41" t="s">
        <v>248</v>
      </c>
      <c r="B96" s="1">
        <v>1</v>
      </c>
      <c r="C96" s="8">
        <v>46036</v>
      </c>
      <c r="D96" s="1" t="s">
        <v>255</v>
      </c>
      <c r="E96" s="7" t="s">
        <v>13</v>
      </c>
      <c r="F96" s="1" t="s">
        <v>23</v>
      </c>
      <c r="G96" s="9" t="s">
        <v>35</v>
      </c>
      <c r="H96" s="7">
        <v>64950</v>
      </c>
      <c r="I96" s="18">
        <v>16210000</v>
      </c>
      <c r="J96" s="10">
        <v>662.5</v>
      </c>
      <c r="K96" s="7" t="s">
        <v>13</v>
      </c>
      <c r="L96" s="7" t="s">
        <v>54</v>
      </c>
      <c r="M96" s="34">
        <v>46037</v>
      </c>
      <c r="N96" s="7" t="s">
        <v>91</v>
      </c>
    </row>
    <row r="97" spans="1:14" x14ac:dyDescent="0.25">
      <c r="A97" s="41" t="s">
        <v>236</v>
      </c>
      <c r="B97" s="1">
        <v>1</v>
      </c>
      <c r="C97" s="8">
        <v>46036</v>
      </c>
      <c r="D97" s="1" t="s">
        <v>256</v>
      </c>
      <c r="E97" s="7" t="s">
        <v>13</v>
      </c>
      <c r="F97" s="1" t="s">
        <v>23</v>
      </c>
      <c r="G97" s="9" t="s">
        <v>35</v>
      </c>
      <c r="H97" s="7">
        <v>185263</v>
      </c>
      <c r="I97" s="18">
        <v>16210000</v>
      </c>
      <c r="J97" s="10">
        <v>8396.64</v>
      </c>
      <c r="K97" s="7" t="s">
        <v>13</v>
      </c>
      <c r="L97" s="7" t="s">
        <v>54</v>
      </c>
      <c r="M97" s="34">
        <v>46037</v>
      </c>
      <c r="N97" s="7" t="s">
        <v>41</v>
      </c>
    </row>
    <row r="98" spans="1:14" x14ac:dyDescent="0.25">
      <c r="A98" s="41" t="s">
        <v>236</v>
      </c>
      <c r="B98" s="1">
        <v>1</v>
      </c>
      <c r="C98" s="8">
        <v>46036</v>
      </c>
      <c r="D98" s="1" t="s">
        <v>257</v>
      </c>
      <c r="E98" s="7" t="s">
        <v>13</v>
      </c>
      <c r="F98" s="1" t="s">
        <v>23</v>
      </c>
      <c r="G98" s="9" t="s">
        <v>35</v>
      </c>
      <c r="H98" s="7">
        <v>185237</v>
      </c>
      <c r="I98" s="18">
        <v>16000000</v>
      </c>
      <c r="J98" s="15">
        <v>1518</v>
      </c>
      <c r="K98" s="7" t="s">
        <v>13</v>
      </c>
      <c r="L98" s="7" t="s">
        <v>54</v>
      </c>
      <c r="M98" s="34">
        <v>46037</v>
      </c>
      <c r="N98" s="7" t="s">
        <v>41</v>
      </c>
    </row>
    <row r="99" spans="1:14" x14ac:dyDescent="0.25">
      <c r="A99" s="41" t="s">
        <v>259</v>
      </c>
      <c r="B99" s="1">
        <v>2</v>
      </c>
      <c r="C99" s="8">
        <v>46041</v>
      </c>
      <c r="D99" s="1" t="s">
        <v>258</v>
      </c>
      <c r="E99" s="7" t="s">
        <v>13</v>
      </c>
      <c r="F99" s="1" t="s">
        <v>23</v>
      </c>
      <c r="G99" s="9" t="s">
        <v>35</v>
      </c>
      <c r="H99" s="7">
        <v>1302104</v>
      </c>
      <c r="I99" s="18">
        <v>16000000</v>
      </c>
      <c r="J99" s="10">
        <v>4890</v>
      </c>
      <c r="K99" s="7" t="s">
        <v>13</v>
      </c>
      <c r="L99" s="7" t="s">
        <v>54</v>
      </c>
      <c r="M99" s="34">
        <v>46041</v>
      </c>
      <c r="N99" s="7" t="s">
        <v>41</v>
      </c>
    </row>
    <row r="100" spans="1:14" x14ac:dyDescent="0.25">
      <c r="A100" s="41" t="s">
        <v>260</v>
      </c>
      <c r="B100" s="1">
        <v>1</v>
      </c>
      <c r="C100" s="8">
        <v>46036</v>
      </c>
      <c r="D100" s="1" t="s">
        <v>261</v>
      </c>
      <c r="E100" s="7" t="s">
        <v>13</v>
      </c>
      <c r="F100" s="1" t="s">
        <v>23</v>
      </c>
      <c r="G100" s="9" t="s">
        <v>35</v>
      </c>
      <c r="H100" s="7">
        <v>29381</v>
      </c>
      <c r="I100" s="18">
        <v>16000000</v>
      </c>
      <c r="J100" s="10">
        <v>78.599999999999994</v>
      </c>
      <c r="K100" s="7" t="s">
        <v>13</v>
      </c>
      <c r="L100" s="7" t="s">
        <v>54</v>
      </c>
      <c r="M100" s="34">
        <v>46038</v>
      </c>
      <c r="N100" s="7" t="s">
        <v>91</v>
      </c>
    </row>
    <row r="101" spans="1:14" x14ac:dyDescent="0.25">
      <c r="A101" s="41" t="s">
        <v>265</v>
      </c>
      <c r="B101" s="1">
        <v>1</v>
      </c>
      <c r="C101" s="8">
        <v>46036</v>
      </c>
      <c r="D101" s="1" t="s">
        <v>264</v>
      </c>
      <c r="E101" s="7" t="s">
        <v>13</v>
      </c>
      <c r="F101" s="1" t="s">
        <v>23</v>
      </c>
      <c r="G101" s="9" t="s">
        <v>35</v>
      </c>
      <c r="H101" s="7">
        <v>178009</v>
      </c>
      <c r="I101" s="18">
        <v>16000000</v>
      </c>
      <c r="J101" s="10">
        <v>2000</v>
      </c>
      <c r="K101" s="7" t="s">
        <v>13</v>
      </c>
      <c r="L101" s="7" t="s">
        <v>54</v>
      </c>
      <c r="M101" s="34">
        <v>46038</v>
      </c>
      <c r="N101" s="7" t="s">
        <v>91</v>
      </c>
    </row>
    <row r="102" spans="1:14" x14ac:dyDescent="0.25">
      <c r="A102" s="41" t="s">
        <v>265</v>
      </c>
      <c r="B102" s="1">
        <v>1</v>
      </c>
      <c r="C102" s="8">
        <v>46036</v>
      </c>
      <c r="D102" s="1" t="s">
        <v>266</v>
      </c>
      <c r="E102" s="7" t="s">
        <v>13</v>
      </c>
      <c r="F102" s="1" t="s">
        <v>23</v>
      </c>
      <c r="G102" s="9" t="s">
        <v>35</v>
      </c>
      <c r="H102" s="7">
        <v>178010</v>
      </c>
      <c r="I102" s="18">
        <v>15001002</v>
      </c>
      <c r="J102" s="10">
        <v>13226.4</v>
      </c>
      <c r="K102" s="7" t="s">
        <v>13</v>
      </c>
      <c r="L102" s="7" t="s">
        <v>54</v>
      </c>
      <c r="M102" s="34">
        <v>46038</v>
      </c>
      <c r="N102" s="7" t="s">
        <v>91</v>
      </c>
    </row>
    <row r="103" spans="1:14" x14ac:dyDescent="0.25">
      <c r="A103" s="41" t="s">
        <v>268</v>
      </c>
      <c r="B103" s="1">
        <v>2</v>
      </c>
      <c r="C103" s="8">
        <v>46041</v>
      </c>
      <c r="D103" s="1" t="s">
        <v>267</v>
      </c>
      <c r="E103" s="7" t="s">
        <v>13</v>
      </c>
      <c r="F103" s="1" t="s">
        <v>23</v>
      </c>
      <c r="G103" s="9" t="s">
        <v>35</v>
      </c>
      <c r="H103" s="7">
        <v>4302</v>
      </c>
      <c r="I103" s="18">
        <v>16000000</v>
      </c>
      <c r="J103" s="10">
        <v>7350</v>
      </c>
      <c r="K103" s="7" t="s">
        <v>13</v>
      </c>
      <c r="L103" s="7" t="s">
        <v>54</v>
      </c>
      <c r="M103" s="34">
        <v>46041</v>
      </c>
      <c r="N103" s="7" t="s">
        <v>64</v>
      </c>
    </row>
    <row r="104" spans="1:14" x14ac:dyDescent="0.25">
      <c r="A104" s="41" t="s">
        <v>268</v>
      </c>
      <c r="B104" s="1">
        <v>2</v>
      </c>
      <c r="C104" s="8">
        <v>46041</v>
      </c>
      <c r="D104" s="1" t="s">
        <v>269</v>
      </c>
      <c r="E104" s="7" t="s">
        <v>13</v>
      </c>
      <c r="F104" s="1" t="s">
        <v>23</v>
      </c>
      <c r="G104" s="9" t="s">
        <v>35</v>
      </c>
      <c r="H104" s="7">
        <v>4303</v>
      </c>
      <c r="I104" s="18">
        <v>16210000</v>
      </c>
      <c r="J104" s="10">
        <v>3030</v>
      </c>
      <c r="K104" s="7" t="s">
        <v>13</v>
      </c>
      <c r="L104" s="7" t="s">
        <v>54</v>
      </c>
      <c r="M104" s="34">
        <v>46041</v>
      </c>
      <c r="N104" s="7" t="s">
        <v>64</v>
      </c>
    </row>
    <row r="105" spans="1:14" x14ac:dyDescent="0.25">
      <c r="A105" s="41" t="s">
        <v>271</v>
      </c>
      <c r="B105" s="1">
        <v>4</v>
      </c>
      <c r="C105" s="8">
        <v>46042</v>
      </c>
      <c r="D105" s="1" t="s">
        <v>270</v>
      </c>
      <c r="E105" s="7" t="s">
        <v>13</v>
      </c>
      <c r="F105" s="1" t="s">
        <v>23</v>
      </c>
      <c r="G105" s="9" t="s">
        <v>35</v>
      </c>
      <c r="H105" s="7">
        <v>1480735</v>
      </c>
      <c r="I105" s="18">
        <v>16000000</v>
      </c>
      <c r="J105" s="10">
        <v>10000</v>
      </c>
      <c r="K105" s="7" t="s">
        <v>13</v>
      </c>
      <c r="L105" s="7" t="s">
        <v>54</v>
      </c>
      <c r="M105" s="34">
        <v>46042</v>
      </c>
      <c r="N105" s="7" t="s">
        <v>41</v>
      </c>
    </row>
    <row r="106" spans="1:14" x14ac:dyDescent="0.25">
      <c r="A106" s="41" t="s">
        <v>272</v>
      </c>
      <c r="B106" s="1">
        <v>1</v>
      </c>
      <c r="C106" s="8">
        <v>46036</v>
      </c>
      <c r="D106" s="1" t="s">
        <v>273</v>
      </c>
      <c r="E106" s="7" t="s">
        <v>13</v>
      </c>
      <c r="F106" s="1" t="s">
        <v>23</v>
      </c>
      <c r="G106" s="9" t="s">
        <v>35</v>
      </c>
      <c r="H106" s="7">
        <v>2092557</v>
      </c>
      <c r="I106" s="18">
        <v>16210000</v>
      </c>
      <c r="J106" s="10">
        <v>3400</v>
      </c>
      <c r="K106" s="7" t="s">
        <v>13</v>
      </c>
      <c r="L106" s="7" t="s">
        <v>54</v>
      </c>
      <c r="M106" s="34">
        <v>46038</v>
      </c>
      <c r="N106" s="7" t="s">
        <v>91</v>
      </c>
    </row>
    <row r="107" spans="1:14" x14ac:dyDescent="0.25">
      <c r="A107" s="41" t="s">
        <v>271</v>
      </c>
      <c r="B107" s="1">
        <v>1</v>
      </c>
      <c r="C107" s="8">
        <v>46036</v>
      </c>
      <c r="D107" s="1" t="s">
        <v>274</v>
      </c>
      <c r="E107" s="7" t="s">
        <v>13</v>
      </c>
      <c r="F107" s="1" t="s">
        <v>23</v>
      </c>
      <c r="G107" s="9" t="s">
        <v>35</v>
      </c>
      <c r="H107" s="7">
        <v>148453</v>
      </c>
      <c r="I107" s="18">
        <v>15001002</v>
      </c>
      <c r="J107" s="10">
        <v>8250</v>
      </c>
      <c r="K107" s="7" t="s">
        <v>13</v>
      </c>
      <c r="L107" s="7" t="s">
        <v>54</v>
      </c>
      <c r="M107" s="34">
        <v>46038</v>
      </c>
      <c r="N107" s="7" t="s">
        <v>64</v>
      </c>
    </row>
    <row r="108" spans="1:14" x14ac:dyDescent="0.25">
      <c r="A108" s="41" t="s">
        <v>275</v>
      </c>
      <c r="B108" s="1">
        <v>1</v>
      </c>
      <c r="C108" s="8">
        <v>46036</v>
      </c>
      <c r="D108" s="1" t="s">
        <v>276</v>
      </c>
      <c r="E108" s="7" t="s">
        <v>13</v>
      </c>
      <c r="F108" s="1" t="s">
        <v>23</v>
      </c>
      <c r="G108" s="9" t="s">
        <v>35</v>
      </c>
      <c r="H108" s="7">
        <v>181780</v>
      </c>
      <c r="I108" s="18">
        <v>26010000</v>
      </c>
      <c r="J108" s="10">
        <v>8256</v>
      </c>
      <c r="K108" s="7" t="s">
        <v>13</v>
      </c>
      <c r="L108" s="7" t="s">
        <v>54</v>
      </c>
      <c r="M108" s="34">
        <v>46037</v>
      </c>
    </row>
    <row r="109" spans="1:14" x14ac:dyDescent="0.25">
      <c r="A109" s="41" t="s">
        <v>236</v>
      </c>
      <c r="B109" s="1">
        <v>1</v>
      </c>
      <c r="C109" s="8">
        <v>46036</v>
      </c>
      <c r="D109" s="1" t="s">
        <v>277</v>
      </c>
      <c r="E109" s="7" t="s">
        <v>13</v>
      </c>
      <c r="F109" s="1" t="s">
        <v>23</v>
      </c>
      <c r="G109" s="9" t="s">
        <v>35</v>
      </c>
      <c r="H109" s="7">
        <v>184474</v>
      </c>
      <c r="I109" s="18">
        <v>16000000</v>
      </c>
      <c r="J109" s="10">
        <v>2700</v>
      </c>
      <c r="K109" s="7" t="s">
        <v>13</v>
      </c>
      <c r="L109" s="7" t="s">
        <v>54</v>
      </c>
      <c r="M109" s="34">
        <v>46037</v>
      </c>
      <c r="N109" s="7" t="s">
        <v>64</v>
      </c>
    </row>
    <row r="110" spans="1:14" x14ac:dyDescent="0.25">
      <c r="A110" s="41" t="s">
        <v>236</v>
      </c>
      <c r="B110" s="1">
        <v>1</v>
      </c>
      <c r="C110" s="8">
        <v>46036</v>
      </c>
      <c r="D110" s="1" t="s">
        <v>278</v>
      </c>
      <c r="E110" s="7" t="s">
        <v>13</v>
      </c>
      <c r="F110" s="1" t="s">
        <v>23</v>
      </c>
      <c r="G110" s="9" t="s">
        <v>35</v>
      </c>
      <c r="H110" s="7">
        <v>184475</v>
      </c>
      <c r="I110" s="18">
        <v>16000000</v>
      </c>
      <c r="J110" s="10">
        <v>2184</v>
      </c>
      <c r="K110" s="7" t="s">
        <v>13</v>
      </c>
      <c r="L110" s="7" t="s">
        <v>54</v>
      </c>
      <c r="M110" s="34">
        <v>46037</v>
      </c>
      <c r="N110" s="7" t="s">
        <v>64</v>
      </c>
    </row>
    <row r="111" spans="1:14" x14ac:dyDescent="0.25">
      <c r="A111" s="41" t="s">
        <v>236</v>
      </c>
      <c r="B111" s="1">
        <v>1</v>
      </c>
      <c r="C111" s="8">
        <v>46036</v>
      </c>
      <c r="D111" s="1" t="s">
        <v>279</v>
      </c>
      <c r="E111" s="7" t="s">
        <v>13</v>
      </c>
      <c r="F111" s="1" t="s">
        <v>23</v>
      </c>
      <c r="G111" s="9" t="s">
        <v>35</v>
      </c>
      <c r="H111" s="7">
        <v>184579</v>
      </c>
      <c r="I111" s="18">
        <v>16000000</v>
      </c>
      <c r="J111" s="10">
        <v>1164</v>
      </c>
      <c r="K111" s="7" t="s">
        <v>13</v>
      </c>
      <c r="L111" s="7" t="s">
        <v>54</v>
      </c>
      <c r="M111" s="34">
        <v>46037</v>
      </c>
      <c r="N111" s="7" t="s">
        <v>64</v>
      </c>
    </row>
    <row r="112" spans="1:14" x14ac:dyDescent="0.25">
      <c r="A112" s="41" t="s">
        <v>271</v>
      </c>
      <c r="B112" s="1">
        <v>2</v>
      </c>
      <c r="C112" s="8">
        <v>46041</v>
      </c>
      <c r="D112" s="1" t="s">
        <v>262</v>
      </c>
      <c r="E112" s="7" t="s">
        <v>13</v>
      </c>
      <c r="F112" s="1" t="s">
        <v>23</v>
      </c>
      <c r="G112" s="9" t="s">
        <v>35</v>
      </c>
      <c r="H112" s="7">
        <v>1476149</v>
      </c>
      <c r="I112" s="18">
        <v>16210000</v>
      </c>
      <c r="J112" s="10">
        <v>28000</v>
      </c>
      <c r="K112" s="7" t="s">
        <v>13</v>
      </c>
      <c r="L112" s="7" t="s">
        <v>54</v>
      </c>
      <c r="M112" s="34">
        <v>46041</v>
      </c>
      <c r="N112" s="7" t="s">
        <v>64</v>
      </c>
    </row>
    <row r="113" spans="1:14" x14ac:dyDescent="0.25">
      <c r="A113" s="41" t="s">
        <v>271</v>
      </c>
      <c r="B113" s="1">
        <v>1</v>
      </c>
      <c r="C113" s="8">
        <v>46036</v>
      </c>
      <c r="D113" s="1" t="s">
        <v>280</v>
      </c>
      <c r="E113" s="7" t="s">
        <v>13</v>
      </c>
      <c r="F113" s="1" t="s">
        <v>23</v>
      </c>
      <c r="G113" s="9" t="s">
        <v>35</v>
      </c>
      <c r="H113" s="7">
        <v>1476143</v>
      </c>
      <c r="I113" s="18">
        <v>16000000</v>
      </c>
      <c r="J113" s="10">
        <v>816</v>
      </c>
      <c r="K113" s="7" t="s">
        <v>13</v>
      </c>
      <c r="L113" s="7" t="s">
        <v>54</v>
      </c>
      <c r="M113" s="34">
        <v>46038</v>
      </c>
      <c r="N113" s="7" t="s">
        <v>64</v>
      </c>
    </row>
    <row r="114" spans="1:14" x14ac:dyDescent="0.25">
      <c r="A114" s="41" t="s">
        <v>271</v>
      </c>
      <c r="B114" s="1">
        <v>1</v>
      </c>
      <c r="C114" s="8">
        <v>46036</v>
      </c>
      <c r="D114" s="1" t="s">
        <v>281</v>
      </c>
      <c r="E114" s="7" t="s">
        <v>13</v>
      </c>
      <c r="F114" s="1" t="s">
        <v>23</v>
      </c>
      <c r="G114" s="9" t="s">
        <v>35</v>
      </c>
      <c r="H114" s="7">
        <v>1484908</v>
      </c>
      <c r="I114" s="18">
        <v>16210000</v>
      </c>
      <c r="J114" s="10">
        <v>660</v>
      </c>
      <c r="K114" s="7" t="s">
        <v>13</v>
      </c>
      <c r="L114" s="7" t="s">
        <v>54</v>
      </c>
      <c r="M114" s="34">
        <v>46038</v>
      </c>
      <c r="N114" s="7" t="s">
        <v>64</v>
      </c>
    </row>
    <row r="115" spans="1:14" x14ac:dyDescent="0.25">
      <c r="A115" s="41" t="s">
        <v>282</v>
      </c>
      <c r="B115" s="1">
        <v>1</v>
      </c>
      <c r="C115" s="8">
        <v>46036</v>
      </c>
      <c r="D115" s="1" t="s">
        <v>283</v>
      </c>
      <c r="E115" s="7" t="s">
        <v>13</v>
      </c>
      <c r="F115" s="1" t="s">
        <v>23</v>
      </c>
      <c r="G115" s="9" t="s">
        <v>35</v>
      </c>
      <c r="H115" s="7">
        <v>28447</v>
      </c>
      <c r="I115" s="18">
        <v>16210000</v>
      </c>
      <c r="J115" s="10">
        <v>686</v>
      </c>
      <c r="K115" s="7" t="s">
        <v>13</v>
      </c>
      <c r="L115" s="7" t="s">
        <v>54</v>
      </c>
      <c r="M115" s="34">
        <v>46038</v>
      </c>
      <c r="N115" s="7" t="s">
        <v>41</v>
      </c>
    </row>
    <row r="116" spans="1:14" x14ac:dyDescent="0.25">
      <c r="A116" s="41" t="s">
        <v>236</v>
      </c>
      <c r="B116" s="1">
        <v>1</v>
      </c>
      <c r="C116" s="8">
        <v>46036</v>
      </c>
      <c r="D116" s="1" t="s">
        <v>284</v>
      </c>
      <c r="E116" s="7" t="s">
        <v>13</v>
      </c>
      <c r="F116" s="1" t="s">
        <v>23</v>
      </c>
      <c r="G116" s="9" t="s">
        <v>35</v>
      </c>
      <c r="H116" s="18">
        <v>185169</v>
      </c>
      <c r="I116" s="18">
        <v>16000000</v>
      </c>
      <c r="J116" s="10">
        <v>2721.6</v>
      </c>
      <c r="K116" s="7" t="s">
        <v>13</v>
      </c>
      <c r="L116" s="7" t="s">
        <v>54</v>
      </c>
      <c r="M116" s="34">
        <v>46037</v>
      </c>
      <c r="N116" s="7" t="s">
        <v>41</v>
      </c>
    </row>
    <row r="117" spans="1:14" x14ac:dyDescent="0.25">
      <c r="A117" s="41" t="s">
        <v>236</v>
      </c>
      <c r="B117" s="1">
        <v>1</v>
      </c>
      <c r="C117" s="8">
        <v>46036</v>
      </c>
      <c r="D117" s="1" t="s">
        <v>285</v>
      </c>
      <c r="E117" s="7" t="s">
        <v>13</v>
      </c>
      <c r="F117" s="1" t="s">
        <v>23</v>
      </c>
      <c r="G117" s="9" t="s">
        <v>35</v>
      </c>
      <c r="H117" s="7">
        <v>184417</v>
      </c>
      <c r="I117" s="18">
        <v>16000000</v>
      </c>
      <c r="J117" s="10">
        <v>648</v>
      </c>
      <c r="K117" s="7" t="s">
        <v>13</v>
      </c>
      <c r="L117" s="7" t="s">
        <v>54</v>
      </c>
      <c r="M117" s="34">
        <v>46037</v>
      </c>
      <c r="N117" s="7" t="s">
        <v>41</v>
      </c>
    </row>
    <row r="118" spans="1:14" x14ac:dyDescent="0.25">
      <c r="A118" s="41" t="s">
        <v>236</v>
      </c>
      <c r="B118" s="1">
        <v>1</v>
      </c>
      <c r="C118" s="8">
        <v>46036</v>
      </c>
      <c r="D118" s="1" t="s">
        <v>286</v>
      </c>
      <c r="E118" s="7" t="s">
        <v>13</v>
      </c>
      <c r="F118" s="1" t="s">
        <v>23</v>
      </c>
      <c r="G118" s="9" t="s">
        <v>35</v>
      </c>
      <c r="H118" s="7">
        <v>184523</v>
      </c>
      <c r="I118" s="18">
        <v>16000000</v>
      </c>
      <c r="J118" s="10">
        <v>750</v>
      </c>
      <c r="K118" s="7" t="s">
        <v>13</v>
      </c>
      <c r="L118" s="7" t="s">
        <v>54</v>
      </c>
      <c r="M118" s="34">
        <v>45672</v>
      </c>
      <c r="N118" s="7" t="s">
        <v>64</v>
      </c>
    </row>
    <row r="119" spans="1:14" x14ac:dyDescent="0.25">
      <c r="A119" s="41" t="s">
        <v>236</v>
      </c>
      <c r="B119" s="1">
        <v>1</v>
      </c>
      <c r="C119" s="8">
        <v>46036</v>
      </c>
      <c r="D119" s="1" t="s">
        <v>263</v>
      </c>
      <c r="E119" s="7" t="s">
        <v>13</v>
      </c>
      <c r="F119" s="1" t="s">
        <v>23</v>
      </c>
      <c r="G119" s="9" t="s">
        <v>35</v>
      </c>
      <c r="H119" s="7">
        <v>184685</v>
      </c>
      <c r="I119" s="18">
        <v>16210000</v>
      </c>
      <c r="J119" s="10">
        <v>1600</v>
      </c>
      <c r="K119" s="7" t="s">
        <v>13</v>
      </c>
      <c r="L119" s="7" t="s">
        <v>54</v>
      </c>
      <c r="M119" s="34">
        <v>45672</v>
      </c>
      <c r="N119" s="7" t="s">
        <v>64</v>
      </c>
    </row>
    <row r="120" spans="1:14" x14ac:dyDescent="0.25">
      <c r="A120" s="41" t="s">
        <v>236</v>
      </c>
      <c r="B120" s="1">
        <v>1</v>
      </c>
      <c r="C120" s="8">
        <v>46036</v>
      </c>
      <c r="D120" s="1" t="s">
        <v>287</v>
      </c>
      <c r="E120" s="7" t="s">
        <v>13</v>
      </c>
      <c r="F120" s="1" t="s">
        <v>23</v>
      </c>
      <c r="G120" s="9" t="s">
        <v>35</v>
      </c>
      <c r="H120" s="7">
        <v>185392</v>
      </c>
      <c r="I120" s="18">
        <v>16210000</v>
      </c>
      <c r="J120" s="15">
        <v>1512</v>
      </c>
      <c r="K120" s="7" t="s">
        <v>13</v>
      </c>
      <c r="L120" s="7" t="s">
        <v>54</v>
      </c>
      <c r="M120" s="34">
        <v>46037</v>
      </c>
    </row>
    <row r="121" spans="1:14" x14ac:dyDescent="0.25">
      <c r="A121" s="41" t="s">
        <v>236</v>
      </c>
      <c r="B121" s="1">
        <v>1</v>
      </c>
      <c r="C121" s="8">
        <v>46036</v>
      </c>
      <c r="D121" s="1" t="s">
        <v>288</v>
      </c>
      <c r="E121" s="7" t="s">
        <v>13</v>
      </c>
      <c r="F121" s="1" t="s">
        <v>23</v>
      </c>
      <c r="G121" s="9" t="s">
        <v>35</v>
      </c>
      <c r="H121" s="7">
        <v>184478</v>
      </c>
      <c r="I121" s="18">
        <v>16210000</v>
      </c>
      <c r="J121" s="10">
        <v>739.2</v>
      </c>
      <c r="K121" s="7" t="s">
        <v>13</v>
      </c>
      <c r="L121" s="7" t="s">
        <v>54</v>
      </c>
      <c r="M121" s="34">
        <v>46037</v>
      </c>
    </row>
    <row r="122" spans="1:14" x14ac:dyDescent="0.25">
      <c r="A122" s="41" t="s">
        <v>236</v>
      </c>
      <c r="B122" s="1">
        <v>1</v>
      </c>
      <c r="C122" s="8">
        <v>46036</v>
      </c>
      <c r="D122" s="1" t="s">
        <v>289</v>
      </c>
      <c r="E122" s="7" t="s">
        <v>13</v>
      </c>
      <c r="F122" s="1" t="s">
        <v>23</v>
      </c>
      <c r="G122" s="9" t="s">
        <v>35</v>
      </c>
      <c r="H122" s="7">
        <v>184671</v>
      </c>
      <c r="I122" s="18">
        <v>16210000</v>
      </c>
      <c r="J122" s="23" t="s">
        <v>61</v>
      </c>
      <c r="K122" s="7" t="s">
        <v>13</v>
      </c>
      <c r="L122" s="7" t="s">
        <v>54</v>
      </c>
      <c r="M122" s="34">
        <v>46037</v>
      </c>
    </row>
    <row r="123" spans="1:14" x14ac:dyDescent="0.25">
      <c r="A123" s="41" t="s">
        <v>292</v>
      </c>
      <c r="B123" s="1">
        <v>2</v>
      </c>
      <c r="C123" s="8">
        <v>46041</v>
      </c>
      <c r="D123" s="1" t="s">
        <v>293</v>
      </c>
      <c r="E123" s="7" t="s">
        <v>13</v>
      </c>
      <c r="F123" s="1" t="s">
        <v>23</v>
      </c>
      <c r="G123" s="9" t="s">
        <v>35</v>
      </c>
      <c r="H123" s="7">
        <v>766</v>
      </c>
      <c r="I123" s="18">
        <v>26010000</v>
      </c>
      <c r="J123" s="10">
        <v>171</v>
      </c>
      <c r="K123" s="7" t="s">
        <v>13</v>
      </c>
      <c r="L123" s="7" t="s">
        <v>54</v>
      </c>
      <c r="M123" s="34">
        <v>46041</v>
      </c>
      <c r="N123" s="7" t="s">
        <v>41</v>
      </c>
    </row>
    <row r="124" spans="1:14" x14ac:dyDescent="0.25">
      <c r="A124" s="41" t="s">
        <v>260</v>
      </c>
      <c r="B124" s="1">
        <v>1</v>
      </c>
      <c r="C124" s="8">
        <v>46036</v>
      </c>
      <c r="D124" s="1" t="s">
        <v>294</v>
      </c>
      <c r="E124" s="7" t="s">
        <v>13</v>
      </c>
      <c r="F124" s="1" t="s">
        <v>23</v>
      </c>
      <c r="G124" s="9" t="s">
        <v>35</v>
      </c>
      <c r="H124" s="7">
        <v>29476</v>
      </c>
      <c r="I124" s="18">
        <v>16000000</v>
      </c>
      <c r="J124" s="10">
        <v>376</v>
      </c>
      <c r="K124" s="7" t="s">
        <v>13</v>
      </c>
      <c r="L124" s="7" t="s">
        <v>54</v>
      </c>
      <c r="M124" s="34">
        <v>46038</v>
      </c>
      <c r="N124" s="7" t="s">
        <v>64</v>
      </c>
    </row>
    <row r="125" spans="1:14" x14ac:dyDescent="0.25">
      <c r="A125" s="41" t="s">
        <v>236</v>
      </c>
      <c r="B125" s="1">
        <v>1</v>
      </c>
      <c r="C125" s="8">
        <v>46036</v>
      </c>
      <c r="D125" s="1" t="s">
        <v>295</v>
      </c>
      <c r="E125" s="7" t="s">
        <v>13</v>
      </c>
      <c r="F125" s="1" t="s">
        <v>23</v>
      </c>
      <c r="G125" s="9" t="s">
        <v>35</v>
      </c>
      <c r="H125" s="7">
        <v>185413</v>
      </c>
      <c r="I125" s="18">
        <v>16000000</v>
      </c>
      <c r="J125" s="10">
        <v>2500</v>
      </c>
      <c r="K125" s="7" t="s">
        <v>13</v>
      </c>
      <c r="L125" s="7" t="s">
        <v>54</v>
      </c>
      <c r="M125" s="34">
        <v>46037</v>
      </c>
      <c r="N125" s="7" t="s">
        <v>91</v>
      </c>
    </row>
    <row r="126" spans="1:14" x14ac:dyDescent="0.25">
      <c r="A126" s="41" t="s">
        <v>296</v>
      </c>
      <c r="B126" s="1">
        <v>1</v>
      </c>
      <c r="C126" s="8">
        <v>46036</v>
      </c>
      <c r="D126" s="1" t="s">
        <v>297</v>
      </c>
      <c r="E126" s="7" t="s">
        <v>13</v>
      </c>
      <c r="F126" s="1" t="s">
        <v>23</v>
      </c>
      <c r="G126" s="9" t="s">
        <v>35</v>
      </c>
      <c r="H126" s="7">
        <v>54754</v>
      </c>
      <c r="I126" s="18">
        <v>16590000</v>
      </c>
      <c r="J126" s="10">
        <v>2200</v>
      </c>
      <c r="K126" s="7" t="s">
        <v>13</v>
      </c>
      <c r="L126" s="7" t="s">
        <v>54</v>
      </c>
      <c r="M126" s="34">
        <v>46038</v>
      </c>
      <c r="N126" s="7" t="s">
        <v>41</v>
      </c>
    </row>
    <row r="127" spans="1:14" x14ac:dyDescent="0.25">
      <c r="A127" s="41" t="s">
        <v>236</v>
      </c>
      <c r="B127" s="1">
        <v>1</v>
      </c>
      <c r="C127" s="8">
        <v>46036</v>
      </c>
      <c r="D127" s="1" t="s">
        <v>298</v>
      </c>
      <c r="E127" s="7" t="s">
        <v>13</v>
      </c>
      <c r="F127" s="1" t="s">
        <v>23</v>
      </c>
      <c r="G127" s="9" t="s">
        <v>35</v>
      </c>
      <c r="H127" s="7">
        <v>184662</v>
      </c>
      <c r="I127" s="18">
        <v>16000000</v>
      </c>
      <c r="J127" s="10">
        <v>727.5</v>
      </c>
      <c r="K127" s="7" t="s">
        <v>13</v>
      </c>
      <c r="L127" s="7" t="s">
        <v>54</v>
      </c>
      <c r="M127" s="34">
        <v>46037</v>
      </c>
    </row>
    <row r="128" spans="1:14" x14ac:dyDescent="0.25">
      <c r="A128" s="41" t="s">
        <v>268</v>
      </c>
      <c r="B128" s="1">
        <v>2</v>
      </c>
      <c r="C128" s="8">
        <v>46041</v>
      </c>
      <c r="D128" s="1" t="s">
        <v>299</v>
      </c>
      <c r="E128" s="7" t="s">
        <v>13</v>
      </c>
      <c r="F128" s="1" t="s">
        <v>23</v>
      </c>
      <c r="G128" s="9" t="s">
        <v>35</v>
      </c>
      <c r="H128" s="7">
        <v>4301</v>
      </c>
      <c r="I128" s="18">
        <v>16000000</v>
      </c>
      <c r="J128" s="10">
        <v>165</v>
      </c>
      <c r="K128" s="7" t="s">
        <v>13</v>
      </c>
      <c r="L128" s="7" t="s">
        <v>54</v>
      </c>
      <c r="M128" s="34">
        <v>46042</v>
      </c>
      <c r="N128" s="7" t="s">
        <v>64</v>
      </c>
    </row>
    <row r="129" spans="1:14" x14ac:dyDescent="0.25">
      <c r="A129" s="41" t="s">
        <v>236</v>
      </c>
      <c r="B129" s="1">
        <v>1</v>
      </c>
      <c r="C129" s="8">
        <v>46036</v>
      </c>
      <c r="D129" s="1" t="s">
        <v>300</v>
      </c>
      <c r="E129" s="7" t="s">
        <v>13</v>
      </c>
      <c r="F129" s="1" t="s">
        <v>23</v>
      </c>
      <c r="G129" s="9" t="s">
        <v>35</v>
      </c>
      <c r="H129" s="7">
        <v>184844</v>
      </c>
      <c r="I129" s="18">
        <v>16000000</v>
      </c>
      <c r="J129" s="15">
        <v>862</v>
      </c>
      <c r="K129" s="7" t="s">
        <v>13</v>
      </c>
      <c r="L129" s="7" t="s">
        <v>54</v>
      </c>
      <c r="M129" s="34">
        <v>46037</v>
      </c>
      <c r="N129" s="7" t="s">
        <v>91</v>
      </c>
    </row>
    <row r="130" spans="1:14" x14ac:dyDescent="0.25">
      <c r="A130" s="41" t="s">
        <v>271</v>
      </c>
      <c r="B130" s="1">
        <v>1</v>
      </c>
      <c r="C130" s="8">
        <v>46036</v>
      </c>
      <c r="D130" s="1" t="s">
        <v>301</v>
      </c>
      <c r="E130" s="7" t="s">
        <v>13</v>
      </c>
      <c r="F130" s="1" t="s">
        <v>23</v>
      </c>
      <c r="G130" s="9" t="s">
        <v>35</v>
      </c>
      <c r="H130" s="7">
        <v>1476376</v>
      </c>
      <c r="I130" s="18">
        <v>16000000</v>
      </c>
      <c r="J130" s="15">
        <v>2112</v>
      </c>
      <c r="K130" s="7" t="s">
        <v>13</v>
      </c>
      <c r="L130" s="7" t="s">
        <v>54</v>
      </c>
      <c r="M130" s="34">
        <v>46038</v>
      </c>
      <c r="N130" s="7" t="s">
        <v>41</v>
      </c>
    </row>
    <row r="131" spans="1:14" x14ac:dyDescent="0.25">
      <c r="A131" s="41" t="s">
        <v>236</v>
      </c>
      <c r="B131" s="1">
        <v>1</v>
      </c>
      <c r="C131" s="8">
        <v>46036</v>
      </c>
      <c r="D131" s="1" t="s">
        <v>302</v>
      </c>
      <c r="E131" s="7" t="s">
        <v>13</v>
      </c>
      <c r="F131" s="1" t="s">
        <v>23</v>
      </c>
      <c r="G131" s="9" t="s">
        <v>35</v>
      </c>
      <c r="H131" s="7">
        <v>184470</v>
      </c>
      <c r="I131" s="18">
        <v>16210000</v>
      </c>
      <c r="J131" s="15">
        <v>1455</v>
      </c>
      <c r="K131" s="7" t="s">
        <v>13</v>
      </c>
      <c r="L131" s="7" t="s">
        <v>54</v>
      </c>
      <c r="M131" s="34">
        <v>46037</v>
      </c>
      <c r="N131" s="7" t="s">
        <v>91</v>
      </c>
    </row>
    <row r="132" spans="1:14" x14ac:dyDescent="0.25">
      <c r="A132" s="41" t="s">
        <v>271</v>
      </c>
      <c r="B132" s="1">
        <v>1</v>
      </c>
      <c r="C132" s="8">
        <v>46036</v>
      </c>
      <c r="D132" s="1" t="s">
        <v>303</v>
      </c>
      <c r="E132" s="7" t="s">
        <v>13</v>
      </c>
      <c r="F132" s="1" t="s">
        <v>23</v>
      </c>
      <c r="G132" s="9" t="s">
        <v>35</v>
      </c>
      <c r="H132" s="7">
        <v>1477027</v>
      </c>
      <c r="I132" s="18">
        <v>16210000</v>
      </c>
      <c r="J132" s="10">
        <v>2200</v>
      </c>
      <c r="K132" s="7" t="s">
        <v>13</v>
      </c>
      <c r="L132" s="7" t="s">
        <v>54</v>
      </c>
      <c r="M132" s="34">
        <v>46038</v>
      </c>
      <c r="N132" s="7" t="s">
        <v>41</v>
      </c>
    </row>
    <row r="133" spans="1:14" x14ac:dyDescent="0.25">
      <c r="A133" s="41" t="s">
        <v>260</v>
      </c>
      <c r="B133" s="1">
        <v>1</v>
      </c>
      <c r="C133" s="8">
        <v>46036</v>
      </c>
      <c r="D133" s="1" t="s">
        <v>304</v>
      </c>
      <c r="E133" s="7" t="s">
        <v>13</v>
      </c>
      <c r="F133" s="1" t="s">
        <v>23</v>
      </c>
      <c r="G133" s="9" t="s">
        <v>35</v>
      </c>
      <c r="H133" s="7">
        <v>29491</v>
      </c>
      <c r="I133" s="18">
        <v>16210000</v>
      </c>
      <c r="J133" s="10">
        <v>285</v>
      </c>
      <c r="K133" s="7" t="s">
        <v>13</v>
      </c>
      <c r="L133" s="7" t="s">
        <v>54</v>
      </c>
      <c r="M133" s="34">
        <v>46038</v>
      </c>
      <c r="N133" s="7" t="s">
        <v>64</v>
      </c>
    </row>
    <row r="134" spans="1:14" x14ac:dyDescent="0.25">
      <c r="A134" s="41" t="s">
        <v>271</v>
      </c>
      <c r="B134" s="1">
        <v>1</v>
      </c>
      <c r="C134" s="8">
        <v>46036</v>
      </c>
      <c r="D134" s="1" t="s">
        <v>305</v>
      </c>
      <c r="E134" s="7" t="s">
        <v>13</v>
      </c>
      <c r="F134" s="1" t="s">
        <v>23</v>
      </c>
      <c r="G134" s="9" t="s">
        <v>35</v>
      </c>
      <c r="H134" s="7">
        <v>1476262</v>
      </c>
      <c r="I134" s="18">
        <v>16210000</v>
      </c>
      <c r="J134" s="10">
        <v>4050</v>
      </c>
      <c r="K134" s="7" t="s">
        <v>13</v>
      </c>
      <c r="L134" s="7" t="s">
        <v>54</v>
      </c>
      <c r="M134" s="34">
        <v>46038</v>
      </c>
      <c r="N134" s="7" t="s">
        <v>41</v>
      </c>
    </row>
    <row r="135" spans="1:14" x14ac:dyDescent="0.25">
      <c r="A135" s="41" t="s">
        <v>271</v>
      </c>
      <c r="B135" s="1">
        <v>1</v>
      </c>
      <c r="C135" s="8">
        <v>46036</v>
      </c>
      <c r="D135" s="1" t="s">
        <v>306</v>
      </c>
      <c r="E135" s="7" t="s">
        <v>13</v>
      </c>
      <c r="F135" s="1" t="s">
        <v>23</v>
      </c>
      <c r="G135" s="9" t="s">
        <v>35</v>
      </c>
      <c r="H135" s="7">
        <v>1476237</v>
      </c>
      <c r="I135" s="18">
        <v>16000000</v>
      </c>
      <c r="J135" s="10">
        <v>2505</v>
      </c>
      <c r="K135" s="7" t="s">
        <v>13</v>
      </c>
      <c r="L135" s="7" t="s">
        <v>54</v>
      </c>
      <c r="M135" s="34">
        <v>46038</v>
      </c>
      <c r="N135" s="7" t="s">
        <v>41</v>
      </c>
    </row>
    <row r="136" spans="1:14" x14ac:dyDescent="0.25">
      <c r="A136" s="41" t="s">
        <v>260</v>
      </c>
      <c r="B136" s="1">
        <v>1</v>
      </c>
      <c r="C136" s="8">
        <v>46036</v>
      </c>
      <c r="D136" s="1" t="s">
        <v>307</v>
      </c>
      <c r="E136" s="7" t="s">
        <v>13</v>
      </c>
      <c r="F136" s="1" t="s">
        <v>23</v>
      </c>
      <c r="G136" s="9" t="s">
        <v>35</v>
      </c>
      <c r="H136" s="7">
        <v>29449</v>
      </c>
      <c r="I136" s="18">
        <v>16210000</v>
      </c>
      <c r="J136" s="10">
        <v>89</v>
      </c>
      <c r="K136" s="7" t="s">
        <v>13</v>
      </c>
      <c r="L136" s="7" t="s">
        <v>54</v>
      </c>
      <c r="M136" s="34">
        <v>46038</v>
      </c>
      <c r="N136" s="7" t="s">
        <v>64</v>
      </c>
    </row>
    <row r="137" spans="1:14" x14ac:dyDescent="0.25">
      <c r="A137" s="41" t="s">
        <v>313</v>
      </c>
      <c r="B137" s="1">
        <v>1</v>
      </c>
      <c r="C137" s="8">
        <v>46036</v>
      </c>
      <c r="D137" s="1" t="s">
        <v>314</v>
      </c>
      <c r="E137" s="7" t="s">
        <v>13</v>
      </c>
      <c r="F137" s="1" t="s">
        <v>23</v>
      </c>
      <c r="G137" s="9" t="s">
        <v>35</v>
      </c>
      <c r="H137" s="7">
        <v>54</v>
      </c>
      <c r="I137" s="18">
        <v>16000000</v>
      </c>
      <c r="J137" s="10">
        <v>4514.2700000000004</v>
      </c>
      <c r="K137" s="7" t="s">
        <v>13</v>
      </c>
      <c r="L137" s="7" t="s">
        <v>54</v>
      </c>
      <c r="M137" s="34">
        <v>46041</v>
      </c>
      <c r="N137" s="7" t="s">
        <v>41</v>
      </c>
    </row>
    <row r="138" spans="1:14" x14ac:dyDescent="0.25">
      <c r="A138" s="41" t="s">
        <v>315</v>
      </c>
      <c r="B138" s="1">
        <v>1</v>
      </c>
      <c r="C138" s="8">
        <v>46036</v>
      </c>
      <c r="D138" s="1" t="s">
        <v>316</v>
      </c>
      <c r="E138" s="7" t="s">
        <v>13</v>
      </c>
      <c r="F138" s="1" t="s">
        <v>23</v>
      </c>
      <c r="G138" s="9" t="s">
        <v>35</v>
      </c>
      <c r="H138" s="7">
        <v>187722</v>
      </c>
      <c r="I138" s="18">
        <v>16590000</v>
      </c>
      <c r="J138" s="10">
        <v>5962.9</v>
      </c>
      <c r="K138" s="7" t="s">
        <v>13</v>
      </c>
      <c r="L138" s="7" t="s">
        <v>54</v>
      </c>
      <c r="M138" s="34">
        <v>46041</v>
      </c>
      <c r="N138" s="7" t="s">
        <v>64</v>
      </c>
    </row>
    <row r="139" spans="1:14" x14ac:dyDescent="0.25">
      <c r="A139" s="41" t="s">
        <v>318</v>
      </c>
      <c r="B139" s="1">
        <v>1</v>
      </c>
      <c r="C139" s="8">
        <v>46036</v>
      </c>
      <c r="D139" s="1" t="s">
        <v>317</v>
      </c>
      <c r="E139" s="7" t="s">
        <v>13</v>
      </c>
      <c r="F139" s="1" t="s">
        <v>23</v>
      </c>
      <c r="G139" s="9" t="s">
        <v>35</v>
      </c>
      <c r="H139" s="7">
        <v>9799</v>
      </c>
      <c r="I139" s="18">
        <v>15001002</v>
      </c>
      <c r="J139" s="10">
        <v>3395</v>
      </c>
      <c r="K139" s="7" t="s">
        <v>13</v>
      </c>
      <c r="L139" s="7" t="s">
        <v>54</v>
      </c>
      <c r="M139" s="34">
        <v>46042</v>
      </c>
      <c r="N139" s="7" t="s">
        <v>64</v>
      </c>
    </row>
    <row r="140" spans="1:14" x14ac:dyDescent="0.25">
      <c r="A140" s="41" t="s">
        <v>319</v>
      </c>
      <c r="B140" s="1">
        <v>2</v>
      </c>
      <c r="C140" s="8">
        <v>46041</v>
      </c>
      <c r="D140" s="1" t="s">
        <v>320</v>
      </c>
      <c r="E140" s="7" t="s">
        <v>13</v>
      </c>
      <c r="F140" s="1" t="s">
        <v>23</v>
      </c>
      <c r="G140" s="9" t="s">
        <v>35</v>
      </c>
      <c r="H140" s="7">
        <v>183</v>
      </c>
      <c r="I140" s="18">
        <v>16000000</v>
      </c>
      <c r="J140" s="10">
        <v>3469.65</v>
      </c>
      <c r="K140" s="7" t="s">
        <v>13</v>
      </c>
      <c r="L140" s="7" t="s">
        <v>54</v>
      </c>
      <c r="M140" s="34">
        <v>46041</v>
      </c>
      <c r="N140" s="7" t="s">
        <v>41</v>
      </c>
    </row>
    <row r="141" spans="1:14" x14ac:dyDescent="0.25">
      <c r="A141" s="41" t="s">
        <v>322</v>
      </c>
      <c r="B141" s="1">
        <v>1</v>
      </c>
      <c r="C141" s="8">
        <v>46036</v>
      </c>
      <c r="D141" s="1" t="s">
        <v>321</v>
      </c>
      <c r="E141" s="7" t="s">
        <v>13</v>
      </c>
      <c r="F141" s="1" t="s">
        <v>23</v>
      </c>
      <c r="G141" s="9" t="s">
        <v>35</v>
      </c>
      <c r="H141" s="7">
        <v>9990</v>
      </c>
      <c r="I141" s="18">
        <v>15001002</v>
      </c>
      <c r="J141" s="10">
        <v>149.30000000000001</v>
      </c>
      <c r="K141" s="7" t="s">
        <v>13</v>
      </c>
      <c r="L141" s="7" t="s">
        <v>54</v>
      </c>
      <c r="M141" s="34">
        <v>46041</v>
      </c>
      <c r="N141" s="7" t="s">
        <v>64</v>
      </c>
    </row>
    <row r="142" spans="1:14" x14ac:dyDescent="0.25">
      <c r="A142" s="41" t="s">
        <v>323</v>
      </c>
      <c r="B142" s="1">
        <v>1</v>
      </c>
      <c r="C142" s="8">
        <v>46036</v>
      </c>
      <c r="D142" s="1" t="s">
        <v>324</v>
      </c>
      <c r="E142" s="7" t="s">
        <v>13</v>
      </c>
      <c r="F142" s="1" t="s">
        <v>23</v>
      </c>
      <c r="G142" s="9" t="s">
        <v>35</v>
      </c>
      <c r="H142" s="7">
        <v>806</v>
      </c>
      <c r="I142" s="18">
        <v>26010000</v>
      </c>
      <c r="J142" s="10">
        <v>950</v>
      </c>
      <c r="K142" s="7" t="s">
        <v>13</v>
      </c>
      <c r="L142" s="7" t="s">
        <v>54</v>
      </c>
      <c r="M142" s="34">
        <v>46042</v>
      </c>
      <c r="N142" s="7" t="s">
        <v>64</v>
      </c>
    </row>
    <row r="143" spans="1:14" x14ac:dyDescent="0.25">
      <c r="A143" s="41" t="s">
        <v>323</v>
      </c>
      <c r="B143" s="1">
        <v>1</v>
      </c>
      <c r="C143" s="8">
        <v>46036</v>
      </c>
      <c r="D143" s="1" t="s">
        <v>325</v>
      </c>
      <c r="E143" s="7" t="s">
        <v>13</v>
      </c>
      <c r="F143" s="1" t="s">
        <v>23</v>
      </c>
      <c r="G143" s="9" t="s">
        <v>35</v>
      </c>
      <c r="H143" s="7">
        <v>805</v>
      </c>
      <c r="I143" s="18">
        <v>26010000</v>
      </c>
      <c r="J143" s="10">
        <v>1320</v>
      </c>
      <c r="K143" s="7" t="s">
        <v>13</v>
      </c>
      <c r="L143" s="7" t="s">
        <v>54</v>
      </c>
      <c r="M143" s="34">
        <v>46042</v>
      </c>
      <c r="N143" s="7" t="s">
        <v>64</v>
      </c>
    </row>
    <row r="144" spans="1:14" x14ac:dyDescent="0.25">
      <c r="A144" s="41" t="s">
        <v>326</v>
      </c>
      <c r="B144" s="1">
        <v>1</v>
      </c>
      <c r="C144" s="8">
        <v>46036</v>
      </c>
      <c r="D144" s="1" t="s">
        <v>327</v>
      </c>
      <c r="E144" s="7" t="s">
        <v>13</v>
      </c>
      <c r="F144" s="1" t="s">
        <v>23</v>
      </c>
      <c r="G144" s="9" t="s">
        <v>35</v>
      </c>
      <c r="H144" s="7">
        <v>21833</v>
      </c>
      <c r="I144" s="18">
        <v>16000000</v>
      </c>
      <c r="J144" s="10">
        <v>300</v>
      </c>
      <c r="K144" s="7" t="s">
        <v>13</v>
      </c>
      <c r="L144" s="7" t="s">
        <v>54</v>
      </c>
      <c r="M144" s="34">
        <v>46041</v>
      </c>
      <c r="N144" s="7" t="s">
        <v>64</v>
      </c>
    </row>
    <row r="145" spans="1:15" x14ac:dyDescent="0.25">
      <c r="A145" s="41" t="s">
        <v>236</v>
      </c>
      <c r="B145" s="1">
        <v>1</v>
      </c>
      <c r="C145" s="8">
        <v>46036</v>
      </c>
      <c r="D145" s="1" t="s">
        <v>328</v>
      </c>
      <c r="E145" s="7" t="s">
        <v>13</v>
      </c>
      <c r="F145" s="1" t="s">
        <v>23</v>
      </c>
      <c r="G145" s="9" t="s">
        <v>35</v>
      </c>
      <c r="H145" s="7">
        <v>185893</v>
      </c>
      <c r="I145" s="18">
        <v>16000000</v>
      </c>
      <c r="J145" s="10">
        <v>286</v>
      </c>
      <c r="K145" s="7" t="s">
        <v>13</v>
      </c>
      <c r="L145" s="7" t="s">
        <v>54</v>
      </c>
      <c r="M145" s="34">
        <v>46043</v>
      </c>
      <c r="N145" s="7" t="s">
        <v>41</v>
      </c>
    </row>
    <row r="146" spans="1:15" x14ac:dyDescent="0.25">
      <c r="A146" s="41" t="s">
        <v>329</v>
      </c>
      <c r="B146" s="1">
        <v>1</v>
      </c>
      <c r="C146" s="8">
        <v>46036</v>
      </c>
      <c r="D146" s="1" t="s">
        <v>330</v>
      </c>
      <c r="E146" s="7" t="s">
        <v>13</v>
      </c>
      <c r="F146" s="1" t="s">
        <v>23</v>
      </c>
      <c r="G146" s="9" t="s">
        <v>35</v>
      </c>
      <c r="H146" s="7">
        <v>448268</v>
      </c>
      <c r="I146" s="18">
        <v>16210000</v>
      </c>
      <c r="J146" s="10">
        <v>16219.2</v>
      </c>
      <c r="K146" s="7" t="s">
        <v>13</v>
      </c>
      <c r="L146" s="7" t="s">
        <v>54</v>
      </c>
      <c r="M146" s="34">
        <v>46043</v>
      </c>
      <c r="N146" s="7" t="s">
        <v>41</v>
      </c>
    </row>
    <row r="147" spans="1:15" x14ac:dyDescent="0.25">
      <c r="A147" s="41" t="s">
        <v>332</v>
      </c>
      <c r="B147" s="1">
        <v>2</v>
      </c>
      <c r="C147" s="8">
        <v>46044</v>
      </c>
      <c r="D147" s="1" t="s">
        <v>331</v>
      </c>
      <c r="E147" s="7" t="s">
        <v>13</v>
      </c>
      <c r="F147" s="1" t="s">
        <v>23</v>
      </c>
      <c r="G147" s="9" t="s">
        <v>35</v>
      </c>
      <c r="H147" s="7">
        <v>9647</v>
      </c>
      <c r="I147" s="18">
        <v>15001002</v>
      </c>
      <c r="J147" s="10">
        <v>42250.79</v>
      </c>
      <c r="K147" s="7" t="s">
        <v>13</v>
      </c>
      <c r="L147" s="7" t="s">
        <v>54</v>
      </c>
      <c r="M147" s="34">
        <v>46044</v>
      </c>
      <c r="N147" s="7" t="s">
        <v>41</v>
      </c>
    </row>
    <row r="148" spans="1:15" x14ac:dyDescent="0.25">
      <c r="A148" s="41" t="s">
        <v>236</v>
      </c>
      <c r="B148" s="1">
        <v>1</v>
      </c>
      <c r="C148" s="8">
        <v>46036</v>
      </c>
      <c r="D148" s="1" t="s">
        <v>333</v>
      </c>
      <c r="E148" s="7" t="s">
        <v>13</v>
      </c>
      <c r="F148" s="1" t="s">
        <v>23</v>
      </c>
      <c r="G148" s="9" t="s">
        <v>35</v>
      </c>
      <c r="H148" s="7">
        <v>185844</v>
      </c>
      <c r="I148" s="18">
        <v>16000000</v>
      </c>
      <c r="J148" s="10">
        <v>2160</v>
      </c>
      <c r="K148" s="7" t="s">
        <v>13</v>
      </c>
      <c r="L148" s="7" t="s">
        <v>54</v>
      </c>
      <c r="M148" s="34">
        <v>46042</v>
      </c>
      <c r="N148" s="7" t="s">
        <v>41</v>
      </c>
    </row>
    <row r="149" spans="1:15" x14ac:dyDescent="0.25">
      <c r="A149" s="41" t="s">
        <v>322</v>
      </c>
      <c r="B149" s="1">
        <v>1</v>
      </c>
      <c r="C149" s="8">
        <v>46036</v>
      </c>
      <c r="D149" s="1" t="s">
        <v>334</v>
      </c>
      <c r="E149" s="7" t="s">
        <v>13</v>
      </c>
      <c r="F149" s="1" t="s">
        <v>23</v>
      </c>
      <c r="G149" s="9" t="s">
        <v>35</v>
      </c>
      <c r="H149" s="7">
        <v>9988</v>
      </c>
      <c r="I149" s="18">
        <v>16000000</v>
      </c>
      <c r="J149" s="10">
        <v>8958</v>
      </c>
      <c r="K149" s="7" t="s">
        <v>13</v>
      </c>
      <c r="L149" s="7" t="s">
        <v>54</v>
      </c>
      <c r="M149" s="34">
        <v>46041</v>
      </c>
      <c r="N149" s="7" t="s">
        <v>64</v>
      </c>
    </row>
    <row r="150" spans="1:15" x14ac:dyDescent="0.25">
      <c r="A150" s="41" t="s">
        <v>265</v>
      </c>
      <c r="B150" s="1">
        <v>1</v>
      </c>
      <c r="C150" s="8">
        <v>46036</v>
      </c>
      <c r="D150" s="1" t="s">
        <v>335</v>
      </c>
      <c r="E150" s="7" t="s">
        <v>13</v>
      </c>
      <c r="F150" s="1" t="s">
        <v>23</v>
      </c>
      <c r="G150" s="9" t="s">
        <v>35</v>
      </c>
      <c r="H150" s="7">
        <v>178578</v>
      </c>
      <c r="I150" s="18">
        <v>16000000</v>
      </c>
      <c r="J150" s="10">
        <v>5504.4</v>
      </c>
      <c r="K150" s="7" t="s">
        <v>13</v>
      </c>
      <c r="L150" s="7" t="s">
        <v>54</v>
      </c>
      <c r="M150" s="34">
        <v>46041</v>
      </c>
      <c r="N150" s="7" t="s">
        <v>41</v>
      </c>
    </row>
    <row r="151" spans="1:15" x14ac:dyDescent="0.25">
      <c r="A151" s="41" t="s">
        <v>318</v>
      </c>
      <c r="B151" s="1">
        <v>1</v>
      </c>
      <c r="C151" s="8">
        <v>46036</v>
      </c>
      <c r="D151" s="1" t="s">
        <v>336</v>
      </c>
      <c r="E151" s="7" t="s">
        <v>13</v>
      </c>
      <c r="F151" s="1" t="s">
        <v>23</v>
      </c>
      <c r="G151" s="9" t="s">
        <v>35</v>
      </c>
      <c r="H151" s="7">
        <v>9823</v>
      </c>
      <c r="I151" s="18">
        <v>25010000</v>
      </c>
      <c r="J151" s="10">
        <v>4300</v>
      </c>
      <c r="K151" s="7" t="s">
        <v>13</v>
      </c>
      <c r="L151" s="7" t="s">
        <v>54</v>
      </c>
      <c r="M151" s="34">
        <v>46042</v>
      </c>
      <c r="N151" s="7" t="s">
        <v>64</v>
      </c>
    </row>
    <row r="152" spans="1:15" x14ac:dyDescent="0.25">
      <c r="A152" s="41" t="s">
        <v>323</v>
      </c>
      <c r="B152" s="1">
        <v>2</v>
      </c>
      <c r="C152" s="8">
        <v>46042</v>
      </c>
      <c r="D152" s="1" t="s">
        <v>337</v>
      </c>
      <c r="E152" s="7" t="s">
        <v>13</v>
      </c>
      <c r="F152" s="1" t="s">
        <v>23</v>
      </c>
      <c r="G152" s="9" t="s">
        <v>35</v>
      </c>
      <c r="H152" s="7">
        <v>804</v>
      </c>
      <c r="I152" s="18">
        <v>15001002</v>
      </c>
      <c r="J152" s="10">
        <v>370</v>
      </c>
      <c r="K152" s="7" t="s">
        <v>13</v>
      </c>
      <c r="L152" s="7" t="s">
        <v>54</v>
      </c>
      <c r="M152" s="34">
        <v>46042</v>
      </c>
      <c r="N152" s="7" t="s">
        <v>92</v>
      </c>
    </row>
    <row r="153" spans="1:15" x14ac:dyDescent="0.25">
      <c r="A153" s="41" t="s">
        <v>339</v>
      </c>
      <c r="B153" s="1">
        <v>1</v>
      </c>
      <c r="C153" s="8">
        <v>46036</v>
      </c>
      <c r="D153" s="1" t="s">
        <v>338</v>
      </c>
      <c r="E153" s="7" t="s">
        <v>13</v>
      </c>
      <c r="F153" s="1" t="s">
        <v>23</v>
      </c>
      <c r="G153" s="9" t="s">
        <v>35</v>
      </c>
      <c r="H153" s="7">
        <v>110</v>
      </c>
      <c r="I153" s="18">
        <v>15001002</v>
      </c>
      <c r="J153" s="10">
        <v>18000</v>
      </c>
      <c r="K153" s="7" t="s">
        <v>13</v>
      </c>
      <c r="L153" s="7" t="s">
        <v>54</v>
      </c>
      <c r="M153" s="34">
        <v>46041</v>
      </c>
      <c r="N153" s="7" t="s">
        <v>64</v>
      </c>
    </row>
    <row r="154" spans="1:15" x14ac:dyDescent="0.25">
      <c r="A154" s="41" t="s">
        <v>344</v>
      </c>
      <c r="B154" s="1">
        <v>1</v>
      </c>
      <c r="C154" s="8">
        <v>46037</v>
      </c>
      <c r="D154" s="1" t="s">
        <v>345</v>
      </c>
      <c r="E154" s="7" t="s">
        <v>13</v>
      </c>
      <c r="F154" s="1" t="s">
        <v>23</v>
      </c>
      <c r="G154" s="9" t="s">
        <v>35</v>
      </c>
      <c r="H154" s="7" t="s">
        <v>74</v>
      </c>
      <c r="I154" s="18">
        <v>15001002</v>
      </c>
      <c r="J154" s="10">
        <v>11580</v>
      </c>
      <c r="K154" s="7" t="s">
        <v>13</v>
      </c>
      <c r="L154" s="7" t="s">
        <v>54</v>
      </c>
      <c r="M154" s="34">
        <v>46038</v>
      </c>
      <c r="N154" s="7" t="s">
        <v>64</v>
      </c>
    </row>
    <row r="155" spans="1:15" x14ac:dyDescent="0.25">
      <c r="A155" s="41" t="s">
        <v>347</v>
      </c>
      <c r="B155" s="1">
        <v>1</v>
      </c>
      <c r="C155" s="8">
        <v>46037</v>
      </c>
      <c r="D155" s="1" t="s">
        <v>346</v>
      </c>
      <c r="E155" s="7" t="s">
        <v>13</v>
      </c>
      <c r="F155" s="1" t="s">
        <v>23</v>
      </c>
      <c r="G155" s="9" t="s">
        <v>35</v>
      </c>
      <c r="H155" s="7" t="s">
        <v>74</v>
      </c>
      <c r="I155" s="18">
        <v>15001002</v>
      </c>
      <c r="J155" s="10">
        <v>27550</v>
      </c>
      <c r="K155" s="7" t="s">
        <v>13</v>
      </c>
      <c r="L155" s="7" t="s">
        <v>54</v>
      </c>
      <c r="M155" s="34">
        <v>46038</v>
      </c>
      <c r="N155" s="7" t="s">
        <v>64</v>
      </c>
    </row>
    <row r="156" spans="1:15" x14ac:dyDescent="0.25">
      <c r="A156" s="41" t="s">
        <v>348</v>
      </c>
      <c r="B156" s="1">
        <v>1</v>
      </c>
      <c r="C156" s="8">
        <v>46037</v>
      </c>
      <c r="D156" s="1" t="s">
        <v>384</v>
      </c>
      <c r="E156" s="7" t="s">
        <v>13</v>
      </c>
      <c r="F156" s="1" t="s">
        <v>23</v>
      </c>
      <c r="G156" s="9" t="s">
        <v>35</v>
      </c>
      <c r="H156" s="7" t="s">
        <v>74</v>
      </c>
      <c r="I156" s="18" t="s">
        <v>0</v>
      </c>
      <c r="J156" s="10" t="s">
        <v>61</v>
      </c>
      <c r="K156" s="7" t="s">
        <v>22</v>
      </c>
      <c r="L156" s="7" t="s">
        <v>55</v>
      </c>
      <c r="M156" s="34">
        <v>46041</v>
      </c>
      <c r="N156" s="7" t="s">
        <v>91</v>
      </c>
    </row>
    <row r="157" spans="1:15" x14ac:dyDescent="0.25">
      <c r="A157" s="41" t="s">
        <v>181</v>
      </c>
      <c r="B157" s="1">
        <v>1</v>
      </c>
      <c r="C157" s="8">
        <v>46037</v>
      </c>
      <c r="D157" s="1" t="s">
        <v>354</v>
      </c>
      <c r="E157" s="7" t="s">
        <v>13</v>
      </c>
      <c r="F157" s="1" t="s">
        <v>23</v>
      </c>
      <c r="G157" s="9" t="s">
        <v>35</v>
      </c>
      <c r="H157" s="7" t="s">
        <v>74</v>
      </c>
      <c r="I157" s="18">
        <v>160000000</v>
      </c>
      <c r="J157" s="10">
        <v>1368.43</v>
      </c>
      <c r="K157" s="7" t="s">
        <v>13</v>
      </c>
      <c r="L157" s="7" t="s">
        <v>54</v>
      </c>
      <c r="M157" s="34">
        <v>46038</v>
      </c>
      <c r="N157" s="7" t="s">
        <v>92</v>
      </c>
    </row>
    <row r="158" spans="1:15" x14ac:dyDescent="0.25">
      <c r="A158" s="41" t="s">
        <v>355</v>
      </c>
      <c r="B158" s="1">
        <v>2</v>
      </c>
      <c r="C158" s="8">
        <v>46041</v>
      </c>
      <c r="D158" s="1" t="s">
        <v>357</v>
      </c>
      <c r="E158" s="7" t="s">
        <v>13</v>
      </c>
      <c r="F158" s="1" t="s">
        <v>23</v>
      </c>
      <c r="G158" s="9" t="s">
        <v>63</v>
      </c>
      <c r="H158" s="7" t="s">
        <v>74</v>
      </c>
      <c r="I158" s="18" t="s">
        <v>0</v>
      </c>
      <c r="J158" s="10" t="s">
        <v>61</v>
      </c>
      <c r="K158" s="7" t="s">
        <v>17</v>
      </c>
      <c r="L158" s="7" t="s">
        <v>55</v>
      </c>
      <c r="M158" s="34">
        <v>46042</v>
      </c>
      <c r="N158" s="7" t="s">
        <v>64</v>
      </c>
    </row>
    <row r="159" spans="1:15" x14ac:dyDescent="0.25">
      <c r="A159" s="41" t="s">
        <v>355</v>
      </c>
      <c r="B159" s="1">
        <v>1</v>
      </c>
      <c r="C159" s="8">
        <v>46038</v>
      </c>
      <c r="D159" s="1" t="s">
        <v>356</v>
      </c>
      <c r="E159" s="7" t="s">
        <v>13</v>
      </c>
      <c r="F159" s="1" t="s">
        <v>23</v>
      </c>
      <c r="G159" s="9" t="s">
        <v>63</v>
      </c>
      <c r="H159" s="7" t="s">
        <v>74</v>
      </c>
      <c r="I159" s="18" t="s">
        <v>0</v>
      </c>
      <c r="J159" s="10" t="s">
        <v>61</v>
      </c>
      <c r="K159" s="7" t="s">
        <v>17</v>
      </c>
      <c r="L159" s="7" t="s">
        <v>55</v>
      </c>
      <c r="M159" s="34">
        <v>46042</v>
      </c>
      <c r="N159" s="7" t="s">
        <v>64</v>
      </c>
    </row>
    <row r="160" spans="1:15" x14ac:dyDescent="0.25">
      <c r="A160" s="41" t="s">
        <v>112</v>
      </c>
      <c r="B160" s="1">
        <v>2</v>
      </c>
      <c r="C160" s="8">
        <v>46041</v>
      </c>
      <c r="D160" s="1" t="s">
        <v>683</v>
      </c>
      <c r="E160" s="7" t="s">
        <v>13</v>
      </c>
      <c r="F160" s="1" t="s">
        <v>23</v>
      </c>
      <c r="G160" s="9" t="s">
        <v>35</v>
      </c>
      <c r="H160" s="7" t="s">
        <v>74</v>
      </c>
      <c r="I160" s="18">
        <v>16000000</v>
      </c>
      <c r="J160" s="10">
        <v>235000</v>
      </c>
      <c r="K160" s="7" t="s">
        <v>13</v>
      </c>
      <c r="L160" s="7" t="s">
        <v>54</v>
      </c>
      <c r="M160" s="34">
        <v>46059</v>
      </c>
      <c r="N160" s="7" t="s">
        <v>41</v>
      </c>
      <c r="O160" s="7" t="s">
        <v>684</v>
      </c>
    </row>
    <row r="161" spans="1:15" x14ac:dyDescent="0.25">
      <c r="A161" s="41" t="s">
        <v>112</v>
      </c>
      <c r="B161" s="1">
        <v>2</v>
      </c>
      <c r="C161" s="8">
        <v>46059</v>
      </c>
      <c r="D161" s="1" t="s">
        <v>682</v>
      </c>
      <c r="E161" s="7" t="s">
        <v>13</v>
      </c>
      <c r="F161" s="1" t="s">
        <v>23</v>
      </c>
      <c r="G161" s="9" t="s">
        <v>35</v>
      </c>
      <c r="H161" s="7" t="s">
        <v>74</v>
      </c>
      <c r="I161" s="18">
        <v>15010000</v>
      </c>
      <c r="J161" s="10">
        <v>1251859.45</v>
      </c>
      <c r="K161" s="7" t="s">
        <v>13</v>
      </c>
      <c r="L161" s="7" t="s">
        <v>54</v>
      </c>
      <c r="M161" s="34">
        <v>46059</v>
      </c>
      <c r="N161" s="7" t="s">
        <v>41</v>
      </c>
      <c r="O161" s="7" t="s">
        <v>685</v>
      </c>
    </row>
    <row r="162" spans="1:15" x14ac:dyDescent="0.25">
      <c r="A162" s="41" t="s">
        <v>362</v>
      </c>
      <c r="B162" s="1">
        <v>1</v>
      </c>
      <c r="C162" s="8">
        <v>46038</v>
      </c>
      <c r="D162" s="1" t="s">
        <v>363</v>
      </c>
      <c r="E162" s="7" t="s">
        <v>13</v>
      </c>
      <c r="F162" s="1" t="s">
        <v>23</v>
      </c>
      <c r="G162" s="9" t="s">
        <v>35</v>
      </c>
      <c r="H162" s="7" t="s">
        <v>74</v>
      </c>
      <c r="I162" s="18">
        <v>16000000</v>
      </c>
      <c r="J162" s="10">
        <v>20120</v>
      </c>
      <c r="K162" s="7" t="s">
        <v>13</v>
      </c>
      <c r="L162" s="7" t="s">
        <v>54</v>
      </c>
      <c r="M162" s="34">
        <v>46041</v>
      </c>
      <c r="N162" s="7" t="s">
        <v>64</v>
      </c>
    </row>
    <row r="163" spans="1:15" x14ac:dyDescent="0.25">
      <c r="A163" s="41" t="s">
        <v>364</v>
      </c>
      <c r="B163" s="1">
        <v>2</v>
      </c>
      <c r="C163" s="8">
        <v>46044</v>
      </c>
      <c r="D163" s="1" t="s">
        <v>365</v>
      </c>
      <c r="E163" s="7" t="s">
        <v>13</v>
      </c>
      <c r="F163" s="1" t="s">
        <v>23</v>
      </c>
      <c r="G163" s="9" t="s">
        <v>35</v>
      </c>
      <c r="H163" s="7">
        <v>2467</v>
      </c>
      <c r="I163" s="18">
        <v>16000000</v>
      </c>
      <c r="J163" s="10">
        <v>2111.58</v>
      </c>
      <c r="K163" s="7" t="s">
        <v>13</v>
      </c>
      <c r="L163" s="7" t="s">
        <v>54</v>
      </c>
      <c r="M163" s="34">
        <v>46044</v>
      </c>
      <c r="N163" s="7" t="s">
        <v>41</v>
      </c>
    </row>
    <row r="164" spans="1:15" x14ac:dyDescent="0.25">
      <c r="A164" s="41" t="s">
        <v>364</v>
      </c>
      <c r="B164" s="1">
        <v>2</v>
      </c>
      <c r="C164" s="8">
        <v>46044</v>
      </c>
      <c r="D164" s="1" t="s">
        <v>366</v>
      </c>
      <c r="E164" s="7" t="s">
        <v>13</v>
      </c>
      <c r="F164" s="1" t="s">
        <v>23</v>
      </c>
      <c r="G164" s="9" t="s">
        <v>35</v>
      </c>
      <c r="H164" s="7">
        <v>2467</v>
      </c>
      <c r="I164" s="18">
        <v>15001002</v>
      </c>
      <c r="J164" s="10">
        <v>28838.94</v>
      </c>
      <c r="K164" s="7" t="s">
        <v>13</v>
      </c>
      <c r="L164" s="7" t="s">
        <v>54</v>
      </c>
      <c r="M164" s="34">
        <v>46044</v>
      </c>
      <c r="N164" s="7" t="s">
        <v>41</v>
      </c>
    </row>
    <row r="165" spans="1:15" x14ac:dyDescent="0.25">
      <c r="A165" s="41" t="s">
        <v>367</v>
      </c>
      <c r="B165" s="1">
        <v>2</v>
      </c>
      <c r="C165" s="8">
        <v>46043</v>
      </c>
      <c r="D165" s="1" t="s">
        <v>368</v>
      </c>
      <c r="E165" s="7" t="s">
        <v>13</v>
      </c>
      <c r="F165" s="1" t="s">
        <v>23</v>
      </c>
      <c r="G165" s="9" t="s">
        <v>35</v>
      </c>
      <c r="H165" s="7">
        <v>17427</v>
      </c>
      <c r="I165" s="18">
        <v>15001002</v>
      </c>
      <c r="J165" s="10">
        <v>1917.39</v>
      </c>
      <c r="K165" s="7" t="s">
        <v>13</v>
      </c>
      <c r="L165" s="7" t="s">
        <v>54</v>
      </c>
      <c r="M165" s="34">
        <v>46044</v>
      </c>
      <c r="N165" s="7" t="s">
        <v>64</v>
      </c>
    </row>
    <row r="166" spans="1:15" x14ac:dyDescent="0.25">
      <c r="A166" s="41" t="s">
        <v>370</v>
      </c>
      <c r="B166" s="1">
        <v>2</v>
      </c>
      <c r="C166" s="8">
        <v>46044</v>
      </c>
      <c r="D166" s="1" t="s">
        <v>369</v>
      </c>
      <c r="E166" s="7" t="s">
        <v>13</v>
      </c>
      <c r="F166" s="1" t="s">
        <v>23</v>
      </c>
      <c r="G166" s="9" t="s">
        <v>35</v>
      </c>
      <c r="H166" s="7">
        <v>359</v>
      </c>
      <c r="I166" s="18">
        <v>15001002</v>
      </c>
      <c r="J166" s="10">
        <v>2889</v>
      </c>
      <c r="K166" s="7" t="s">
        <v>13</v>
      </c>
      <c r="L166" s="7" t="s">
        <v>54</v>
      </c>
      <c r="M166" s="34">
        <v>46044</v>
      </c>
      <c r="N166" s="7" t="s">
        <v>41</v>
      </c>
    </row>
    <row r="167" spans="1:15" x14ac:dyDescent="0.25">
      <c r="A167" s="41" t="s">
        <v>371</v>
      </c>
      <c r="B167" s="1">
        <v>2</v>
      </c>
      <c r="C167" s="8">
        <v>46048</v>
      </c>
      <c r="D167" s="1" t="s">
        <v>372</v>
      </c>
      <c r="E167" s="7" t="s">
        <v>13</v>
      </c>
      <c r="F167" s="1" t="s">
        <v>23</v>
      </c>
      <c r="G167" s="9" t="s">
        <v>35</v>
      </c>
      <c r="H167" s="7">
        <v>408</v>
      </c>
      <c r="I167" s="18">
        <v>15001002</v>
      </c>
      <c r="J167" s="10">
        <v>24414.43</v>
      </c>
      <c r="K167" s="7" t="s">
        <v>13</v>
      </c>
      <c r="L167" s="7" t="s">
        <v>54</v>
      </c>
      <c r="M167" s="34">
        <v>46049</v>
      </c>
      <c r="N167" s="7" t="s">
        <v>41</v>
      </c>
    </row>
    <row r="168" spans="1:15" x14ac:dyDescent="0.25">
      <c r="A168" s="41" t="s">
        <v>236</v>
      </c>
      <c r="B168" s="1">
        <v>1</v>
      </c>
      <c r="C168" s="8">
        <v>46041</v>
      </c>
      <c r="D168" s="1" t="s">
        <v>373</v>
      </c>
      <c r="E168" s="7" t="s">
        <v>13</v>
      </c>
      <c r="F168" s="1" t="s">
        <v>23</v>
      </c>
      <c r="G168" s="9" t="s">
        <v>35</v>
      </c>
      <c r="H168" s="7">
        <v>185966</v>
      </c>
      <c r="I168" s="18">
        <v>16000000</v>
      </c>
      <c r="J168" s="10">
        <v>10770</v>
      </c>
      <c r="K168" s="7" t="s">
        <v>13</v>
      </c>
      <c r="L168" s="7" t="s">
        <v>54</v>
      </c>
      <c r="M168" s="34">
        <v>46042</v>
      </c>
      <c r="N168" s="7" t="s">
        <v>64</v>
      </c>
    </row>
    <row r="169" spans="1:15" x14ac:dyDescent="0.25">
      <c r="A169" s="41" t="s">
        <v>375</v>
      </c>
      <c r="B169" s="1">
        <v>1</v>
      </c>
      <c r="C169" s="8">
        <v>46041</v>
      </c>
      <c r="D169" s="1" t="s">
        <v>374</v>
      </c>
      <c r="E169" s="7" t="s">
        <v>13</v>
      </c>
      <c r="F169" s="1" t="s">
        <v>23</v>
      </c>
      <c r="G169" s="9" t="s">
        <v>35</v>
      </c>
      <c r="H169" s="7">
        <v>1726880</v>
      </c>
      <c r="I169" s="18">
        <v>16000000</v>
      </c>
      <c r="J169" s="10">
        <v>10500</v>
      </c>
      <c r="K169" s="7" t="s">
        <v>13</v>
      </c>
      <c r="L169" s="7" t="s">
        <v>54</v>
      </c>
      <c r="M169" s="34">
        <v>46042</v>
      </c>
      <c r="N169" s="7" t="s">
        <v>64</v>
      </c>
    </row>
    <row r="170" spans="1:15" x14ac:dyDescent="0.25">
      <c r="A170" s="41" t="s">
        <v>236</v>
      </c>
      <c r="B170" s="1">
        <v>1</v>
      </c>
      <c r="C170" s="8">
        <v>46041</v>
      </c>
      <c r="D170" s="1" t="s">
        <v>376</v>
      </c>
      <c r="E170" s="7" t="s">
        <v>13</v>
      </c>
      <c r="F170" s="1" t="s">
        <v>23</v>
      </c>
      <c r="G170" s="9" t="s">
        <v>35</v>
      </c>
      <c r="H170" s="7">
        <v>185996</v>
      </c>
      <c r="I170" s="18">
        <v>16000000</v>
      </c>
      <c r="J170" s="10">
        <v>2240</v>
      </c>
      <c r="K170" s="7" t="s">
        <v>13</v>
      </c>
      <c r="L170" s="7" t="s">
        <v>54</v>
      </c>
      <c r="M170" s="34">
        <v>46042</v>
      </c>
      <c r="N170" s="7" t="s">
        <v>64</v>
      </c>
    </row>
    <row r="171" spans="1:15" x14ac:dyDescent="0.25">
      <c r="A171" s="41" t="s">
        <v>236</v>
      </c>
      <c r="B171" s="1">
        <v>1</v>
      </c>
      <c r="C171" s="8">
        <v>46041</v>
      </c>
      <c r="D171" s="1" t="s">
        <v>377</v>
      </c>
      <c r="E171" s="7" t="s">
        <v>13</v>
      </c>
      <c r="F171" s="1" t="s">
        <v>23</v>
      </c>
      <c r="G171" s="9" t="s">
        <v>35</v>
      </c>
      <c r="H171" s="7">
        <v>186004</v>
      </c>
      <c r="I171" s="18">
        <v>16000000</v>
      </c>
      <c r="J171" s="10">
        <v>740</v>
      </c>
      <c r="K171" s="7" t="s">
        <v>13</v>
      </c>
      <c r="L171" s="7" t="s">
        <v>54</v>
      </c>
      <c r="M171" s="34">
        <v>46042</v>
      </c>
      <c r="N171" s="7" t="s">
        <v>92</v>
      </c>
    </row>
    <row r="172" spans="1:15" x14ac:dyDescent="0.25">
      <c r="A172" s="41" t="s">
        <v>236</v>
      </c>
      <c r="B172" s="1">
        <v>1</v>
      </c>
      <c r="C172" s="8">
        <v>46041</v>
      </c>
      <c r="D172" s="1" t="s">
        <v>378</v>
      </c>
      <c r="E172" s="7" t="s">
        <v>13</v>
      </c>
      <c r="F172" s="1" t="s">
        <v>23</v>
      </c>
      <c r="G172" s="9" t="s">
        <v>35</v>
      </c>
      <c r="H172" s="7">
        <v>186150</v>
      </c>
      <c r="I172" s="18">
        <v>16000000</v>
      </c>
      <c r="J172" s="10">
        <v>13728</v>
      </c>
      <c r="K172" s="7" t="s">
        <v>13</v>
      </c>
      <c r="L172" s="7" t="s">
        <v>40</v>
      </c>
      <c r="M172" s="34">
        <v>46042</v>
      </c>
      <c r="N172" s="7" t="s">
        <v>92</v>
      </c>
    </row>
    <row r="173" spans="1:15" x14ac:dyDescent="0.25">
      <c r="A173" s="41" t="s">
        <v>380</v>
      </c>
      <c r="B173" s="1">
        <v>2</v>
      </c>
      <c r="C173" s="8">
        <v>46059</v>
      </c>
      <c r="D173" s="1" t="s">
        <v>379</v>
      </c>
      <c r="E173" s="7" t="s">
        <v>12</v>
      </c>
      <c r="F173" s="1" t="s">
        <v>23</v>
      </c>
      <c r="G173" s="9" t="s">
        <v>63</v>
      </c>
      <c r="H173" s="7" t="s">
        <v>74</v>
      </c>
      <c r="I173" s="18">
        <v>15000000</v>
      </c>
      <c r="J173" s="10" t="s">
        <v>61</v>
      </c>
      <c r="K173" s="7" t="s">
        <v>17</v>
      </c>
      <c r="L173" s="7" t="s">
        <v>55</v>
      </c>
      <c r="M173" s="34">
        <v>46063</v>
      </c>
      <c r="N173" s="7" t="s">
        <v>45</v>
      </c>
    </row>
    <row r="174" spans="1:15" x14ac:dyDescent="0.25">
      <c r="A174" s="41" t="s">
        <v>381</v>
      </c>
      <c r="B174" s="1">
        <v>2</v>
      </c>
      <c r="C174" s="8">
        <v>46049</v>
      </c>
      <c r="D174" s="1" t="s">
        <v>382</v>
      </c>
      <c r="E174" s="7" t="s">
        <v>14</v>
      </c>
      <c r="F174" s="1" t="s">
        <v>23</v>
      </c>
      <c r="G174" s="9" t="s">
        <v>63</v>
      </c>
      <c r="H174" s="7" t="s">
        <v>74</v>
      </c>
      <c r="I174" s="18" t="s">
        <v>383</v>
      </c>
      <c r="J174" s="10" t="s">
        <v>61</v>
      </c>
      <c r="K174" s="7" t="s">
        <v>17</v>
      </c>
      <c r="L174" s="7" t="s">
        <v>55</v>
      </c>
      <c r="M174" s="34">
        <v>46050</v>
      </c>
      <c r="N174" s="7" t="s">
        <v>41</v>
      </c>
    </row>
    <row r="175" spans="1:15" x14ac:dyDescent="0.25">
      <c r="A175" s="41" t="s">
        <v>385</v>
      </c>
      <c r="B175" s="1">
        <v>2</v>
      </c>
      <c r="C175" s="8">
        <v>46048</v>
      </c>
      <c r="D175" s="1" t="s">
        <v>386</v>
      </c>
      <c r="E175" s="7" t="s">
        <v>13</v>
      </c>
      <c r="F175" s="1" t="s">
        <v>23</v>
      </c>
      <c r="G175" s="9" t="s">
        <v>35</v>
      </c>
      <c r="H175" s="7">
        <v>4436</v>
      </c>
      <c r="I175" s="18">
        <v>15001002</v>
      </c>
      <c r="J175" s="10">
        <v>24802.3</v>
      </c>
      <c r="K175" s="7" t="s">
        <v>13</v>
      </c>
      <c r="L175" s="7" t="s">
        <v>54</v>
      </c>
      <c r="M175" s="34">
        <v>46049</v>
      </c>
      <c r="N175" s="7" t="s">
        <v>41</v>
      </c>
    </row>
    <row r="176" spans="1:15" x14ac:dyDescent="0.25">
      <c r="A176" s="41" t="s">
        <v>385</v>
      </c>
      <c r="B176" s="1">
        <v>2</v>
      </c>
      <c r="C176" s="8">
        <v>46043</v>
      </c>
      <c r="D176" s="1" t="s">
        <v>387</v>
      </c>
      <c r="E176" s="7" t="s">
        <v>13</v>
      </c>
      <c r="F176" s="1" t="s">
        <v>23</v>
      </c>
      <c r="G176" s="9" t="s">
        <v>35</v>
      </c>
      <c r="H176" s="7">
        <v>4436</v>
      </c>
      <c r="I176" s="18">
        <v>16000000</v>
      </c>
      <c r="J176" s="10">
        <v>20976.35</v>
      </c>
      <c r="K176" s="7" t="s">
        <v>13</v>
      </c>
      <c r="L176" s="7" t="s">
        <v>54</v>
      </c>
      <c r="M176" s="34">
        <v>46044</v>
      </c>
      <c r="N176" s="7" t="s">
        <v>64</v>
      </c>
    </row>
    <row r="177" spans="1:15" x14ac:dyDescent="0.25">
      <c r="A177" s="41" t="s">
        <v>260</v>
      </c>
      <c r="B177" s="1">
        <v>1</v>
      </c>
      <c r="C177" s="8">
        <v>46042</v>
      </c>
      <c r="D177" s="1" t="s">
        <v>388</v>
      </c>
      <c r="E177" s="7" t="s">
        <v>13</v>
      </c>
      <c r="F177" s="1" t="s">
        <v>23</v>
      </c>
      <c r="G177" s="9" t="s">
        <v>35</v>
      </c>
      <c r="H177" s="7">
        <v>29864</v>
      </c>
      <c r="I177" s="18">
        <v>16000000</v>
      </c>
      <c r="J177" s="10">
        <v>281.39999999999998</v>
      </c>
      <c r="K177" s="7" t="s">
        <v>13</v>
      </c>
      <c r="L177" s="7" t="s">
        <v>54</v>
      </c>
      <c r="M177" s="34">
        <v>46042</v>
      </c>
      <c r="N177" s="7" t="s">
        <v>64</v>
      </c>
    </row>
    <row r="178" spans="1:15" x14ac:dyDescent="0.25">
      <c r="A178" s="41" t="s">
        <v>390</v>
      </c>
      <c r="B178" s="1">
        <v>2</v>
      </c>
      <c r="C178" s="8">
        <v>46043</v>
      </c>
      <c r="D178" s="1" t="s">
        <v>389</v>
      </c>
      <c r="E178" s="7" t="s">
        <v>13</v>
      </c>
      <c r="F178" s="1" t="s">
        <v>23</v>
      </c>
      <c r="G178" s="9" t="s">
        <v>35</v>
      </c>
      <c r="H178" s="7">
        <v>42149</v>
      </c>
      <c r="I178" s="18">
        <v>16003110</v>
      </c>
      <c r="J178" s="10">
        <v>149.9</v>
      </c>
      <c r="K178" s="7" t="s">
        <v>13</v>
      </c>
      <c r="L178" s="7" t="s">
        <v>54</v>
      </c>
      <c r="M178" s="34">
        <v>46043</v>
      </c>
      <c r="N178" s="7" t="s">
        <v>41</v>
      </c>
    </row>
    <row r="179" spans="1:15" x14ac:dyDescent="0.25">
      <c r="A179" s="41" t="s">
        <v>260</v>
      </c>
      <c r="B179" s="1">
        <v>1</v>
      </c>
      <c r="C179" s="8">
        <v>46042</v>
      </c>
      <c r="D179" s="1" t="s">
        <v>391</v>
      </c>
      <c r="E179" s="7" t="s">
        <v>13</v>
      </c>
      <c r="F179" s="1" t="s">
        <v>23</v>
      </c>
      <c r="G179" s="9" t="s">
        <v>35</v>
      </c>
      <c r="H179" s="7">
        <v>29858</v>
      </c>
      <c r="I179" s="18">
        <v>16000000</v>
      </c>
      <c r="J179" s="10">
        <v>80.400000000000006</v>
      </c>
      <c r="K179" s="7" t="s">
        <v>13</v>
      </c>
      <c r="L179" s="7" t="s">
        <v>54</v>
      </c>
      <c r="M179" s="34">
        <v>46042</v>
      </c>
      <c r="N179" s="7" t="s">
        <v>41</v>
      </c>
    </row>
    <row r="180" spans="1:15" x14ac:dyDescent="0.25">
      <c r="A180" s="41" t="s">
        <v>393</v>
      </c>
      <c r="B180" s="1">
        <v>2</v>
      </c>
      <c r="C180" s="8">
        <v>46044</v>
      </c>
      <c r="D180" s="1" t="s">
        <v>392</v>
      </c>
      <c r="E180" s="7" t="s">
        <v>13</v>
      </c>
      <c r="F180" s="1" t="s">
        <v>23</v>
      </c>
      <c r="G180" s="9" t="s">
        <v>35</v>
      </c>
      <c r="H180" s="7" t="s">
        <v>74</v>
      </c>
      <c r="I180" s="18">
        <v>16210000</v>
      </c>
      <c r="J180" s="10">
        <v>173</v>
      </c>
      <c r="K180" s="7" t="s">
        <v>13</v>
      </c>
      <c r="L180" s="7" t="s">
        <v>54</v>
      </c>
      <c r="M180" s="34">
        <v>46044</v>
      </c>
      <c r="N180" s="7" t="s">
        <v>64</v>
      </c>
    </row>
    <row r="181" spans="1:15" x14ac:dyDescent="0.25">
      <c r="A181" s="41" t="s">
        <v>394</v>
      </c>
      <c r="B181" s="1">
        <v>2</v>
      </c>
      <c r="C181" s="8">
        <v>46044</v>
      </c>
      <c r="D181" s="1" t="s">
        <v>395</v>
      </c>
      <c r="E181" s="7" t="s">
        <v>13</v>
      </c>
      <c r="F181" s="1" t="s">
        <v>23</v>
      </c>
      <c r="G181" s="9" t="s">
        <v>35</v>
      </c>
      <c r="H181" s="7">
        <v>3454</v>
      </c>
      <c r="I181" s="18">
        <v>26010000</v>
      </c>
      <c r="J181" s="10">
        <v>1584</v>
      </c>
      <c r="K181" s="7" t="s">
        <v>13</v>
      </c>
      <c r="L181" s="7" t="s">
        <v>54</v>
      </c>
      <c r="M181" s="34">
        <v>46044</v>
      </c>
      <c r="N181" s="7" t="s">
        <v>41</v>
      </c>
    </row>
    <row r="182" spans="1:15" x14ac:dyDescent="0.25">
      <c r="A182" s="41" t="s">
        <v>397</v>
      </c>
      <c r="B182" s="1">
        <v>1</v>
      </c>
      <c r="C182" s="8">
        <v>46042</v>
      </c>
      <c r="D182" s="1" t="s">
        <v>396</v>
      </c>
      <c r="E182" s="7" t="s">
        <v>11</v>
      </c>
      <c r="F182" s="1" t="s">
        <v>23</v>
      </c>
      <c r="G182" s="9" t="s">
        <v>37</v>
      </c>
      <c r="H182" s="7" t="s">
        <v>74</v>
      </c>
      <c r="I182" s="18" t="s">
        <v>0</v>
      </c>
      <c r="J182" s="10" t="s">
        <v>61</v>
      </c>
      <c r="K182" s="7" t="s">
        <v>22</v>
      </c>
      <c r="L182" s="7" t="s">
        <v>55</v>
      </c>
      <c r="M182" s="34">
        <v>46045</v>
      </c>
      <c r="N182" s="7" t="s">
        <v>91</v>
      </c>
      <c r="O182" s="1"/>
    </row>
    <row r="183" spans="1:15" x14ac:dyDescent="0.25">
      <c r="A183" s="41" t="s">
        <v>398</v>
      </c>
      <c r="B183" s="1">
        <v>1</v>
      </c>
      <c r="C183" s="8">
        <v>46042</v>
      </c>
      <c r="D183" s="1" t="s">
        <v>399</v>
      </c>
      <c r="E183" s="7" t="s">
        <v>11</v>
      </c>
      <c r="F183" s="1" t="s">
        <v>23</v>
      </c>
      <c r="G183" s="9" t="s">
        <v>35</v>
      </c>
      <c r="H183" s="7">
        <v>6</v>
      </c>
      <c r="I183" s="18">
        <v>15000000</v>
      </c>
      <c r="J183" s="10">
        <v>190000</v>
      </c>
      <c r="K183" s="7" t="s">
        <v>12</v>
      </c>
      <c r="L183" s="7" t="s">
        <v>40</v>
      </c>
      <c r="M183" s="34">
        <v>46043</v>
      </c>
      <c r="N183" s="7" t="s">
        <v>41</v>
      </c>
      <c r="O183" s="1"/>
    </row>
    <row r="184" spans="1:15" x14ac:dyDescent="0.25">
      <c r="A184" s="41" t="s">
        <v>401</v>
      </c>
      <c r="B184" s="1">
        <v>1</v>
      </c>
      <c r="C184" s="8">
        <v>46042</v>
      </c>
      <c r="D184" s="1" t="s">
        <v>400</v>
      </c>
      <c r="E184" s="7" t="s">
        <v>11</v>
      </c>
      <c r="F184" s="1" t="s">
        <v>23</v>
      </c>
      <c r="G184" s="9" t="s">
        <v>35</v>
      </c>
      <c r="H184" s="7">
        <v>335</v>
      </c>
      <c r="I184" s="18">
        <v>15000000</v>
      </c>
      <c r="J184" s="10">
        <v>220000</v>
      </c>
      <c r="K184" s="7" t="s">
        <v>12</v>
      </c>
      <c r="L184" s="7" t="s">
        <v>53</v>
      </c>
      <c r="M184" s="34">
        <v>46084</v>
      </c>
      <c r="N184" s="7" t="s">
        <v>41</v>
      </c>
      <c r="O184" s="1"/>
    </row>
    <row r="185" spans="1:15" x14ac:dyDescent="0.25">
      <c r="A185" s="41" t="s">
        <v>398</v>
      </c>
      <c r="B185" s="1">
        <v>1</v>
      </c>
      <c r="C185" s="8">
        <v>46042</v>
      </c>
      <c r="D185" s="1" t="s">
        <v>402</v>
      </c>
      <c r="E185" s="7" t="s">
        <v>11</v>
      </c>
      <c r="F185" s="1" t="s">
        <v>23</v>
      </c>
      <c r="G185" s="9" t="s">
        <v>35</v>
      </c>
      <c r="H185" s="7">
        <v>7</v>
      </c>
      <c r="I185" s="18">
        <v>15000000</v>
      </c>
      <c r="J185" s="10">
        <v>210000</v>
      </c>
      <c r="K185" s="7" t="s">
        <v>12</v>
      </c>
      <c r="L185" s="7" t="s">
        <v>53</v>
      </c>
      <c r="M185" s="34">
        <v>46084</v>
      </c>
      <c r="N185" s="7" t="s">
        <v>64</v>
      </c>
      <c r="O185" s="1"/>
    </row>
    <row r="186" spans="1:15" x14ac:dyDescent="0.25">
      <c r="A186" s="41" t="s">
        <v>404</v>
      </c>
      <c r="B186" s="1">
        <v>1</v>
      </c>
      <c r="C186" s="8">
        <v>46042</v>
      </c>
      <c r="D186" s="1" t="s">
        <v>403</v>
      </c>
      <c r="E186" s="7" t="s">
        <v>11</v>
      </c>
      <c r="F186" s="1" t="s">
        <v>23</v>
      </c>
      <c r="G186" s="9" t="s">
        <v>35</v>
      </c>
      <c r="H186" s="7">
        <v>2</v>
      </c>
      <c r="I186" s="18">
        <v>15000000</v>
      </c>
      <c r="J186" s="10">
        <v>100000</v>
      </c>
      <c r="K186" s="7" t="s">
        <v>12</v>
      </c>
      <c r="L186" s="7" t="s">
        <v>40</v>
      </c>
      <c r="M186" s="34">
        <v>46043</v>
      </c>
      <c r="N186" s="7" t="s">
        <v>64</v>
      </c>
      <c r="O186" s="1"/>
    </row>
    <row r="187" spans="1:15" x14ac:dyDescent="0.25">
      <c r="A187" s="41" t="s">
        <v>405</v>
      </c>
      <c r="B187" s="1">
        <v>1</v>
      </c>
      <c r="C187" s="8">
        <v>46042</v>
      </c>
      <c r="D187" s="1" t="s">
        <v>406</v>
      </c>
      <c r="E187" s="7" t="s">
        <v>11</v>
      </c>
      <c r="F187" s="1" t="s">
        <v>23</v>
      </c>
      <c r="G187" s="9" t="s">
        <v>35</v>
      </c>
      <c r="H187" s="7">
        <v>2026492</v>
      </c>
      <c r="I187" s="18">
        <v>15000000</v>
      </c>
      <c r="J187" s="10">
        <v>230000</v>
      </c>
      <c r="K187" s="7" t="s">
        <v>12</v>
      </c>
      <c r="L187" s="7" t="s">
        <v>53</v>
      </c>
      <c r="M187" s="34">
        <v>46084</v>
      </c>
      <c r="N187" s="7" t="s">
        <v>91</v>
      </c>
      <c r="O187" s="1"/>
    </row>
    <row r="188" spans="1:15" ht="30" x14ac:dyDescent="0.25">
      <c r="A188" s="41" t="s">
        <v>407</v>
      </c>
      <c r="B188" s="1">
        <v>1</v>
      </c>
      <c r="C188" s="8">
        <v>46043</v>
      </c>
      <c r="D188" s="1" t="s">
        <v>481</v>
      </c>
      <c r="E188" s="7" t="s">
        <v>14</v>
      </c>
      <c r="F188" s="1" t="s">
        <v>23</v>
      </c>
      <c r="G188" s="9" t="s">
        <v>48</v>
      </c>
      <c r="H188" s="7" t="s">
        <v>74</v>
      </c>
      <c r="I188" s="18" t="s">
        <v>0</v>
      </c>
      <c r="J188" s="10" t="s">
        <v>61</v>
      </c>
      <c r="K188" s="7" t="s">
        <v>22</v>
      </c>
      <c r="L188" s="7" t="s">
        <v>55</v>
      </c>
      <c r="M188" s="34">
        <v>46044</v>
      </c>
      <c r="N188" s="7" t="s">
        <v>64</v>
      </c>
      <c r="O188" s="1"/>
    </row>
    <row r="189" spans="1:15" x14ac:dyDescent="0.25">
      <c r="A189" s="41" t="s">
        <v>385</v>
      </c>
      <c r="B189" s="1">
        <v>2</v>
      </c>
      <c r="C189" s="8">
        <v>46044</v>
      </c>
      <c r="D189" s="1" t="s">
        <v>408</v>
      </c>
      <c r="E189" s="7" t="s">
        <v>13</v>
      </c>
      <c r="F189" s="1" t="s">
        <v>23</v>
      </c>
      <c r="G189" s="9" t="s">
        <v>35</v>
      </c>
      <c r="H189" s="7">
        <v>4433</v>
      </c>
      <c r="I189" s="18">
        <v>15001002</v>
      </c>
      <c r="J189" s="10">
        <v>71125.67</v>
      </c>
      <c r="K189" s="7" t="s">
        <v>13</v>
      </c>
      <c r="L189" s="7" t="s">
        <v>54</v>
      </c>
      <c r="M189" s="34">
        <v>46044</v>
      </c>
      <c r="N189" s="7" t="s">
        <v>41</v>
      </c>
      <c r="O189" s="1"/>
    </row>
    <row r="190" spans="1:15" x14ac:dyDescent="0.25">
      <c r="A190" s="41" t="s">
        <v>409</v>
      </c>
      <c r="B190" s="1">
        <v>1</v>
      </c>
      <c r="C190" s="8">
        <v>46043</v>
      </c>
      <c r="D190" s="1" t="s">
        <v>410</v>
      </c>
      <c r="E190" s="7" t="s">
        <v>14</v>
      </c>
      <c r="F190" s="1" t="s">
        <v>23</v>
      </c>
      <c r="G190" s="7" t="s">
        <v>35</v>
      </c>
      <c r="H190" s="7">
        <v>1055</v>
      </c>
      <c r="I190" s="18">
        <v>17510000</v>
      </c>
      <c r="J190" s="10">
        <v>587819.18000000005</v>
      </c>
      <c r="K190" s="7" t="s">
        <v>12</v>
      </c>
      <c r="L190" s="7" t="s">
        <v>53</v>
      </c>
      <c r="M190" s="34">
        <v>46044</v>
      </c>
      <c r="N190" s="7" t="s">
        <v>64</v>
      </c>
      <c r="O190" s="1"/>
    </row>
    <row r="191" spans="1:15" x14ac:dyDescent="0.25">
      <c r="A191" s="41" t="s">
        <v>412</v>
      </c>
      <c r="B191" s="1">
        <v>1</v>
      </c>
      <c r="C191" s="8">
        <v>46043</v>
      </c>
      <c r="D191" s="1" t="s">
        <v>411</v>
      </c>
      <c r="E191" s="7" t="s">
        <v>14</v>
      </c>
      <c r="F191" s="1" t="s">
        <v>23</v>
      </c>
      <c r="G191" s="9" t="s">
        <v>35</v>
      </c>
      <c r="H191" s="7">
        <v>1620</v>
      </c>
      <c r="I191" s="18">
        <v>15000000</v>
      </c>
      <c r="J191" s="10">
        <v>220</v>
      </c>
      <c r="K191" s="7" t="s">
        <v>12</v>
      </c>
      <c r="L191" s="7" t="s">
        <v>53</v>
      </c>
      <c r="M191" s="34">
        <v>46045</v>
      </c>
      <c r="N191" s="7" t="s">
        <v>64</v>
      </c>
    </row>
    <row r="192" spans="1:15" x14ac:dyDescent="0.25">
      <c r="A192" s="41" t="s">
        <v>199</v>
      </c>
      <c r="B192" s="1">
        <v>3</v>
      </c>
      <c r="C192" s="8">
        <v>46049</v>
      </c>
      <c r="D192" s="1" t="s">
        <v>542</v>
      </c>
      <c r="E192" s="7" t="s">
        <v>14</v>
      </c>
      <c r="F192" s="1" t="s">
        <v>23</v>
      </c>
      <c r="G192" s="9" t="s">
        <v>35</v>
      </c>
      <c r="H192" s="7">
        <v>463</v>
      </c>
      <c r="I192" s="18">
        <v>15000000</v>
      </c>
      <c r="J192" s="10">
        <v>3000</v>
      </c>
      <c r="K192" s="7" t="s">
        <v>12</v>
      </c>
      <c r="L192" s="7" t="s">
        <v>53</v>
      </c>
      <c r="M192" s="34">
        <v>46049</v>
      </c>
      <c r="N192" s="7" t="s">
        <v>64</v>
      </c>
      <c r="O192" s="14" t="s">
        <v>543</v>
      </c>
    </row>
    <row r="193" spans="1:15" x14ac:dyDescent="0.25">
      <c r="A193" s="41" t="s">
        <v>414</v>
      </c>
      <c r="B193" s="1">
        <v>2</v>
      </c>
      <c r="C193" s="8">
        <v>46043</v>
      </c>
      <c r="D193" s="1" t="s">
        <v>413</v>
      </c>
      <c r="E193" s="7" t="s">
        <v>14</v>
      </c>
      <c r="F193" s="1" t="s">
        <v>23</v>
      </c>
      <c r="G193" s="9" t="s">
        <v>35</v>
      </c>
      <c r="H193" s="7">
        <v>8090</v>
      </c>
      <c r="I193" s="18">
        <v>15000000</v>
      </c>
      <c r="J193" s="10">
        <v>950</v>
      </c>
      <c r="K193" s="7" t="s">
        <v>12</v>
      </c>
      <c r="L193" s="7" t="s">
        <v>53</v>
      </c>
      <c r="M193" s="34">
        <v>46044</v>
      </c>
      <c r="N193" s="7" t="s">
        <v>41</v>
      </c>
    </row>
    <row r="194" spans="1:15" x14ac:dyDescent="0.25">
      <c r="A194" s="41" t="s">
        <v>416</v>
      </c>
      <c r="B194" s="1">
        <v>2</v>
      </c>
      <c r="C194" s="8">
        <v>46044</v>
      </c>
      <c r="D194" s="1" t="s">
        <v>415</v>
      </c>
      <c r="E194" s="7" t="s">
        <v>14</v>
      </c>
      <c r="F194" s="1" t="s">
        <v>23</v>
      </c>
      <c r="G194" s="9" t="s">
        <v>35</v>
      </c>
      <c r="H194" s="7" t="s">
        <v>74</v>
      </c>
      <c r="I194" s="18">
        <v>15000000</v>
      </c>
      <c r="J194" s="10">
        <v>3500</v>
      </c>
      <c r="K194" s="7" t="s">
        <v>12</v>
      </c>
      <c r="L194" s="7" t="s">
        <v>53</v>
      </c>
      <c r="M194" s="34">
        <v>46044</v>
      </c>
      <c r="N194" s="7" t="s">
        <v>41</v>
      </c>
    </row>
    <row r="195" spans="1:15" x14ac:dyDescent="0.25">
      <c r="A195" s="41" t="s">
        <v>417</v>
      </c>
      <c r="B195" s="1">
        <v>1</v>
      </c>
      <c r="C195" s="8">
        <v>46043</v>
      </c>
      <c r="D195" s="33" t="s">
        <v>418</v>
      </c>
      <c r="E195" s="7" t="s">
        <v>14</v>
      </c>
      <c r="F195" s="1" t="s">
        <v>23</v>
      </c>
      <c r="G195" s="9" t="s">
        <v>35</v>
      </c>
      <c r="H195" s="7">
        <v>1300</v>
      </c>
      <c r="I195" s="18">
        <v>17080000</v>
      </c>
      <c r="J195" s="10">
        <v>103482</v>
      </c>
      <c r="K195" s="7" t="s">
        <v>12</v>
      </c>
      <c r="L195" s="7" t="s">
        <v>53</v>
      </c>
      <c r="M195" s="34">
        <v>46044</v>
      </c>
    </row>
    <row r="196" spans="1:15" x14ac:dyDescent="0.25">
      <c r="A196" s="41" t="s">
        <v>420</v>
      </c>
      <c r="B196" s="1">
        <v>1</v>
      </c>
      <c r="C196" s="8">
        <v>46043</v>
      </c>
      <c r="D196" s="1" t="s">
        <v>427</v>
      </c>
      <c r="E196" s="7" t="s">
        <v>14</v>
      </c>
      <c r="F196" s="1" t="s">
        <v>23</v>
      </c>
      <c r="G196" s="9" t="s">
        <v>35</v>
      </c>
      <c r="H196" s="7">
        <v>1365</v>
      </c>
      <c r="I196" s="18">
        <v>15000000</v>
      </c>
      <c r="J196" s="10">
        <v>62089.2</v>
      </c>
      <c r="K196" s="7" t="s">
        <v>12</v>
      </c>
      <c r="L196" s="7" t="s">
        <v>53</v>
      </c>
      <c r="M196" s="34">
        <v>46045</v>
      </c>
      <c r="N196" s="7" t="s">
        <v>41</v>
      </c>
    </row>
    <row r="197" spans="1:15" x14ac:dyDescent="0.25">
      <c r="A197" s="41" t="s">
        <v>417</v>
      </c>
      <c r="B197" s="1">
        <v>2</v>
      </c>
      <c r="C197" s="8">
        <v>46044</v>
      </c>
      <c r="D197" s="1" t="s">
        <v>426</v>
      </c>
      <c r="E197" s="7" t="s">
        <v>14</v>
      </c>
      <c r="F197" s="1" t="s">
        <v>23</v>
      </c>
      <c r="G197" s="9" t="s">
        <v>35</v>
      </c>
      <c r="H197" s="7">
        <v>1298</v>
      </c>
      <c r="I197" s="18">
        <v>15010000</v>
      </c>
      <c r="J197" s="10">
        <v>82785.600000000006</v>
      </c>
      <c r="K197" s="7" t="s">
        <v>12</v>
      </c>
      <c r="L197" s="7" t="s">
        <v>53</v>
      </c>
      <c r="M197" s="34">
        <v>46044</v>
      </c>
      <c r="N197" s="7" t="s">
        <v>41</v>
      </c>
      <c r="O197" s="14"/>
    </row>
    <row r="198" spans="1:15" x14ac:dyDescent="0.25">
      <c r="A198" s="41" t="s">
        <v>424</v>
      </c>
      <c r="B198" s="1">
        <v>2</v>
      </c>
      <c r="C198" s="8">
        <v>46044</v>
      </c>
      <c r="D198" s="1" t="s">
        <v>425</v>
      </c>
      <c r="E198" s="7" t="s">
        <v>14</v>
      </c>
      <c r="F198" s="1" t="s">
        <v>23</v>
      </c>
      <c r="G198" s="9" t="s">
        <v>35</v>
      </c>
      <c r="H198" s="7">
        <v>685</v>
      </c>
      <c r="I198" s="65">
        <v>15000000</v>
      </c>
      <c r="J198" s="10">
        <v>40407.9</v>
      </c>
      <c r="K198" s="7" t="s">
        <v>12</v>
      </c>
      <c r="L198" s="7" t="s">
        <v>53</v>
      </c>
      <c r="M198" s="34">
        <v>46044</v>
      </c>
      <c r="N198" s="7" t="s">
        <v>41</v>
      </c>
    </row>
    <row r="199" spans="1:15" x14ac:dyDescent="0.25">
      <c r="A199" s="41" t="s">
        <v>424</v>
      </c>
      <c r="B199" s="1">
        <v>2</v>
      </c>
      <c r="C199" s="8">
        <v>46045</v>
      </c>
      <c r="D199" s="1" t="s">
        <v>423</v>
      </c>
      <c r="E199" s="7" t="s">
        <v>14</v>
      </c>
      <c r="F199" s="1" t="s">
        <v>23</v>
      </c>
      <c r="G199" s="9" t="s">
        <v>35</v>
      </c>
      <c r="H199" s="7">
        <v>191</v>
      </c>
      <c r="I199" s="18">
        <v>15000000</v>
      </c>
      <c r="J199" s="10">
        <v>37503</v>
      </c>
      <c r="K199" s="7" t="s">
        <v>12</v>
      </c>
      <c r="L199" s="7" t="s">
        <v>53</v>
      </c>
      <c r="M199" s="34">
        <v>46045</v>
      </c>
      <c r="N199" s="7" t="s">
        <v>41</v>
      </c>
    </row>
    <row r="200" spans="1:15" x14ac:dyDescent="0.25">
      <c r="A200" s="41" t="s">
        <v>227</v>
      </c>
      <c r="B200" s="1">
        <v>2</v>
      </c>
      <c r="C200" s="8">
        <v>46049</v>
      </c>
      <c r="D200" s="1" t="s">
        <v>422</v>
      </c>
      <c r="E200" s="7" t="s">
        <v>14</v>
      </c>
      <c r="F200" s="1" t="s">
        <v>23</v>
      </c>
      <c r="G200" s="9" t="s">
        <v>35</v>
      </c>
      <c r="H200" s="7">
        <v>685</v>
      </c>
      <c r="I200" s="18">
        <v>15000000</v>
      </c>
      <c r="J200" s="10">
        <v>12221.88</v>
      </c>
      <c r="K200" s="7" t="s">
        <v>12</v>
      </c>
      <c r="L200" s="7" t="s">
        <v>53</v>
      </c>
      <c r="M200" s="34">
        <v>46050</v>
      </c>
      <c r="N200" s="7" t="s">
        <v>64</v>
      </c>
    </row>
    <row r="201" spans="1:15" x14ac:dyDescent="0.25">
      <c r="A201" s="41" t="s">
        <v>227</v>
      </c>
      <c r="B201" s="1">
        <v>1</v>
      </c>
      <c r="C201" s="8">
        <v>46043</v>
      </c>
      <c r="D201" s="1" t="s">
        <v>421</v>
      </c>
      <c r="E201" s="7" t="s">
        <v>14</v>
      </c>
      <c r="F201" s="1" t="s">
        <v>23</v>
      </c>
      <c r="G201" s="9" t="s">
        <v>35</v>
      </c>
      <c r="H201" s="7">
        <v>651</v>
      </c>
      <c r="I201" s="18">
        <v>15000000</v>
      </c>
      <c r="J201" s="10">
        <v>12221.88</v>
      </c>
      <c r="K201" s="7" t="s">
        <v>12</v>
      </c>
      <c r="L201" s="7" t="s">
        <v>53</v>
      </c>
      <c r="M201" s="34">
        <v>46045</v>
      </c>
      <c r="N201" s="7" t="s">
        <v>64</v>
      </c>
    </row>
    <row r="202" spans="1:15" x14ac:dyDescent="0.25">
      <c r="A202" s="41" t="s">
        <v>420</v>
      </c>
      <c r="B202" s="1">
        <v>3</v>
      </c>
      <c r="C202" s="8">
        <v>46056</v>
      </c>
      <c r="D202" s="1" t="s">
        <v>419</v>
      </c>
      <c r="E202" s="7" t="s">
        <v>14</v>
      </c>
      <c r="F202" s="1" t="s">
        <v>23</v>
      </c>
      <c r="G202" s="9" t="s">
        <v>35</v>
      </c>
      <c r="H202" s="7">
        <v>1365</v>
      </c>
      <c r="I202" s="18">
        <v>15000000</v>
      </c>
      <c r="J202" s="10">
        <v>19010.32</v>
      </c>
      <c r="K202" s="7" t="s">
        <v>12</v>
      </c>
      <c r="L202" s="7" t="s">
        <v>53</v>
      </c>
      <c r="M202" s="34">
        <v>46056</v>
      </c>
      <c r="N202" s="7" t="s">
        <v>91</v>
      </c>
      <c r="O202" s="14"/>
    </row>
    <row r="203" spans="1:15" x14ac:dyDescent="0.25">
      <c r="A203" s="41" t="s">
        <v>428</v>
      </c>
      <c r="B203" s="1">
        <v>1</v>
      </c>
      <c r="C203" s="8">
        <v>46043</v>
      </c>
      <c r="D203" s="1" t="s">
        <v>429</v>
      </c>
      <c r="E203" s="7" t="s">
        <v>83</v>
      </c>
      <c r="F203" s="1" t="s">
        <v>23</v>
      </c>
      <c r="G203" s="9" t="s">
        <v>35</v>
      </c>
      <c r="H203" s="7">
        <v>238756</v>
      </c>
      <c r="I203" s="18">
        <v>15000000</v>
      </c>
      <c r="J203" s="10">
        <v>9474.61</v>
      </c>
      <c r="K203" s="7" t="s">
        <v>12</v>
      </c>
      <c r="L203" s="7" t="s">
        <v>53</v>
      </c>
      <c r="M203" s="34">
        <v>46049</v>
      </c>
      <c r="N203" s="7" t="s">
        <v>92</v>
      </c>
    </row>
    <row r="204" spans="1:15" ht="30" x14ac:dyDescent="0.25">
      <c r="A204" s="41" t="s">
        <v>431</v>
      </c>
      <c r="B204" s="1">
        <v>1</v>
      </c>
      <c r="C204" s="8">
        <v>46043</v>
      </c>
      <c r="D204" s="1" t="s">
        <v>430</v>
      </c>
      <c r="E204" s="7" t="s">
        <v>20</v>
      </c>
      <c r="F204" s="1" t="s">
        <v>23</v>
      </c>
      <c r="G204" s="9" t="s">
        <v>48</v>
      </c>
      <c r="H204" s="7" t="s">
        <v>74</v>
      </c>
      <c r="I204" s="18" t="s">
        <v>0</v>
      </c>
      <c r="J204" s="10" t="s">
        <v>61</v>
      </c>
      <c r="K204" s="7" t="s">
        <v>22</v>
      </c>
      <c r="L204" s="7" t="s">
        <v>55</v>
      </c>
      <c r="M204" s="34">
        <v>46051</v>
      </c>
      <c r="N204" s="7" t="s">
        <v>45</v>
      </c>
    </row>
    <row r="205" spans="1:15" x14ac:dyDescent="0.25">
      <c r="A205" s="41" t="s">
        <v>432</v>
      </c>
      <c r="B205" s="1">
        <v>2</v>
      </c>
      <c r="C205" s="8">
        <v>46048</v>
      </c>
      <c r="D205" s="1" t="s">
        <v>433</v>
      </c>
      <c r="E205" s="7" t="s">
        <v>14</v>
      </c>
      <c r="F205" s="1" t="s">
        <v>23</v>
      </c>
      <c r="G205" s="9" t="s">
        <v>35</v>
      </c>
      <c r="H205" s="7">
        <v>118382</v>
      </c>
      <c r="I205" s="18">
        <v>15000000</v>
      </c>
      <c r="J205" s="10">
        <v>1800</v>
      </c>
      <c r="K205" s="7" t="s">
        <v>12</v>
      </c>
      <c r="L205" s="7" t="s">
        <v>53</v>
      </c>
      <c r="M205" s="34">
        <v>46048</v>
      </c>
      <c r="N205" s="7" t="s">
        <v>41</v>
      </c>
    </row>
    <row r="206" spans="1:15" x14ac:dyDescent="0.25">
      <c r="A206" s="41" t="s">
        <v>435</v>
      </c>
      <c r="B206" s="1">
        <v>2</v>
      </c>
      <c r="C206" s="8">
        <v>46045</v>
      </c>
      <c r="D206" s="1" t="s">
        <v>434</v>
      </c>
      <c r="E206" s="7" t="s">
        <v>16</v>
      </c>
      <c r="F206" s="1" t="s">
        <v>23</v>
      </c>
      <c r="G206" s="9" t="s">
        <v>35</v>
      </c>
      <c r="H206" s="7">
        <v>2720607</v>
      </c>
      <c r="I206" s="18">
        <v>15000000</v>
      </c>
      <c r="J206" s="10">
        <v>2000.05</v>
      </c>
      <c r="K206" s="7" t="s">
        <v>12</v>
      </c>
      <c r="L206" s="7" t="s">
        <v>53</v>
      </c>
      <c r="M206" s="34">
        <v>46048</v>
      </c>
      <c r="N206" s="7" t="s">
        <v>91</v>
      </c>
    </row>
    <row r="207" spans="1:15" x14ac:dyDescent="0.25">
      <c r="A207" s="41" t="s">
        <v>199</v>
      </c>
      <c r="B207" s="1">
        <v>1</v>
      </c>
      <c r="C207" s="8">
        <v>46043</v>
      </c>
      <c r="D207" s="1" t="s">
        <v>436</v>
      </c>
      <c r="E207" s="7" t="s">
        <v>16</v>
      </c>
      <c r="F207" s="1" t="s">
        <v>23</v>
      </c>
      <c r="G207" s="9" t="s">
        <v>35</v>
      </c>
      <c r="H207" s="7">
        <v>465</v>
      </c>
      <c r="I207" s="18">
        <v>15000000</v>
      </c>
      <c r="J207" s="10">
        <v>3000</v>
      </c>
      <c r="K207" s="7" t="s">
        <v>12</v>
      </c>
      <c r="L207" s="7" t="s">
        <v>53</v>
      </c>
      <c r="M207" s="34">
        <v>46048</v>
      </c>
      <c r="N207" s="7" t="s">
        <v>64</v>
      </c>
    </row>
    <row r="208" spans="1:15" x14ac:dyDescent="0.25">
      <c r="A208" s="41" t="s">
        <v>435</v>
      </c>
      <c r="B208" s="1">
        <v>2</v>
      </c>
      <c r="C208" s="8">
        <v>46045</v>
      </c>
      <c r="D208" s="38" t="s">
        <v>437</v>
      </c>
      <c r="E208" s="17" t="s">
        <v>16</v>
      </c>
      <c r="F208" s="1" t="s">
        <v>23</v>
      </c>
      <c r="G208" s="9" t="s">
        <v>35</v>
      </c>
      <c r="H208" s="17">
        <v>2720620</v>
      </c>
      <c r="I208" s="55">
        <v>16600000</v>
      </c>
      <c r="J208" s="39">
        <v>94.31</v>
      </c>
      <c r="K208" s="7" t="s">
        <v>12</v>
      </c>
      <c r="L208" s="7" t="s">
        <v>53</v>
      </c>
      <c r="M208" s="40">
        <v>46048</v>
      </c>
      <c r="N208" s="17" t="s">
        <v>91</v>
      </c>
    </row>
    <row r="209" spans="1:15" x14ac:dyDescent="0.25">
      <c r="A209" s="41" t="s">
        <v>435</v>
      </c>
      <c r="B209" s="1">
        <v>2</v>
      </c>
      <c r="C209" s="8">
        <v>46045</v>
      </c>
      <c r="D209" s="1" t="s">
        <v>438</v>
      </c>
      <c r="E209" s="7" t="s">
        <v>16</v>
      </c>
      <c r="F209" s="1" t="s">
        <v>23</v>
      </c>
      <c r="G209" s="9" t="s">
        <v>35</v>
      </c>
      <c r="H209" s="7">
        <v>2720610</v>
      </c>
      <c r="I209" s="18">
        <v>26610000</v>
      </c>
      <c r="J209" s="10">
        <v>502.69</v>
      </c>
      <c r="K209" s="7" t="s">
        <v>12</v>
      </c>
      <c r="L209" s="7" t="s">
        <v>53</v>
      </c>
      <c r="M209" s="34">
        <v>46048</v>
      </c>
      <c r="N209" s="7" t="s">
        <v>91</v>
      </c>
    </row>
    <row r="210" spans="1:15" x14ac:dyDescent="0.25">
      <c r="A210" s="41" t="s">
        <v>435</v>
      </c>
      <c r="B210" s="1">
        <v>2</v>
      </c>
      <c r="C210" s="8">
        <v>46045</v>
      </c>
      <c r="D210" s="1" t="s">
        <v>494</v>
      </c>
      <c r="E210" s="7" t="s">
        <v>14</v>
      </c>
      <c r="F210" s="1" t="s">
        <v>23</v>
      </c>
      <c r="G210" s="9" t="s">
        <v>35</v>
      </c>
      <c r="H210" s="7" t="s">
        <v>439</v>
      </c>
      <c r="I210" s="18">
        <v>15000000</v>
      </c>
      <c r="J210" s="10">
        <v>112336.04</v>
      </c>
      <c r="K210" s="7" t="s">
        <v>12</v>
      </c>
      <c r="L210" s="7" t="s">
        <v>53</v>
      </c>
      <c r="M210" s="34">
        <v>46048</v>
      </c>
      <c r="N210" s="7" t="s">
        <v>91</v>
      </c>
      <c r="O210" s="7" t="s">
        <v>495</v>
      </c>
    </row>
    <row r="211" spans="1:15" x14ac:dyDescent="0.25">
      <c r="A211" s="41" t="s">
        <v>435</v>
      </c>
      <c r="B211" s="1">
        <v>2</v>
      </c>
      <c r="C211" s="8">
        <v>46045</v>
      </c>
      <c r="D211" s="1" t="s">
        <v>440</v>
      </c>
      <c r="E211" s="7" t="s">
        <v>16</v>
      </c>
      <c r="F211" s="1" t="s">
        <v>23</v>
      </c>
      <c r="G211" s="9" t="s">
        <v>35</v>
      </c>
      <c r="H211" s="7">
        <v>2720608</v>
      </c>
      <c r="I211" s="18">
        <v>16600000</v>
      </c>
      <c r="J211" s="10">
        <v>357.72</v>
      </c>
      <c r="K211" s="7" t="s">
        <v>12</v>
      </c>
      <c r="L211" s="7" t="s">
        <v>53</v>
      </c>
      <c r="M211" s="34">
        <v>46048</v>
      </c>
      <c r="N211" s="7" t="s">
        <v>91</v>
      </c>
    </row>
    <row r="212" spans="1:15" x14ac:dyDescent="0.25">
      <c r="A212" s="41" t="s">
        <v>441</v>
      </c>
      <c r="B212" s="1">
        <v>2</v>
      </c>
      <c r="C212" s="8">
        <v>46050</v>
      </c>
      <c r="D212" s="1" t="s">
        <v>442</v>
      </c>
      <c r="E212" s="7" t="s">
        <v>13</v>
      </c>
      <c r="F212" s="1" t="s">
        <v>23</v>
      </c>
      <c r="G212" s="9" t="s">
        <v>35</v>
      </c>
      <c r="H212" s="7">
        <v>11083</v>
      </c>
      <c r="I212" s="18">
        <v>16590000</v>
      </c>
      <c r="J212" s="10">
        <v>4603.6899999999996</v>
      </c>
      <c r="K212" s="7" t="s">
        <v>13</v>
      </c>
      <c r="L212" s="7" t="s">
        <v>54</v>
      </c>
      <c r="M212" s="34">
        <v>46050</v>
      </c>
      <c r="N212" s="7" t="s">
        <v>64</v>
      </c>
    </row>
    <row r="213" spans="1:15" x14ac:dyDescent="0.25">
      <c r="A213" s="41" t="s">
        <v>367</v>
      </c>
      <c r="B213" s="1">
        <v>2</v>
      </c>
      <c r="C213" s="8">
        <v>46048</v>
      </c>
      <c r="D213" s="1" t="s">
        <v>443</v>
      </c>
      <c r="E213" s="7" t="s">
        <v>14</v>
      </c>
      <c r="F213" s="1" t="s">
        <v>23</v>
      </c>
      <c r="G213" s="9" t="s">
        <v>35</v>
      </c>
      <c r="H213" s="7">
        <v>17424</v>
      </c>
      <c r="I213" s="18">
        <v>15000000</v>
      </c>
      <c r="J213" s="10">
        <v>2327.6799999999998</v>
      </c>
      <c r="K213" s="7" t="s">
        <v>12</v>
      </c>
      <c r="L213" s="7" t="s">
        <v>53</v>
      </c>
      <c r="M213" s="34">
        <v>46049</v>
      </c>
      <c r="N213" s="7" t="s">
        <v>41</v>
      </c>
    </row>
    <row r="214" spans="1:15" x14ac:dyDescent="0.25">
      <c r="A214" s="41" t="s">
        <v>371</v>
      </c>
      <c r="B214" s="1">
        <v>1</v>
      </c>
      <c r="C214" s="8">
        <v>46043</v>
      </c>
      <c r="D214" s="1" t="s">
        <v>444</v>
      </c>
      <c r="E214" s="7" t="s">
        <v>14</v>
      </c>
      <c r="F214" s="1" t="s">
        <v>23</v>
      </c>
      <c r="G214" s="9" t="s">
        <v>35</v>
      </c>
      <c r="H214" s="7">
        <v>409</v>
      </c>
      <c r="I214" s="18">
        <v>15000000</v>
      </c>
      <c r="J214" s="10">
        <v>2569.94</v>
      </c>
      <c r="K214" s="7" t="s">
        <v>12</v>
      </c>
      <c r="L214" s="7" t="s">
        <v>53</v>
      </c>
      <c r="M214" s="34">
        <v>46051</v>
      </c>
      <c r="N214" s="7" t="s">
        <v>41</v>
      </c>
    </row>
    <row r="215" spans="1:15" x14ac:dyDescent="0.25">
      <c r="A215" s="41" t="s">
        <v>446</v>
      </c>
      <c r="B215" s="1">
        <v>2</v>
      </c>
      <c r="C215" s="8">
        <v>46048</v>
      </c>
      <c r="D215" s="1" t="s">
        <v>445</v>
      </c>
      <c r="E215" s="7" t="s">
        <v>14</v>
      </c>
      <c r="F215" s="1" t="s">
        <v>23</v>
      </c>
      <c r="G215" s="9" t="s">
        <v>35</v>
      </c>
      <c r="H215" s="7">
        <v>1253</v>
      </c>
      <c r="I215" s="18">
        <v>15000000</v>
      </c>
      <c r="J215" s="10">
        <v>2926.13</v>
      </c>
      <c r="K215" s="7" t="s">
        <v>12</v>
      </c>
      <c r="L215" s="7" t="s">
        <v>53</v>
      </c>
      <c r="M215" s="34">
        <v>46048</v>
      </c>
      <c r="N215" s="7" t="s">
        <v>41</v>
      </c>
    </row>
    <row r="216" spans="1:15" x14ac:dyDescent="0.25">
      <c r="A216" s="41" t="s">
        <v>435</v>
      </c>
      <c r="B216" s="1">
        <v>1</v>
      </c>
      <c r="C216" s="8">
        <v>46043</v>
      </c>
      <c r="D216" s="1" t="s">
        <v>447</v>
      </c>
      <c r="E216" s="7" t="s">
        <v>13</v>
      </c>
      <c r="F216" s="1" t="s">
        <v>23</v>
      </c>
      <c r="G216" s="9" t="s">
        <v>35</v>
      </c>
      <c r="H216" s="7">
        <v>20613</v>
      </c>
      <c r="I216" s="18">
        <v>15001002</v>
      </c>
      <c r="J216" s="10">
        <v>5546.23</v>
      </c>
      <c r="K216" s="7" t="s">
        <v>13</v>
      </c>
      <c r="L216" s="7" t="s">
        <v>54</v>
      </c>
      <c r="M216" s="34">
        <v>46048</v>
      </c>
      <c r="N216" s="7" t="s">
        <v>64</v>
      </c>
    </row>
    <row r="217" spans="1:15" x14ac:dyDescent="0.25">
      <c r="A217" s="41" t="s">
        <v>448</v>
      </c>
      <c r="B217" s="1">
        <v>3</v>
      </c>
      <c r="C217" s="8">
        <v>46048</v>
      </c>
      <c r="D217" s="13" t="s">
        <v>449</v>
      </c>
      <c r="E217" s="7" t="s">
        <v>13</v>
      </c>
      <c r="F217" s="1" t="s">
        <v>23</v>
      </c>
      <c r="G217" s="9" t="s">
        <v>35</v>
      </c>
      <c r="H217" s="7">
        <v>44680</v>
      </c>
      <c r="I217" s="18">
        <v>15001002</v>
      </c>
      <c r="J217" s="10">
        <v>916</v>
      </c>
      <c r="K217" s="7" t="s">
        <v>13</v>
      </c>
      <c r="L217" s="7" t="s">
        <v>54</v>
      </c>
      <c r="M217" s="34">
        <v>46048</v>
      </c>
      <c r="N217" s="7" t="s">
        <v>41</v>
      </c>
    </row>
    <row r="218" spans="1:15" x14ac:dyDescent="0.25">
      <c r="A218" s="41" t="s">
        <v>435</v>
      </c>
      <c r="B218" s="1">
        <v>1</v>
      </c>
      <c r="C218" s="8">
        <v>46043</v>
      </c>
      <c r="D218" s="1" t="s">
        <v>450</v>
      </c>
      <c r="E218" s="7" t="s">
        <v>13</v>
      </c>
      <c r="F218" s="1" t="s">
        <v>23</v>
      </c>
      <c r="G218" s="9" t="s">
        <v>35</v>
      </c>
      <c r="H218" s="7">
        <v>2720611</v>
      </c>
      <c r="I218" s="18">
        <v>15001002</v>
      </c>
      <c r="J218" s="10">
        <v>5811.06</v>
      </c>
      <c r="K218" s="7" t="s">
        <v>13</v>
      </c>
      <c r="L218" s="7" t="s">
        <v>54</v>
      </c>
      <c r="M218" s="34">
        <v>46048</v>
      </c>
      <c r="N218" s="7" t="s">
        <v>64</v>
      </c>
    </row>
    <row r="219" spans="1:15" x14ac:dyDescent="0.25">
      <c r="A219" s="41" t="s">
        <v>435</v>
      </c>
      <c r="B219" s="1">
        <v>1</v>
      </c>
      <c r="C219" s="8">
        <v>46043</v>
      </c>
      <c r="D219" s="1" t="s">
        <v>451</v>
      </c>
      <c r="E219" s="7" t="s">
        <v>13</v>
      </c>
      <c r="F219" s="1" t="s">
        <v>23</v>
      </c>
      <c r="G219" s="9" t="s">
        <v>35</v>
      </c>
      <c r="H219" s="7">
        <v>2720616</v>
      </c>
      <c r="I219" s="18">
        <v>15001002</v>
      </c>
      <c r="J219" s="10">
        <v>3423.6</v>
      </c>
      <c r="K219" s="7" t="s">
        <v>13</v>
      </c>
      <c r="L219" s="7" t="s">
        <v>54</v>
      </c>
      <c r="M219" s="34">
        <v>46048</v>
      </c>
      <c r="N219" s="7" t="s">
        <v>64</v>
      </c>
    </row>
    <row r="220" spans="1:15" x14ac:dyDescent="0.25">
      <c r="A220" s="41" t="s">
        <v>435</v>
      </c>
      <c r="B220" s="1">
        <v>1</v>
      </c>
      <c r="C220" s="8">
        <v>46043</v>
      </c>
      <c r="D220" s="1" t="s">
        <v>452</v>
      </c>
      <c r="E220" s="7" t="s">
        <v>13</v>
      </c>
      <c r="F220" s="1" t="s">
        <v>23</v>
      </c>
      <c r="G220" s="9" t="s">
        <v>35</v>
      </c>
      <c r="H220" s="7">
        <v>2720619</v>
      </c>
      <c r="I220" s="18">
        <v>16000000</v>
      </c>
      <c r="J220" s="10">
        <v>2330.94</v>
      </c>
      <c r="K220" s="7" t="s">
        <v>13</v>
      </c>
      <c r="L220" s="7" t="s">
        <v>54</v>
      </c>
      <c r="M220" s="34">
        <v>46048</v>
      </c>
      <c r="N220" s="7" t="s">
        <v>64</v>
      </c>
    </row>
    <row r="221" spans="1:15" x14ac:dyDescent="0.25">
      <c r="B221" s="1">
        <v>2</v>
      </c>
      <c r="C221" s="8">
        <v>46048</v>
      </c>
      <c r="D221" s="1" t="s">
        <v>496</v>
      </c>
      <c r="E221" s="7" t="s">
        <v>14</v>
      </c>
      <c r="F221" s="1" t="s">
        <v>23</v>
      </c>
      <c r="G221" s="9" t="s">
        <v>35</v>
      </c>
      <c r="H221" s="7">
        <v>44679</v>
      </c>
      <c r="I221" s="18">
        <v>15000000</v>
      </c>
      <c r="J221" s="10">
        <v>1336</v>
      </c>
      <c r="K221" s="7" t="s">
        <v>12</v>
      </c>
      <c r="L221" s="7" t="s">
        <v>53</v>
      </c>
      <c r="M221" s="34">
        <v>46048</v>
      </c>
      <c r="N221" s="7" t="s">
        <v>41</v>
      </c>
    </row>
    <row r="222" spans="1:15" x14ac:dyDescent="0.25">
      <c r="A222" s="41" t="s">
        <v>435</v>
      </c>
      <c r="B222" s="1">
        <v>2</v>
      </c>
      <c r="C222" s="8">
        <v>46045</v>
      </c>
      <c r="D222" s="1" t="s">
        <v>491</v>
      </c>
      <c r="E222" s="7" t="s">
        <v>13</v>
      </c>
      <c r="F222" s="1" t="s">
        <v>23</v>
      </c>
      <c r="G222" s="9" t="s">
        <v>35</v>
      </c>
      <c r="H222" s="7">
        <v>2720609</v>
      </c>
      <c r="I222" s="18">
        <v>26610000</v>
      </c>
      <c r="J222" s="10">
        <v>150.65</v>
      </c>
      <c r="K222" s="7" t="s">
        <v>12</v>
      </c>
      <c r="L222" s="7" t="s">
        <v>53</v>
      </c>
      <c r="M222" s="34">
        <v>46048</v>
      </c>
      <c r="N222" s="7" t="s">
        <v>91</v>
      </c>
    </row>
    <row r="223" spans="1:15" x14ac:dyDescent="0.25">
      <c r="A223" s="41" t="s">
        <v>435</v>
      </c>
      <c r="B223" s="1">
        <v>1</v>
      </c>
      <c r="C223" s="8">
        <v>46043</v>
      </c>
      <c r="D223" s="1" t="s">
        <v>453</v>
      </c>
      <c r="E223" s="7" t="s">
        <v>13</v>
      </c>
      <c r="F223" s="1" t="s">
        <v>23</v>
      </c>
      <c r="G223" s="9" t="s">
        <v>35</v>
      </c>
      <c r="H223" s="7">
        <v>2720618</v>
      </c>
      <c r="I223" s="18">
        <v>16000000</v>
      </c>
      <c r="J223" s="10">
        <v>650.71</v>
      </c>
      <c r="K223" s="7" t="s">
        <v>13</v>
      </c>
      <c r="L223" s="7" t="s">
        <v>54</v>
      </c>
      <c r="M223" s="34">
        <v>46048</v>
      </c>
      <c r="N223" s="7" t="s">
        <v>64</v>
      </c>
    </row>
    <row r="224" spans="1:15" x14ac:dyDescent="0.25">
      <c r="A224" s="41" t="s">
        <v>435</v>
      </c>
      <c r="B224" s="1">
        <v>1</v>
      </c>
      <c r="C224" s="8">
        <v>46043</v>
      </c>
      <c r="D224" s="1" t="s">
        <v>454</v>
      </c>
      <c r="E224" s="7" t="s">
        <v>13</v>
      </c>
      <c r="F224" s="1" t="s">
        <v>23</v>
      </c>
      <c r="G224" s="9" t="s">
        <v>35</v>
      </c>
      <c r="H224" s="7">
        <v>2720615</v>
      </c>
      <c r="I224" s="18">
        <v>16000000</v>
      </c>
      <c r="J224" s="10">
        <v>1675.39</v>
      </c>
      <c r="K224" s="7" t="s">
        <v>13</v>
      </c>
      <c r="L224" s="7" t="s">
        <v>54</v>
      </c>
      <c r="M224" s="34">
        <v>46048</v>
      </c>
      <c r="N224" s="7" t="s">
        <v>64</v>
      </c>
    </row>
    <row r="225" spans="1:14" x14ac:dyDescent="0.25">
      <c r="A225" s="41" t="s">
        <v>435</v>
      </c>
      <c r="B225" s="1">
        <v>1</v>
      </c>
      <c r="C225" s="8">
        <v>46043</v>
      </c>
      <c r="D225" s="1" t="s">
        <v>455</v>
      </c>
      <c r="E225" s="7" t="s">
        <v>13</v>
      </c>
      <c r="F225" s="1" t="s">
        <v>23</v>
      </c>
      <c r="G225" s="9" t="s">
        <v>35</v>
      </c>
      <c r="H225" s="7">
        <v>2720621</v>
      </c>
      <c r="I225" s="18">
        <v>15001002</v>
      </c>
      <c r="J225" s="10">
        <v>1668.41</v>
      </c>
      <c r="K225" s="7" t="s">
        <v>13</v>
      </c>
      <c r="L225" s="7" t="s">
        <v>54</v>
      </c>
      <c r="M225" s="34">
        <v>46048</v>
      </c>
      <c r="N225" s="7" t="s">
        <v>64</v>
      </c>
    </row>
    <row r="226" spans="1:14" x14ac:dyDescent="0.25">
      <c r="A226" s="41" t="s">
        <v>457</v>
      </c>
      <c r="B226" s="1">
        <v>2</v>
      </c>
      <c r="C226" s="8">
        <v>46048</v>
      </c>
      <c r="D226" s="1" t="s">
        <v>456</v>
      </c>
      <c r="E226" s="7" t="s">
        <v>16</v>
      </c>
      <c r="F226" s="1" t="s">
        <v>23</v>
      </c>
      <c r="G226" s="9" t="s">
        <v>35</v>
      </c>
      <c r="H226" s="7">
        <v>121</v>
      </c>
      <c r="I226" s="18">
        <v>15000000</v>
      </c>
      <c r="J226" s="10">
        <v>23699.42</v>
      </c>
      <c r="K226" s="7" t="s">
        <v>12</v>
      </c>
      <c r="L226" s="7" t="s">
        <v>53</v>
      </c>
      <c r="M226" s="34">
        <v>46048</v>
      </c>
      <c r="N226" s="7" t="s">
        <v>41</v>
      </c>
    </row>
    <row r="227" spans="1:14" x14ac:dyDescent="0.25">
      <c r="A227" s="41" t="s">
        <v>252</v>
      </c>
      <c r="B227" s="1">
        <v>2</v>
      </c>
      <c r="C227" s="8">
        <v>46051</v>
      </c>
      <c r="D227" s="1" t="s">
        <v>458</v>
      </c>
      <c r="E227" s="7" t="s">
        <v>16</v>
      </c>
      <c r="F227" s="1" t="s">
        <v>23</v>
      </c>
      <c r="G227" s="9" t="s">
        <v>35</v>
      </c>
      <c r="H227" s="7">
        <v>3328</v>
      </c>
      <c r="I227" s="18">
        <v>16610000</v>
      </c>
      <c r="J227" s="10">
        <v>5565.55</v>
      </c>
      <c r="K227" s="7" t="s">
        <v>12</v>
      </c>
      <c r="L227" s="7" t="s">
        <v>53</v>
      </c>
      <c r="M227" s="34">
        <v>46052</v>
      </c>
      <c r="N227" s="7" t="s">
        <v>52</v>
      </c>
    </row>
    <row r="228" spans="1:14" x14ac:dyDescent="0.25">
      <c r="A228" s="41" t="s">
        <v>252</v>
      </c>
      <c r="B228" s="1">
        <v>2</v>
      </c>
      <c r="C228" s="8">
        <v>46048</v>
      </c>
      <c r="D228" s="1" t="s">
        <v>459</v>
      </c>
      <c r="E228" s="7" t="s">
        <v>16</v>
      </c>
      <c r="F228" s="1" t="s">
        <v>23</v>
      </c>
      <c r="G228" s="9" t="s">
        <v>35</v>
      </c>
      <c r="H228" s="7">
        <v>3325</v>
      </c>
      <c r="I228" s="18">
        <v>16600000</v>
      </c>
      <c r="J228" s="10">
        <v>11403.42</v>
      </c>
      <c r="K228" s="7" t="s">
        <v>12</v>
      </c>
      <c r="L228" s="7" t="s">
        <v>53</v>
      </c>
      <c r="M228" s="34">
        <v>46048</v>
      </c>
      <c r="N228" s="7" t="s">
        <v>64</v>
      </c>
    </row>
    <row r="229" spans="1:14" x14ac:dyDescent="0.25">
      <c r="A229" s="41" t="s">
        <v>252</v>
      </c>
      <c r="B229" s="1">
        <v>1</v>
      </c>
      <c r="C229" s="8">
        <v>46043</v>
      </c>
      <c r="D229" s="1" t="s">
        <v>460</v>
      </c>
      <c r="E229" s="7" t="s">
        <v>16</v>
      </c>
      <c r="F229" s="1" t="s">
        <v>23</v>
      </c>
      <c r="G229" s="9" t="s">
        <v>35</v>
      </c>
      <c r="H229" s="7">
        <v>3326</v>
      </c>
      <c r="I229" s="18">
        <v>15000000</v>
      </c>
      <c r="J229" s="10">
        <v>8203.58</v>
      </c>
      <c r="K229" s="7" t="s">
        <v>12</v>
      </c>
      <c r="L229" s="7" t="s">
        <v>53</v>
      </c>
      <c r="M229" s="34">
        <v>46048</v>
      </c>
      <c r="N229" s="7" t="s">
        <v>52</v>
      </c>
    </row>
    <row r="230" spans="1:14" x14ac:dyDescent="0.25">
      <c r="A230" s="41" t="s">
        <v>252</v>
      </c>
      <c r="B230" s="1">
        <v>2</v>
      </c>
      <c r="C230" s="8">
        <v>46045</v>
      </c>
      <c r="D230" s="1" t="s">
        <v>461</v>
      </c>
      <c r="E230" s="7" t="s">
        <v>16</v>
      </c>
      <c r="F230" s="1" t="s">
        <v>23</v>
      </c>
      <c r="G230" s="9" t="s">
        <v>35</v>
      </c>
      <c r="H230" s="7">
        <v>3327</v>
      </c>
      <c r="I230" s="18">
        <v>16610000</v>
      </c>
      <c r="J230" s="10">
        <v>4025.36</v>
      </c>
      <c r="K230" s="7" t="s">
        <v>12</v>
      </c>
      <c r="L230" s="7" t="s">
        <v>53</v>
      </c>
      <c r="M230" s="34">
        <v>46048</v>
      </c>
      <c r="N230" s="7" t="s">
        <v>64</v>
      </c>
    </row>
    <row r="231" spans="1:14" x14ac:dyDescent="0.25">
      <c r="A231" s="41" t="s">
        <v>462</v>
      </c>
      <c r="B231" s="1">
        <v>2</v>
      </c>
      <c r="C231" s="8">
        <v>46048</v>
      </c>
      <c r="D231" s="1" t="s">
        <v>463</v>
      </c>
      <c r="E231" s="7" t="s">
        <v>2</v>
      </c>
      <c r="F231" s="1" t="s">
        <v>23</v>
      </c>
      <c r="G231" s="9" t="s">
        <v>63</v>
      </c>
      <c r="H231" s="7" t="s">
        <v>74</v>
      </c>
      <c r="I231" s="18" t="s">
        <v>0</v>
      </c>
      <c r="J231" s="10" t="s">
        <v>61</v>
      </c>
      <c r="K231" s="7" t="s">
        <v>17</v>
      </c>
      <c r="L231" s="7" t="s">
        <v>55</v>
      </c>
      <c r="M231" s="34">
        <v>46049</v>
      </c>
      <c r="N231" s="7" t="s">
        <v>91</v>
      </c>
    </row>
    <row r="232" spans="1:14" x14ac:dyDescent="0.25">
      <c r="A232" s="41" t="s">
        <v>465</v>
      </c>
      <c r="B232" s="1">
        <v>3</v>
      </c>
      <c r="C232" s="8">
        <v>46044</v>
      </c>
      <c r="D232" s="1" t="s">
        <v>464</v>
      </c>
      <c r="E232" s="7" t="s">
        <v>13</v>
      </c>
      <c r="F232" s="1" t="s">
        <v>23</v>
      </c>
      <c r="G232" s="9" t="s">
        <v>63</v>
      </c>
      <c r="H232" s="7" t="s">
        <v>74</v>
      </c>
      <c r="I232" s="18" t="s">
        <v>0</v>
      </c>
      <c r="J232" s="10" t="s">
        <v>61</v>
      </c>
      <c r="K232" s="7" t="s">
        <v>17</v>
      </c>
      <c r="L232" s="7" t="s">
        <v>55</v>
      </c>
      <c r="M232" s="34">
        <v>46100</v>
      </c>
      <c r="N232" s="7" t="s">
        <v>41</v>
      </c>
    </row>
    <row r="233" spans="1:14" x14ac:dyDescent="0.25">
      <c r="A233" s="41" t="s">
        <v>424</v>
      </c>
      <c r="B233" s="1">
        <v>1</v>
      </c>
      <c r="C233" s="8">
        <v>46044</v>
      </c>
      <c r="D233" s="1" t="s">
        <v>466</v>
      </c>
      <c r="E233" s="7" t="s">
        <v>14</v>
      </c>
      <c r="F233" s="1" t="s">
        <v>23</v>
      </c>
      <c r="G233" s="9" t="s">
        <v>35</v>
      </c>
      <c r="H233" s="7">
        <v>189</v>
      </c>
      <c r="I233" s="18">
        <v>17080000</v>
      </c>
      <c r="J233" s="10">
        <v>159370.20000000001</v>
      </c>
      <c r="K233" s="7" t="s">
        <v>12</v>
      </c>
      <c r="L233" s="7" t="s">
        <v>53</v>
      </c>
      <c r="M233" s="34">
        <v>46044</v>
      </c>
      <c r="N233" s="7" t="s">
        <v>41</v>
      </c>
    </row>
    <row r="234" spans="1:14" x14ac:dyDescent="0.25">
      <c r="A234" s="41" t="s">
        <v>467</v>
      </c>
      <c r="B234" s="1">
        <v>2</v>
      </c>
      <c r="C234" s="8">
        <v>46049</v>
      </c>
      <c r="D234" s="1" t="s">
        <v>468</v>
      </c>
      <c r="E234" s="7" t="s">
        <v>11</v>
      </c>
      <c r="F234" s="1" t="s">
        <v>23</v>
      </c>
      <c r="G234" s="9" t="s">
        <v>35</v>
      </c>
      <c r="H234" s="7">
        <v>1251</v>
      </c>
      <c r="I234" s="18">
        <v>15000000</v>
      </c>
      <c r="J234" s="10">
        <v>14330</v>
      </c>
      <c r="K234" s="7" t="s">
        <v>12</v>
      </c>
      <c r="L234" s="7" t="s">
        <v>53</v>
      </c>
      <c r="M234" s="34">
        <v>46050</v>
      </c>
      <c r="N234" s="7" t="s">
        <v>64</v>
      </c>
    </row>
    <row r="235" spans="1:14" x14ac:dyDescent="0.25">
      <c r="A235" s="41" t="s">
        <v>467</v>
      </c>
      <c r="B235" s="1">
        <v>3</v>
      </c>
      <c r="C235" s="8">
        <v>46051</v>
      </c>
      <c r="D235" s="1" t="s">
        <v>469</v>
      </c>
      <c r="E235" s="7" t="s">
        <v>11</v>
      </c>
      <c r="F235" s="1" t="s">
        <v>23</v>
      </c>
      <c r="G235" s="9" t="s">
        <v>35</v>
      </c>
      <c r="H235" s="7">
        <v>1252</v>
      </c>
      <c r="I235" s="18">
        <v>15000000</v>
      </c>
      <c r="J235" s="10">
        <v>20045</v>
      </c>
      <c r="K235" s="7" t="s">
        <v>12</v>
      </c>
      <c r="L235" s="7" t="s">
        <v>53</v>
      </c>
      <c r="M235" s="34">
        <v>46051</v>
      </c>
      <c r="N235" s="7" t="s">
        <v>41</v>
      </c>
    </row>
    <row r="236" spans="1:14" x14ac:dyDescent="0.25">
      <c r="A236" s="41" t="s">
        <v>470</v>
      </c>
      <c r="B236" s="1">
        <v>2</v>
      </c>
      <c r="C236" s="8">
        <v>46049</v>
      </c>
      <c r="D236" s="1" t="s">
        <v>471</v>
      </c>
      <c r="E236" s="7" t="s">
        <v>11</v>
      </c>
      <c r="F236" s="1" t="s">
        <v>23</v>
      </c>
      <c r="G236" s="9" t="s">
        <v>35</v>
      </c>
      <c r="H236" s="7">
        <v>20252297</v>
      </c>
      <c r="I236" s="18">
        <v>15000000</v>
      </c>
      <c r="J236" s="10">
        <v>16972.5</v>
      </c>
      <c r="K236" s="7" t="s">
        <v>12</v>
      </c>
      <c r="L236" s="7" t="s">
        <v>53</v>
      </c>
      <c r="M236" s="34">
        <v>46050</v>
      </c>
      <c r="N236" s="7" t="s">
        <v>62</v>
      </c>
    </row>
    <row r="237" spans="1:14" x14ac:dyDescent="0.25">
      <c r="A237" s="41" t="s">
        <v>473</v>
      </c>
      <c r="B237" s="1">
        <v>2</v>
      </c>
      <c r="C237" s="8">
        <v>46055</v>
      </c>
      <c r="D237" s="1" t="s">
        <v>472</v>
      </c>
      <c r="E237" s="7" t="s">
        <v>11</v>
      </c>
      <c r="F237" s="1" t="s">
        <v>23</v>
      </c>
      <c r="G237" s="9" t="s">
        <v>35</v>
      </c>
      <c r="H237" s="7" t="s">
        <v>74</v>
      </c>
      <c r="I237" s="18">
        <v>15000000</v>
      </c>
      <c r="J237" s="10">
        <v>14924</v>
      </c>
      <c r="K237" s="7" t="s">
        <v>12</v>
      </c>
      <c r="L237" s="7" t="s">
        <v>53</v>
      </c>
      <c r="M237" s="34">
        <v>46056</v>
      </c>
      <c r="N237" s="7" t="s">
        <v>41</v>
      </c>
    </row>
    <row r="238" spans="1:14" x14ac:dyDescent="0.25">
      <c r="A238" s="41" t="s">
        <v>231</v>
      </c>
      <c r="B238" s="1">
        <v>3</v>
      </c>
      <c r="C238" s="8">
        <v>46052</v>
      </c>
      <c r="D238" s="1" t="s">
        <v>474</v>
      </c>
      <c r="E238" s="7" t="s">
        <v>11</v>
      </c>
      <c r="F238" s="1" t="s">
        <v>23</v>
      </c>
      <c r="G238" s="9" t="s">
        <v>35</v>
      </c>
      <c r="H238" s="7">
        <v>940</v>
      </c>
      <c r="I238" s="18">
        <v>15000000</v>
      </c>
      <c r="J238" s="10">
        <v>87348.08</v>
      </c>
      <c r="K238" s="7" t="s">
        <v>12</v>
      </c>
      <c r="L238" s="7" t="s">
        <v>53</v>
      </c>
      <c r="M238" s="34">
        <v>46052</v>
      </c>
      <c r="N238" s="7" t="s">
        <v>41</v>
      </c>
    </row>
    <row r="239" spans="1:14" x14ac:dyDescent="0.25">
      <c r="A239" s="41" t="s">
        <v>476</v>
      </c>
      <c r="B239" s="1">
        <v>4</v>
      </c>
      <c r="C239" s="8">
        <v>46056</v>
      </c>
      <c r="D239" s="1" t="s">
        <v>475</v>
      </c>
      <c r="E239" s="7" t="s">
        <v>11</v>
      </c>
      <c r="F239" s="1" t="s">
        <v>23</v>
      </c>
      <c r="G239" s="9" t="s">
        <v>35</v>
      </c>
      <c r="H239" s="7">
        <v>482</v>
      </c>
      <c r="I239" s="18">
        <v>15000000</v>
      </c>
      <c r="J239" s="10">
        <v>91830</v>
      </c>
      <c r="K239" s="7" t="s">
        <v>12</v>
      </c>
      <c r="L239" s="7" t="s">
        <v>53</v>
      </c>
      <c r="M239" s="34">
        <v>46057</v>
      </c>
      <c r="N239" s="7" t="s">
        <v>41</v>
      </c>
    </row>
    <row r="240" spans="1:14" x14ac:dyDescent="0.25">
      <c r="A240" s="41" t="s">
        <v>477</v>
      </c>
      <c r="B240" s="1">
        <v>2</v>
      </c>
      <c r="C240" s="8">
        <v>46049</v>
      </c>
      <c r="D240" s="1" t="s">
        <v>478</v>
      </c>
      <c r="E240" s="7" t="s">
        <v>11</v>
      </c>
      <c r="F240" s="1" t="s">
        <v>23</v>
      </c>
      <c r="G240" s="9" t="s">
        <v>35</v>
      </c>
      <c r="H240" s="7">
        <v>203</v>
      </c>
      <c r="I240" s="18">
        <v>15000000</v>
      </c>
      <c r="J240" s="10">
        <v>34620</v>
      </c>
      <c r="K240" s="7" t="s">
        <v>12</v>
      </c>
      <c r="L240" s="7" t="s">
        <v>53</v>
      </c>
      <c r="M240" s="34">
        <v>46052</v>
      </c>
      <c r="N240" s="7" t="s">
        <v>41</v>
      </c>
    </row>
    <row r="241" spans="1:15" x14ac:dyDescent="0.25">
      <c r="A241" s="41" t="s">
        <v>479</v>
      </c>
      <c r="B241" s="1">
        <v>4</v>
      </c>
      <c r="C241" s="8">
        <v>46072</v>
      </c>
      <c r="D241" s="1" t="s">
        <v>823</v>
      </c>
      <c r="E241" s="7" t="s">
        <v>11</v>
      </c>
      <c r="F241" s="1" t="s">
        <v>23</v>
      </c>
      <c r="G241" s="9" t="s">
        <v>35</v>
      </c>
      <c r="H241" s="7">
        <v>140</v>
      </c>
      <c r="I241" s="18">
        <v>15000000</v>
      </c>
      <c r="J241" s="10">
        <v>87384.7</v>
      </c>
      <c r="K241" s="7" t="s">
        <v>12</v>
      </c>
      <c r="L241" s="7" t="s">
        <v>53</v>
      </c>
      <c r="M241" s="34">
        <v>46072</v>
      </c>
      <c r="N241" s="7" t="s">
        <v>41</v>
      </c>
      <c r="O241" s="7" t="s">
        <v>822</v>
      </c>
    </row>
    <row r="242" spans="1:15" x14ac:dyDescent="0.25">
      <c r="A242" s="41" t="s">
        <v>477</v>
      </c>
      <c r="B242" s="1">
        <v>2</v>
      </c>
      <c r="C242" s="8">
        <v>46049</v>
      </c>
      <c r="D242" s="1" t="s">
        <v>480</v>
      </c>
      <c r="E242" s="7" t="s">
        <v>11</v>
      </c>
      <c r="F242" s="1" t="s">
        <v>23</v>
      </c>
      <c r="G242" s="9" t="s">
        <v>35</v>
      </c>
      <c r="H242" s="7">
        <v>204</v>
      </c>
      <c r="I242" s="18">
        <v>15000000</v>
      </c>
      <c r="J242" s="10">
        <v>3219.25</v>
      </c>
      <c r="K242" s="7" t="s">
        <v>12</v>
      </c>
      <c r="L242" s="7" t="s">
        <v>53</v>
      </c>
      <c r="M242" s="34">
        <v>46050</v>
      </c>
      <c r="N242" s="7" t="s">
        <v>41</v>
      </c>
    </row>
    <row r="243" spans="1:15" x14ac:dyDescent="0.25">
      <c r="A243" s="41" t="s">
        <v>371</v>
      </c>
      <c r="B243" s="1">
        <v>1</v>
      </c>
      <c r="C243" s="8">
        <v>46044</v>
      </c>
      <c r="D243" s="1" t="s">
        <v>482</v>
      </c>
      <c r="E243" s="7" t="s">
        <v>83</v>
      </c>
      <c r="F243" s="1" t="s">
        <v>23</v>
      </c>
      <c r="G243" s="9" t="s">
        <v>35</v>
      </c>
      <c r="H243" s="7">
        <v>407</v>
      </c>
      <c r="I243" s="18">
        <v>15000000</v>
      </c>
      <c r="J243" s="10">
        <v>1284.97</v>
      </c>
      <c r="K243" s="7" t="s">
        <v>12</v>
      </c>
      <c r="L243" s="7" t="s">
        <v>53</v>
      </c>
      <c r="M243" s="34">
        <v>46051</v>
      </c>
      <c r="N243" s="7" t="s">
        <v>41</v>
      </c>
    </row>
    <row r="244" spans="1:15" x14ac:dyDescent="0.25">
      <c r="A244" s="41" t="s">
        <v>483</v>
      </c>
      <c r="B244" s="1">
        <v>2</v>
      </c>
      <c r="C244" s="8">
        <v>46044</v>
      </c>
      <c r="D244" s="1" t="s">
        <v>484</v>
      </c>
      <c r="E244" s="7" t="s">
        <v>13</v>
      </c>
      <c r="F244" s="1" t="s">
        <v>23</v>
      </c>
      <c r="G244" s="9" t="s">
        <v>35</v>
      </c>
      <c r="H244" s="7">
        <v>2644</v>
      </c>
      <c r="I244" s="18">
        <v>16000000</v>
      </c>
      <c r="J244" s="10">
        <v>35050.660000000003</v>
      </c>
      <c r="K244" s="7" t="s">
        <v>13</v>
      </c>
      <c r="L244" s="7" t="s">
        <v>54</v>
      </c>
      <c r="M244" s="34">
        <v>46045</v>
      </c>
      <c r="N244" s="7" t="s">
        <v>91</v>
      </c>
    </row>
    <row r="245" spans="1:15" x14ac:dyDescent="0.25">
      <c r="A245" s="41" t="s">
        <v>486</v>
      </c>
      <c r="B245" s="1">
        <v>2</v>
      </c>
      <c r="C245" s="8">
        <v>46059</v>
      </c>
      <c r="D245" s="1" t="s">
        <v>485</v>
      </c>
      <c r="E245" s="7" t="s">
        <v>12</v>
      </c>
      <c r="F245" s="1" t="s">
        <v>23</v>
      </c>
      <c r="G245" s="9" t="s">
        <v>63</v>
      </c>
      <c r="H245" s="7" t="s">
        <v>74</v>
      </c>
      <c r="I245" s="18" t="s">
        <v>0</v>
      </c>
      <c r="J245" s="10" t="s">
        <v>61</v>
      </c>
      <c r="K245" s="7" t="s">
        <v>17</v>
      </c>
      <c r="L245" s="7" t="s">
        <v>55</v>
      </c>
      <c r="M245" s="34">
        <v>46064</v>
      </c>
      <c r="N245" s="7" t="s">
        <v>91</v>
      </c>
    </row>
    <row r="246" spans="1:15" x14ac:dyDescent="0.25">
      <c r="A246" s="41" t="s">
        <v>417</v>
      </c>
      <c r="B246" s="1">
        <v>2</v>
      </c>
      <c r="C246" s="8">
        <v>46062</v>
      </c>
      <c r="D246" s="1" t="s">
        <v>487</v>
      </c>
      <c r="E246" s="7" t="s">
        <v>14</v>
      </c>
      <c r="F246" s="1" t="s">
        <v>23</v>
      </c>
      <c r="G246" s="9" t="s">
        <v>63</v>
      </c>
      <c r="H246" s="7" t="s">
        <v>74</v>
      </c>
      <c r="I246" s="18" t="s">
        <v>0</v>
      </c>
      <c r="J246" s="15" t="s">
        <v>61</v>
      </c>
      <c r="K246" s="7" t="s">
        <v>17</v>
      </c>
      <c r="L246" s="7" t="s">
        <v>55</v>
      </c>
      <c r="M246" s="34">
        <v>46063</v>
      </c>
      <c r="N246" s="7" t="s">
        <v>91</v>
      </c>
    </row>
    <row r="247" spans="1:15" x14ac:dyDescent="0.25">
      <c r="A247" s="41" t="s">
        <v>424</v>
      </c>
      <c r="B247" s="1">
        <v>2</v>
      </c>
      <c r="C247" s="8">
        <v>46062</v>
      </c>
      <c r="D247" s="1" t="s">
        <v>488</v>
      </c>
      <c r="E247" s="7" t="s">
        <v>14</v>
      </c>
      <c r="F247" s="1" t="s">
        <v>23</v>
      </c>
      <c r="G247" s="9" t="s">
        <v>63</v>
      </c>
      <c r="H247" s="7" t="s">
        <v>74</v>
      </c>
      <c r="I247" s="18" t="s">
        <v>0</v>
      </c>
      <c r="J247" s="10" t="s">
        <v>61</v>
      </c>
      <c r="K247" s="7" t="s">
        <v>17</v>
      </c>
      <c r="L247" s="7" t="s">
        <v>55</v>
      </c>
      <c r="M247" s="34">
        <v>46063</v>
      </c>
      <c r="N247" s="7" t="s">
        <v>91</v>
      </c>
    </row>
    <row r="248" spans="1:15" x14ac:dyDescent="0.25">
      <c r="A248" s="41" t="s">
        <v>489</v>
      </c>
      <c r="B248" s="1">
        <v>1</v>
      </c>
      <c r="C248" s="8">
        <v>46044</v>
      </c>
      <c r="D248" s="1" t="s">
        <v>490</v>
      </c>
      <c r="E248" s="7" t="s">
        <v>14</v>
      </c>
      <c r="F248" s="1" t="s">
        <v>23</v>
      </c>
      <c r="G248" s="9" t="s">
        <v>35</v>
      </c>
      <c r="H248" s="7">
        <v>91101</v>
      </c>
      <c r="I248" s="18">
        <v>15000000</v>
      </c>
      <c r="J248" s="10">
        <v>1299.82</v>
      </c>
      <c r="K248" s="7" t="s">
        <v>12</v>
      </c>
      <c r="L248" s="7" t="s">
        <v>53</v>
      </c>
      <c r="M248" s="34">
        <v>46049</v>
      </c>
      <c r="N248" s="7" t="s">
        <v>41</v>
      </c>
    </row>
    <row r="249" spans="1:15" x14ac:dyDescent="0.25">
      <c r="A249" s="41" t="s">
        <v>493</v>
      </c>
      <c r="B249" s="1">
        <v>2</v>
      </c>
      <c r="C249" s="8">
        <v>46048</v>
      </c>
      <c r="D249" s="1" t="s">
        <v>492</v>
      </c>
      <c r="E249" s="7" t="s">
        <v>93</v>
      </c>
      <c r="F249" s="1" t="s">
        <v>23</v>
      </c>
      <c r="G249" s="9" t="s">
        <v>35</v>
      </c>
      <c r="H249" s="7" t="s">
        <v>74</v>
      </c>
      <c r="I249" s="18">
        <v>15000000</v>
      </c>
      <c r="J249" s="10">
        <v>350</v>
      </c>
      <c r="K249" s="7" t="s">
        <v>12</v>
      </c>
      <c r="L249" s="7" t="s">
        <v>53</v>
      </c>
      <c r="M249" s="34">
        <v>46048</v>
      </c>
      <c r="N249" s="7" t="s">
        <v>64</v>
      </c>
    </row>
    <row r="250" spans="1:15" x14ac:dyDescent="0.25">
      <c r="A250" s="41" t="s">
        <v>497</v>
      </c>
      <c r="B250" s="1">
        <v>2</v>
      </c>
      <c r="C250" s="8">
        <v>46059</v>
      </c>
      <c r="D250" s="1" t="s">
        <v>498</v>
      </c>
      <c r="E250" s="7" t="s">
        <v>16</v>
      </c>
      <c r="F250" s="1" t="s">
        <v>23</v>
      </c>
      <c r="G250" s="9" t="s">
        <v>68</v>
      </c>
      <c r="H250" s="7" t="s">
        <v>74</v>
      </c>
      <c r="I250" s="18" t="s">
        <v>0</v>
      </c>
      <c r="J250" s="10" t="s">
        <v>61</v>
      </c>
      <c r="K250" s="7" t="s">
        <v>58</v>
      </c>
      <c r="L250" s="7" t="s">
        <v>55</v>
      </c>
      <c r="M250" s="34">
        <v>46160</v>
      </c>
      <c r="N250" s="7" t="s">
        <v>41</v>
      </c>
    </row>
    <row r="251" spans="1:15" x14ac:dyDescent="0.25">
      <c r="A251" s="41" t="s">
        <v>385</v>
      </c>
      <c r="B251" s="1">
        <v>2</v>
      </c>
      <c r="C251" s="8">
        <v>46049</v>
      </c>
      <c r="D251" s="1" t="s">
        <v>499</v>
      </c>
      <c r="E251" s="7" t="s">
        <v>14</v>
      </c>
      <c r="F251" s="1" t="s">
        <v>23</v>
      </c>
      <c r="G251" s="9" t="s">
        <v>35</v>
      </c>
      <c r="H251" s="7">
        <v>4438</v>
      </c>
      <c r="I251" s="18">
        <v>15000000</v>
      </c>
      <c r="J251" s="10">
        <v>104895</v>
      </c>
      <c r="K251" s="7" t="s">
        <v>12</v>
      </c>
      <c r="L251" s="7" t="s">
        <v>53</v>
      </c>
      <c r="M251" s="34">
        <v>46049</v>
      </c>
      <c r="N251" s="7" t="s">
        <v>64</v>
      </c>
    </row>
    <row r="252" spans="1:15" x14ac:dyDescent="0.25">
      <c r="A252" s="41" t="s">
        <v>385</v>
      </c>
      <c r="B252" s="1">
        <v>2</v>
      </c>
      <c r="C252" s="8">
        <v>46050</v>
      </c>
      <c r="D252" s="1" t="s">
        <v>500</v>
      </c>
      <c r="E252" s="7" t="s">
        <v>14</v>
      </c>
      <c r="F252" s="1" t="s">
        <v>23</v>
      </c>
      <c r="G252" s="9" t="s">
        <v>35</v>
      </c>
      <c r="H252" s="7">
        <v>4435</v>
      </c>
      <c r="I252" s="18">
        <v>15000000</v>
      </c>
      <c r="J252" s="10">
        <v>192124.91</v>
      </c>
      <c r="K252" s="7" t="s">
        <v>12</v>
      </c>
      <c r="L252" s="7" t="s">
        <v>53</v>
      </c>
      <c r="M252" s="34">
        <v>46050</v>
      </c>
      <c r="N252" s="7" t="s">
        <v>64</v>
      </c>
    </row>
    <row r="253" spans="1:15" ht="30" x14ac:dyDescent="0.25">
      <c r="A253" s="41" t="s">
        <v>501</v>
      </c>
      <c r="B253" s="1">
        <v>1</v>
      </c>
      <c r="C253" s="8">
        <v>46045</v>
      </c>
      <c r="D253" s="1" t="s">
        <v>502</v>
      </c>
      <c r="E253" s="7" t="s">
        <v>82</v>
      </c>
      <c r="F253" s="1" t="s">
        <v>23</v>
      </c>
      <c r="G253" s="9" t="s">
        <v>48</v>
      </c>
      <c r="H253" s="7" t="s">
        <v>74</v>
      </c>
      <c r="I253" s="18" t="s">
        <v>0</v>
      </c>
      <c r="J253" s="10" t="s">
        <v>61</v>
      </c>
      <c r="K253" s="7" t="s">
        <v>22</v>
      </c>
      <c r="L253" s="7" t="s">
        <v>55</v>
      </c>
      <c r="M253" s="34">
        <v>46056</v>
      </c>
      <c r="N253" s="7" t="s">
        <v>91</v>
      </c>
    </row>
    <row r="254" spans="1:15" x14ac:dyDescent="0.25">
      <c r="A254" s="41" t="s">
        <v>504</v>
      </c>
      <c r="B254" s="1">
        <v>1</v>
      </c>
      <c r="C254" s="8">
        <v>46045</v>
      </c>
      <c r="D254" s="1" t="s">
        <v>505</v>
      </c>
      <c r="E254" s="7" t="s">
        <v>11</v>
      </c>
      <c r="F254" s="1" t="s">
        <v>23</v>
      </c>
      <c r="G254" s="9" t="s">
        <v>36</v>
      </c>
      <c r="H254" s="7" t="s">
        <v>74</v>
      </c>
      <c r="I254" s="18">
        <v>15000000</v>
      </c>
      <c r="J254" s="10">
        <v>100000</v>
      </c>
      <c r="K254" s="7" t="s">
        <v>22</v>
      </c>
      <c r="L254" s="7" t="s">
        <v>55</v>
      </c>
      <c r="M254" s="34">
        <v>46051</v>
      </c>
      <c r="N254" s="7" t="s">
        <v>41</v>
      </c>
    </row>
    <row r="255" spans="1:15" x14ac:dyDescent="0.25">
      <c r="A255" s="41" t="s">
        <v>548</v>
      </c>
      <c r="B255" s="1">
        <v>1</v>
      </c>
      <c r="C255" s="8">
        <v>46045</v>
      </c>
      <c r="D255" s="1" t="s">
        <v>547</v>
      </c>
      <c r="E255" s="7" t="s">
        <v>11</v>
      </c>
      <c r="F255" s="1" t="s">
        <v>23</v>
      </c>
      <c r="G255" s="9" t="s">
        <v>35</v>
      </c>
      <c r="H255" s="7" t="s">
        <v>74</v>
      </c>
      <c r="I255" s="18" t="s">
        <v>0</v>
      </c>
      <c r="J255" s="10">
        <v>190000</v>
      </c>
      <c r="K255" s="7" t="s">
        <v>22</v>
      </c>
      <c r="L255" s="7" t="s">
        <v>55</v>
      </c>
      <c r="M255" s="34">
        <v>46049</v>
      </c>
      <c r="N255" s="7" t="s">
        <v>41</v>
      </c>
    </row>
    <row r="256" spans="1:15" x14ac:dyDescent="0.25">
      <c r="A256" s="41" t="s">
        <v>503</v>
      </c>
      <c r="B256" s="1">
        <v>1</v>
      </c>
      <c r="C256" s="8">
        <v>46045</v>
      </c>
      <c r="D256" s="1" t="s">
        <v>506</v>
      </c>
      <c r="E256" s="7" t="s">
        <v>11</v>
      </c>
      <c r="F256" s="1" t="s">
        <v>23</v>
      </c>
      <c r="G256" s="9" t="s">
        <v>36</v>
      </c>
      <c r="H256" s="7" t="s">
        <v>74</v>
      </c>
      <c r="I256" s="18">
        <v>15000000</v>
      </c>
      <c r="J256" s="10">
        <v>220000</v>
      </c>
      <c r="K256" s="7" t="s">
        <v>22</v>
      </c>
      <c r="L256" s="7" t="s">
        <v>55</v>
      </c>
      <c r="M256" s="34">
        <v>46050</v>
      </c>
      <c r="N256" s="7" t="s">
        <v>41</v>
      </c>
    </row>
    <row r="257" spans="1:15" x14ac:dyDescent="0.25">
      <c r="A257" s="41" t="s">
        <v>503</v>
      </c>
      <c r="B257" s="1">
        <v>1</v>
      </c>
      <c r="C257" s="8">
        <v>46045</v>
      </c>
      <c r="D257" s="1" t="s">
        <v>507</v>
      </c>
      <c r="E257" s="7" t="s">
        <v>11</v>
      </c>
      <c r="F257" s="1" t="s">
        <v>23</v>
      </c>
      <c r="G257" s="9" t="s">
        <v>36</v>
      </c>
      <c r="H257" s="7" t="s">
        <v>74</v>
      </c>
      <c r="I257" s="18">
        <v>15000000</v>
      </c>
      <c r="J257" s="10">
        <v>230000</v>
      </c>
      <c r="K257" s="7" t="s">
        <v>22</v>
      </c>
      <c r="L257" s="7" t="s">
        <v>55</v>
      </c>
      <c r="M257" s="34">
        <v>46050</v>
      </c>
      <c r="N257" s="7" t="s">
        <v>91</v>
      </c>
    </row>
    <row r="258" spans="1:15" x14ac:dyDescent="0.25">
      <c r="A258" s="41" t="s">
        <v>509</v>
      </c>
      <c r="B258" s="1">
        <v>1</v>
      </c>
      <c r="C258" s="8">
        <v>46045</v>
      </c>
      <c r="D258" s="1" t="s">
        <v>508</v>
      </c>
      <c r="E258" s="7" t="s">
        <v>11</v>
      </c>
      <c r="F258" s="1" t="s">
        <v>23</v>
      </c>
      <c r="G258" s="9" t="s">
        <v>36</v>
      </c>
      <c r="H258" s="7" t="s">
        <v>74</v>
      </c>
      <c r="I258" s="18">
        <v>15000000</v>
      </c>
      <c r="J258" s="10">
        <v>190000</v>
      </c>
      <c r="K258" s="7" t="s">
        <v>22</v>
      </c>
      <c r="L258" s="7" t="s">
        <v>55</v>
      </c>
      <c r="M258" s="34">
        <v>46051</v>
      </c>
      <c r="N258" s="7" t="s">
        <v>91</v>
      </c>
    </row>
    <row r="259" spans="1:15" x14ac:dyDescent="0.25">
      <c r="A259" s="41" t="s">
        <v>252</v>
      </c>
      <c r="B259" s="1">
        <v>1</v>
      </c>
      <c r="C259" s="8">
        <v>46045</v>
      </c>
      <c r="D259" s="1" t="s">
        <v>510</v>
      </c>
      <c r="E259" s="7" t="s">
        <v>13</v>
      </c>
      <c r="F259" s="1" t="s">
        <v>23</v>
      </c>
      <c r="G259" s="9" t="s">
        <v>35</v>
      </c>
      <c r="H259" s="7" t="s">
        <v>74</v>
      </c>
      <c r="I259" s="18">
        <v>15001002</v>
      </c>
      <c r="J259" s="10">
        <v>43019</v>
      </c>
      <c r="K259" s="7" t="s">
        <v>13</v>
      </c>
      <c r="L259" s="7" t="s">
        <v>54</v>
      </c>
      <c r="M259" s="34">
        <v>46049</v>
      </c>
      <c r="N259" s="7" t="s">
        <v>52</v>
      </c>
    </row>
    <row r="260" spans="1:15" x14ac:dyDescent="0.25">
      <c r="A260" s="41" t="s">
        <v>512</v>
      </c>
      <c r="B260" s="1">
        <v>1</v>
      </c>
      <c r="C260" s="8">
        <v>46045</v>
      </c>
      <c r="D260" s="1" t="s">
        <v>511</v>
      </c>
      <c r="E260" s="7" t="s">
        <v>2</v>
      </c>
      <c r="F260" s="1" t="s">
        <v>23</v>
      </c>
      <c r="G260" s="9" t="s">
        <v>35</v>
      </c>
      <c r="H260" s="7" t="s">
        <v>74</v>
      </c>
      <c r="I260" s="18">
        <v>15001001</v>
      </c>
      <c r="J260" s="10">
        <v>60272.27</v>
      </c>
      <c r="K260" s="7" t="s">
        <v>12</v>
      </c>
      <c r="L260" s="7" t="s">
        <v>53</v>
      </c>
      <c r="M260" s="34">
        <v>46048</v>
      </c>
      <c r="N260" s="7" t="s">
        <v>41</v>
      </c>
    </row>
    <row r="261" spans="1:15" x14ac:dyDescent="0.25">
      <c r="A261" s="41" t="s">
        <v>513</v>
      </c>
      <c r="B261" s="1">
        <v>2</v>
      </c>
      <c r="C261" s="8">
        <v>46055</v>
      </c>
      <c r="D261" s="1" t="s">
        <v>579</v>
      </c>
      <c r="E261" s="7" t="s">
        <v>12</v>
      </c>
      <c r="F261" s="1" t="s">
        <v>23</v>
      </c>
      <c r="G261" s="9" t="s">
        <v>35</v>
      </c>
      <c r="H261" s="7">
        <v>5667</v>
      </c>
      <c r="I261" s="18">
        <v>15000000</v>
      </c>
      <c r="J261" s="10">
        <v>7800</v>
      </c>
      <c r="K261" s="7" t="s">
        <v>12</v>
      </c>
      <c r="L261" s="7" t="s">
        <v>53</v>
      </c>
      <c r="M261" s="34">
        <v>46055</v>
      </c>
      <c r="N261" s="7" t="s">
        <v>41</v>
      </c>
      <c r="O261" s="7" t="s">
        <v>585</v>
      </c>
    </row>
    <row r="262" spans="1:15" x14ac:dyDescent="0.25">
      <c r="A262" s="41" t="s">
        <v>513</v>
      </c>
      <c r="B262" s="1">
        <v>2</v>
      </c>
      <c r="C262" s="8">
        <v>46055</v>
      </c>
      <c r="D262" s="1" t="s">
        <v>514</v>
      </c>
      <c r="E262" s="7" t="s">
        <v>12</v>
      </c>
      <c r="F262" s="1" t="s">
        <v>23</v>
      </c>
      <c r="G262" s="9" t="s">
        <v>35</v>
      </c>
      <c r="H262" s="7">
        <v>5630</v>
      </c>
      <c r="I262" s="18">
        <v>15000000</v>
      </c>
      <c r="J262" s="10">
        <v>7800</v>
      </c>
      <c r="K262" s="7" t="s">
        <v>12</v>
      </c>
      <c r="L262" s="7" t="s">
        <v>53</v>
      </c>
      <c r="M262" s="34">
        <v>46055</v>
      </c>
      <c r="N262" s="7" t="s">
        <v>41</v>
      </c>
      <c r="O262" s="7" t="s">
        <v>533</v>
      </c>
    </row>
    <row r="263" spans="1:15" x14ac:dyDescent="0.25">
      <c r="A263" s="41" t="s">
        <v>515</v>
      </c>
      <c r="B263" s="1">
        <v>2</v>
      </c>
      <c r="C263" s="8">
        <v>46052</v>
      </c>
      <c r="D263" s="1" t="s">
        <v>516</v>
      </c>
      <c r="E263" s="7" t="s">
        <v>12</v>
      </c>
      <c r="F263" s="1" t="s">
        <v>23</v>
      </c>
      <c r="G263" s="9" t="s">
        <v>35</v>
      </c>
      <c r="H263" s="7">
        <v>20875</v>
      </c>
      <c r="I263" s="18">
        <v>15000000</v>
      </c>
      <c r="J263" s="10">
        <v>4229.7</v>
      </c>
      <c r="K263" s="7" t="s">
        <v>12</v>
      </c>
      <c r="L263" s="7" t="s">
        <v>40</v>
      </c>
      <c r="M263" s="34">
        <v>46048</v>
      </c>
      <c r="N263" s="7" t="s">
        <v>62</v>
      </c>
      <c r="O263" s="7" t="s">
        <v>533</v>
      </c>
    </row>
    <row r="264" spans="1:15" x14ac:dyDescent="0.25">
      <c r="A264" s="41" t="s">
        <v>479</v>
      </c>
      <c r="B264" s="1">
        <v>4</v>
      </c>
      <c r="C264" s="8">
        <v>46073</v>
      </c>
      <c r="D264" s="1" t="s">
        <v>833</v>
      </c>
      <c r="E264" s="7" t="s">
        <v>11</v>
      </c>
      <c r="F264" s="1" t="s">
        <v>23</v>
      </c>
      <c r="G264" s="9" t="s">
        <v>35</v>
      </c>
      <c r="H264" s="7">
        <v>143</v>
      </c>
      <c r="I264" s="18">
        <v>15000000</v>
      </c>
      <c r="J264" s="10">
        <v>13645.5</v>
      </c>
      <c r="K264" s="7" t="s">
        <v>12</v>
      </c>
      <c r="L264" s="7" t="s">
        <v>53</v>
      </c>
      <c r="M264" s="34">
        <v>46076</v>
      </c>
      <c r="N264" s="7" t="s">
        <v>41</v>
      </c>
      <c r="O264" s="7" t="s">
        <v>832</v>
      </c>
    </row>
    <row r="265" spans="1:15" x14ac:dyDescent="0.25">
      <c r="A265" s="41" t="s">
        <v>252</v>
      </c>
      <c r="B265" s="1">
        <v>1</v>
      </c>
      <c r="C265" s="8">
        <v>46045</v>
      </c>
      <c r="D265" s="1" t="s">
        <v>517</v>
      </c>
      <c r="E265" s="7" t="s">
        <v>13</v>
      </c>
      <c r="F265" s="1" t="s">
        <v>23</v>
      </c>
      <c r="G265" s="9" t="s">
        <v>35</v>
      </c>
      <c r="H265" s="7">
        <v>1839</v>
      </c>
      <c r="I265" s="18">
        <v>16000000</v>
      </c>
      <c r="J265" s="10">
        <v>309</v>
      </c>
      <c r="K265" s="7" t="s">
        <v>58</v>
      </c>
      <c r="L265" s="7" t="s">
        <v>59</v>
      </c>
    </row>
    <row r="266" spans="1:15" x14ac:dyDescent="0.25">
      <c r="A266" s="41" t="s">
        <v>252</v>
      </c>
      <c r="B266" s="1">
        <v>2</v>
      </c>
      <c r="C266" s="8">
        <v>46055</v>
      </c>
      <c r="D266" s="1" t="s">
        <v>518</v>
      </c>
      <c r="E266" s="7" t="s">
        <v>13</v>
      </c>
      <c r="F266" s="1" t="s">
        <v>23</v>
      </c>
      <c r="G266" s="9" t="s">
        <v>35</v>
      </c>
      <c r="H266" s="7">
        <v>1837</v>
      </c>
      <c r="I266" s="18">
        <v>15001002</v>
      </c>
      <c r="J266" s="10">
        <v>6490</v>
      </c>
      <c r="K266" s="7" t="s">
        <v>13</v>
      </c>
      <c r="L266" s="7" t="s">
        <v>54</v>
      </c>
      <c r="M266" s="34">
        <v>46055</v>
      </c>
      <c r="N266" s="7" t="s">
        <v>52</v>
      </c>
    </row>
    <row r="267" spans="1:15" x14ac:dyDescent="0.25">
      <c r="A267" s="41" t="s">
        <v>252</v>
      </c>
      <c r="B267" s="1">
        <v>1</v>
      </c>
      <c r="C267" s="8">
        <v>46045</v>
      </c>
      <c r="D267" s="1" t="s">
        <v>519</v>
      </c>
      <c r="E267" s="7" t="s">
        <v>13</v>
      </c>
      <c r="F267" s="1" t="s">
        <v>23</v>
      </c>
      <c r="G267" s="9" t="s">
        <v>35</v>
      </c>
      <c r="H267" s="7">
        <v>1837</v>
      </c>
      <c r="I267" s="18">
        <v>16000000</v>
      </c>
      <c r="J267" s="10">
        <v>200</v>
      </c>
      <c r="K267" s="7" t="s">
        <v>13</v>
      </c>
      <c r="L267" s="7" t="s">
        <v>54</v>
      </c>
      <c r="M267" s="34">
        <v>46050</v>
      </c>
      <c r="N267" s="7" t="s">
        <v>52</v>
      </c>
    </row>
    <row r="268" spans="1:15" x14ac:dyDescent="0.25">
      <c r="A268" s="41" t="s">
        <v>252</v>
      </c>
      <c r="B268" s="1">
        <v>1</v>
      </c>
      <c r="C268" s="8">
        <v>46045</v>
      </c>
      <c r="D268" s="1" t="s">
        <v>520</v>
      </c>
      <c r="E268" s="7" t="s">
        <v>13</v>
      </c>
      <c r="F268" s="1" t="s">
        <v>23</v>
      </c>
      <c r="G268" s="9" t="s">
        <v>35</v>
      </c>
      <c r="H268" s="7">
        <v>3329</v>
      </c>
      <c r="I268" s="18">
        <v>15001002</v>
      </c>
      <c r="J268" s="10">
        <v>55962.99</v>
      </c>
      <c r="K268" s="7" t="s">
        <v>13</v>
      </c>
      <c r="L268" s="7" t="s">
        <v>54</v>
      </c>
      <c r="M268" s="34">
        <v>46050</v>
      </c>
      <c r="N268" s="7" t="s">
        <v>52</v>
      </c>
    </row>
    <row r="269" spans="1:15" x14ac:dyDescent="0.25">
      <c r="A269" s="41" t="s">
        <v>252</v>
      </c>
      <c r="B269" s="1">
        <v>1</v>
      </c>
      <c r="C269" s="8">
        <v>46045</v>
      </c>
      <c r="D269" s="1" t="s">
        <v>521</v>
      </c>
      <c r="E269" s="7" t="s">
        <v>13</v>
      </c>
      <c r="F269" s="1" t="s">
        <v>23</v>
      </c>
      <c r="G269" s="9" t="s">
        <v>35</v>
      </c>
      <c r="H269" s="7">
        <v>3329</v>
      </c>
      <c r="I269" s="18">
        <v>16000000</v>
      </c>
      <c r="J269" s="10">
        <v>2251.87</v>
      </c>
      <c r="K269" s="7" t="s">
        <v>13</v>
      </c>
      <c r="L269" s="7" t="s">
        <v>54</v>
      </c>
      <c r="M269" s="34">
        <v>46048</v>
      </c>
      <c r="N269" s="7" t="s">
        <v>52</v>
      </c>
    </row>
    <row r="270" spans="1:15" x14ac:dyDescent="0.25">
      <c r="A270" s="41" t="s">
        <v>79</v>
      </c>
      <c r="B270" s="1">
        <v>1</v>
      </c>
      <c r="C270" s="8">
        <v>46045</v>
      </c>
      <c r="D270" s="1" t="s">
        <v>522</v>
      </c>
      <c r="E270" s="7" t="s">
        <v>13</v>
      </c>
      <c r="F270" s="1" t="s">
        <v>23</v>
      </c>
      <c r="G270" s="9" t="s">
        <v>35</v>
      </c>
      <c r="H270" s="7">
        <v>26</v>
      </c>
      <c r="I270" s="18">
        <v>15001002</v>
      </c>
      <c r="J270" s="10">
        <v>5020</v>
      </c>
      <c r="K270" s="7" t="s">
        <v>13</v>
      </c>
      <c r="L270" s="7" t="s">
        <v>54</v>
      </c>
      <c r="M270" s="34">
        <v>46048</v>
      </c>
      <c r="N270" s="7" t="s">
        <v>41</v>
      </c>
    </row>
    <row r="271" spans="1:15" x14ac:dyDescent="0.25">
      <c r="A271" s="41" t="s">
        <v>252</v>
      </c>
      <c r="B271" s="1">
        <v>1</v>
      </c>
      <c r="C271" s="8">
        <v>46045</v>
      </c>
      <c r="D271" s="1" t="s">
        <v>523</v>
      </c>
      <c r="E271" s="7" t="s">
        <v>16</v>
      </c>
      <c r="F271" s="1" t="s">
        <v>23</v>
      </c>
      <c r="G271" s="9" t="s">
        <v>35</v>
      </c>
      <c r="H271" s="7">
        <v>1831</v>
      </c>
      <c r="I271" s="18">
        <v>15000000</v>
      </c>
      <c r="J271" s="10">
        <v>500</v>
      </c>
      <c r="K271" s="7" t="s">
        <v>12</v>
      </c>
      <c r="L271" s="7" t="s">
        <v>53</v>
      </c>
      <c r="M271" s="34">
        <v>46051</v>
      </c>
      <c r="N271" s="7" t="s">
        <v>52</v>
      </c>
    </row>
    <row r="272" spans="1:15" x14ac:dyDescent="0.25">
      <c r="A272" s="41" t="s">
        <v>252</v>
      </c>
      <c r="B272" s="1">
        <v>2</v>
      </c>
      <c r="C272" s="8">
        <v>46051</v>
      </c>
      <c r="D272" s="1" t="s">
        <v>524</v>
      </c>
      <c r="E272" s="7" t="s">
        <v>16</v>
      </c>
      <c r="F272" s="1" t="s">
        <v>23</v>
      </c>
      <c r="G272" s="9" t="s">
        <v>35</v>
      </c>
      <c r="H272" s="7">
        <v>1829</v>
      </c>
      <c r="I272" s="18">
        <v>16610000</v>
      </c>
      <c r="J272" s="10">
        <v>480</v>
      </c>
      <c r="K272" s="7" t="s">
        <v>12</v>
      </c>
      <c r="L272" s="7" t="s">
        <v>53</v>
      </c>
      <c r="M272" s="34">
        <v>46051</v>
      </c>
      <c r="N272" s="7" t="s">
        <v>52</v>
      </c>
    </row>
    <row r="273" spans="1:14" x14ac:dyDescent="0.25">
      <c r="A273" s="41" t="s">
        <v>252</v>
      </c>
      <c r="B273" s="1">
        <v>2</v>
      </c>
      <c r="C273" s="8">
        <v>46051</v>
      </c>
      <c r="D273" s="1" t="s">
        <v>525</v>
      </c>
      <c r="E273" s="7" t="s">
        <v>16</v>
      </c>
      <c r="F273" s="1" t="s">
        <v>23</v>
      </c>
      <c r="G273" s="9" t="s">
        <v>35</v>
      </c>
      <c r="H273" s="7">
        <v>1830</v>
      </c>
      <c r="I273" s="18">
        <v>16610000</v>
      </c>
      <c r="J273" s="10">
        <v>480</v>
      </c>
      <c r="K273" s="7" t="s">
        <v>12</v>
      </c>
      <c r="L273" s="7" t="s">
        <v>53</v>
      </c>
      <c r="M273" s="34">
        <v>46051</v>
      </c>
      <c r="N273" s="7" t="s">
        <v>52</v>
      </c>
    </row>
    <row r="274" spans="1:14" x14ac:dyDescent="0.25">
      <c r="A274" s="41" t="s">
        <v>252</v>
      </c>
      <c r="B274" s="1">
        <v>1</v>
      </c>
      <c r="C274" s="8">
        <v>46045</v>
      </c>
      <c r="D274" s="1" t="s">
        <v>526</v>
      </c>
      <c r="E274" s="7" t="s">
        <v>16</v>
      </c>
      <c r="F274" s="1" t="s">
        <v>23</v>
      </c>
      <c r="G274" s="9" t="s">
        <v>35</v>
      </c>
      <c r="H274" s="7">
        <v>1836</v>
      </c>
      <c r="I274" s="18">
        <v>16610000</v>
      </c>
      <c r="J274" s="10">
        <v>4500</v>
      </c>
      <c r="K274" s="7" t="s">
        <v>12</v>
      </c>
      <c r="L274" s="7" t="s">
        <v>53</v>
      </c>
      <c r="M274" s="34">
        <v>46050</v>
      </c>
      <c r="N274" s="7" t="s">
        <v>92</v>
      </c>
    </row>
    <row r="275" spans="1:14" x14ac:dyDescent="0.25">
      <c r="A275" s="41" t="s">
        <v>252</v>
      </c>
      <c r="B275" s="1">
        <v>3</v>
      </c>
      <c r="C275" s="8">
        <v>46050</v>
      </c>
      <c r="D275" s="1" t="s">
        <v>527</v>
      </c>
      <c r="E275" s="7" t="s">
        <v>16</v>
      </c>
      <c r="F275" s="1" t="s">
        <v>23</v>
      </c>
      <c r="G275" s="9" t="s">
        <v>35</v>
      </c>
      <c r="H275" s="7">
        <v>1835</v>
      </c>
      <c r="I275" s="18">
        <v>16610000</v>
      </c>
      <c r="J275" s="10">
        <v>3070</v>
      </c>
      <c r="K275" s="7" t="s">
        <v>12</v>
      </c>
      <c r="L275" s="7" t="s">
        <v>53</v>
      </c>
      <c r="M275" s="34">
        <v>46051</v>
      </c>
      <c r="N275" s="7" t="s">
        <v>52</v>
      </c>
    </row>
    <row r="276" spans="1:14" x14ac:dyDescent="0.25">
      <c r="A276" s="41" t="s">
        <v>252</v>
      </c>
      <c r="B276" s="1">
        <v>2</v>
      </c>
      <c r="C276" s="8">
        <v>46051</v>
      </c>
      <c r="D276" s="1" t="s">
        <v>528</v>
      </c>
      <c r="E276" s="7" t="s">
        <v>16</v>
      </c>
      <c r="F276" s="1" t="s">
        <v>23</v>
      </c>
      <c r="G276" s="9" t="s">
        <v>35</v>
      </c>
      <c r="H276" s="7">
        <v>1832</v>
      </c>
      <c r="I276" s="18">
        <v>16600000</v>
      </c>
      <c r="J276" s="10">
        <v>1860</v>
      </c>
      <c r="K276" s="7" t="s">
        <v>12</v>
      </c>
      <c r="L276" s="7" t="s">
        <v>53</v>
      </c>
      <c r="M276" s="34">
        <v>46051</v>
      </c>
      <c r="N276" s="7" t="s">
        <v>52</v>
      </c>
    </row>
    <row r="277" spans="1:14" x14ac:dyDescent="0.25">
      <c r="A277" s="41" t="s">
        <v>529</v>
      </c>
      <c r="B277" s="1">
        <v>2</v>
      </c>
      <c r="C277" s="8">
        <v>46048</v>
      </c>
      <c r="D277" s="1" t="s">
        <v>530</v>
      </c>
      <c r="E277" s="7" t="s">
        <v>93</v>
      </c>
      <c r="F277" s="1" t="s">
        <v>23</v>
      </c>
      <c r="G277" s="9" t="s">
        <v>35</v>
      </c>
      <c r="H277" s="7" t="s">
        <v>74</v>
      </c>
      <c r="I277" s="18" t="s">
        <v>0</v>
      </c>
      <c r="J277" s="10" t="s">
        <v>61</v>
      </c>
      <c r="K277" s="7" t="s">
        <v>12</v>
      </c>
      <c r="L277" s="7" t="s">
        <v>53</v>
      </c>
      <c r="M277" s="34">
        <v>46049</v>
      </c>
      <c r="N277" s="7" t="s">
        <v>41</v>
      </c>
    </row>
    <row r="278" spans="1:14" x14ac:dyDescent="0.25">
      <c r="A278" s="41" t="s">
        <v>532</v>
      </c>
      <c r="B278" s="1">
        <v>2</v>
      </c>
      <c r="C278" s="8">
        <v>46048</v>
      </c>
      <c r="D278" s="1" t="s">
        <v>531</v>
      </c>
      <c r="E278" s="7" t="s">
        <v>93</v>
      </c>
      <c r="F278" s="1" t="s">
        <v>23</v>
      </c>
      <c r="G278" s="9" t="s">
        <v>35</v>
      </c>
      <c r="H278" s="7" t="s">
        <v>74</v>
      </c>
      <c r="I278" s="18" t="s">
        <v>0</v>
      </c>
      <c r="J278" s="10" t="s">
        <v>61</v>
      </c>
      <c r="K278" s="7" t="s">
        <v>12</v>
      </c>
      <c r="L278" s="7" t="s">
        <v>53</v>
      </c>
      <c r="M278" s="34">
        <v>46049</v>
      </c>
      <c r="N278" s="7" t="s">
        <v>41</v>
      </c>
    </row>
    <row r="279" spans="1:14" x14ac:dyDescent="0.25">
      <c r="A279" s="41" t="s">
        <v>534</v>
      </c>
      <c r="B279" s="1">
        <v>1</v>
      </c>
      <c r="C279" s="8">
        <v>46048</v>
      </c>
      <c r="D279" s="1" t="s">
        <v>535</v>
      </c>
      <c r="E279" s="7" t="s">
        <v>13</v>
      </c>
      <c r="F279" s="1" t="s">
        <v>23</v>
      </c>
      <c r="G279" s="9" t="s">
        <v>35</v>
      </c>
      <c r="H279" s="7">
        <v>397</v>
      </c>
      <c r="I279" s="18">
        <v>15001002</v>
      </c>
      <c r="J279" s="10">
        <v>15340</v>
      </c>
      <c r="K279" s="7" t="s">
        <v>13</v>
      </c>
      <c r="L279" s="7" t="s">
        <v>54</v>
      </c>
      <c r="M279" s="34">
        <v>46051</v>
      </c>
      <c r="N279" s="7" t="s">
        <v>41</v>
      </c>
    </row>
    <row r="280" spans="1:14" x14ac:dyDescent="0.25">
      <c r="A280" s="41" t="s">
        <v>536</v>
      </c>
      <c r="B280" s="1">
        <v>2</v>
      </c>
      <c r="C280" s="8">
        <v>46055</v>
      </c>
      <c r="D280" s="1" t="s">
        <v>537</v>
      </c>
      <c r="E280" s="7" t="s">
        <v>13</v>
      </c>
      <c r="F280" s="1" t="s">
        <v>23</v>
      </c>
      <c r="G280" s="9" t="s">
        <v>35</v>
      </c>
      <c r="H280" s="7">
        <v>39801</v>
      </c>
      <c r="I280" s="18">
        <v>15001002</v>
      </c>
      <c r="J280" s="10">
        <v>8708</v>
      </c>
      <c r="K280" s="7" t="s">
        <v>13</v>
      </c>
      <c r="L280" s="7" t="s">
        <v>54</v>
      </c>
      <c r="M280" s="34">
        <v>46055</v>
      </c>
      <c r="N280" s="7" t="s">
        <v>41</v>
      </c>
    </row>
    <row r="281" spans="1:14" x14ac:dyDescent="0.25">
      <c r="A281" s="41" t="s">
        <v>424</v>
      </c>
      <c r="B281" s="1">
        <v>2</v>
      </c>
      <c r="C281" s="8">
        <v>46062</v>
      </c>
      <c r="D281" s="1" t="s">
        <v>538</v>
      </c>
      <c r="E281" s="7" t="s">
        <v>14</v>
      </c>
      <c r="F281" s="1" t="s">
        <v>23</v>
      </c>
      <c r="G281" s="9" t="s">
        <v>63</v>
      </c>
      <c r="H281" s="7" t="s">
        <v>74</v>
      </c>
      <c r="I281" s="18" t="s">
        <v>539</v>
      </c>
      <c r="J281" s="10" t="s">
        <v>61</v>
      </c>
      <c r="K281" s="7" t="s">
        <v>17</v>
      </c>
      <c r="L281" s="7" t="s">
        <v>55</v>
      </c>
      <c r="M281" s="34">
        <v>46063</v>
      </c>
      <c r="N281" s="7" t="s">
        <v>91</v>
      </c>
    </row>
    <row r="282" spans="1:14" x14ac:dyDescent="0.25">
      <c r="A282" s="41" t="s">
        <v>536</v>
      </c>
      <c r="B282" s="1">
        <v>1</v>
      </c>
      <c r="C282" s="8">
        <v>46048</v>
      </c>
      <c r="D282" s="1" t="s">
        <v>537</v>
      </c>
      <c r="E282" s="7" t="s">
        <v>13</v>
      </c>
      <c r="F282" s="1" t="s">
        <v>23</v>
      </c>
      <c r="G282" s="9" t="s">
        <v>35</v>
      </c>
      <c r="H282" s="7">
        <v>39801</v>
      </c>
      <c r="I282" s="18">
        <v>15001002</v>
      </c>
      <c r="J282" s="10">
        <v>8708</v>
      </c>
      <c r="K282" s="7" t="s">
        <v>58</v>
      </c>
      <c r="L282" s="7" t="s">
        <v>59</v>
      </c>
    </row>
    <row r="283" spans="1:14" x14ac:dyDescent="0.25">
      <c r="A283" s="41" t="s">
        <v>534</v>
      </c>
      <c r="B283" s="1">
        <v>1</v>
      </c>
      <c r="C283" s="8">
        <v>46048</v>
      </c>
      <c r="D283" s="1" t="s">
        <v>535</v>
      </c>
      <c r="E283" s="7" t="s">
        <v>13</v>
      </c>
      <c r="F283" s="1" t="s">
        <v>23</v>
      </c>
      <c r="G283" s="9" t="s">
        <v>35</v>
      </c>
      <c r="H283" s="7">
        <v>397</v>
      </c>
      <c r="I283" s="18">
        <v>15001002</v>
      </c>
      <c r="J283" s="10">
        <v>15340</v>
      </c>
      <c r="K283" s="7" t="s">
        <v>13</v>
      </c>
      <c r="L283" s="7" t="s">
        <v>54</v>
      </c>
      <c r="M283" s="34">
        <v>46051</v>
      </c>
      <c r="N283" s="7" t="s">
        <v>41</v>
      </c>
    </row>
    <row r="284" spans="1:14" x14ac:dyDescent="0.25">
      <c r="A284" s="41" t="s">
        <v>271</v>
      </c>
      <c r="B284" s="1">
        <v>2</v>
      </c>
      <c r="C284" s="8">
        <v>46052</v>
      </c>
      <c r="D284" s="1" t="s">
        <v>540</v>
      </c>
      <c r="E284" s="7" t="s">
        <v>13</v>
      </c>
      <c r="F284" s="1" t="s">
        <v>23</v>
      </c>
      <c r="G284" s="9" t="s">
        <v>35</v>
      </c>
      <c r="H284" s="7">
        <v>1489427</v>
      </c>
      <c r="I284" s="18">
        <v>16000000</v>
      </c>
      <c r="J284" s="10">
        <v>1200</v>
      </c>
      <c r="K284" s="7" t="s">
        <v>13</v>
      </c>
      <c r="L284" s="7" t="s">
        <v>53</v>
      </c>
      <c r="M284" s="34">
        <v>46050</v>
      </c>
      <c r="N284" s="7" t="s">
        <v>92</v>
      </c>
    </row>
    <row r="285" spans="1:14" x14ac:dyDescent="0.25">
      <c r="A285" s="41" t="s">
        <v>271</v>
      </c>
      <c r="B285" s="1">
        <v>1</v>
      </c>
      <c r="C285" s="8">
        <v>46049</v>
      </c>
      <c r="D285" s="1" t="s">
        <v>541</v>
      </c>
      <c r="E285" s="7" t="s">
        <v>13</v>
      </c>
      <c r="F285" s="1" t="s">
        <v>23</v>
      </c>
      <c r="G285" s="9" t="s">
        <v>35</v>
      </c>
      <c r="H285" s="7">
        <v>1488734</v>
      </c>
      <c r="I285" s="18">
        <v>16000000</v>
      </c>
      <c r="J285" s="10">
        <v>4950</v>
      </c>
      <c r="K285" s="7" t="s">
        <v>13</v>
      </c>
      <c r="L285" s="7" t="s">
        <v>54</v>
      </c>
      <c r="M285" s="34">
        <v>46050</v>
      </c>
      <c r="N285" s="7" t="s">
        <v>92</v>
      </c>
    </row>
    <row r="286" spans="1:14" x14ac:dyDescent="0.25">
      <c r="A286" s="41" t="s">
        <v>441</v>
      </c>
      <c r="B286" s="1">
        <v>1</v>
      </c>
      <c r="C286" s="8">
        <v>46049</v>
      </c>
      <c r="D286" s="1" t="s">
        <v>544</v>
      </c>
      <c r="E286" s="7" t="s">
        <v>14</v>
      </c>
      <c r="F286" s="1" t="s">
        <v>23</v>
      </c>
      <c r="G286" s="9" t="s">
        <v>35</v>
      </c>
      <c r="H286" s="7">
        <v>11082</v>
      </c>
      <c r="I286" s="18">
        <v>15000000</v>
      </c>
      <c r="J286" s="10">
        <v>9952.26</v>
      </c>
      <c r="K286" s="7" t="s">
        <v>12</v>
      </c>
      <c r="L286" s="7" t="s">
        <v>53</v>
      </c>
      <c r="M286" s="34">
        <v>46052</v>
      </c>
      <c r="N286" s="7" t="s">
        <v>41</v>
      </c>
    </row>
    <row r="287" spans="1:14" x14ac:dyDescent="0.25">
      <c r="A287" s="41" t="s">
        <v>546</v>
      </c>
      <c r="B287" s="1">
        <v>2</v>
      </c>
      <c r="C287" s="8">
        <v>46050</v>
      </c>
      <c r="D287" s="1" t="s">
        <v>545</v>
      </c>
      <c r="E287" s="7" t="s">
        <v>20</v>
      </c>
      <c r="F287" s="1" t="s">
        <v>23</v>
      </c>
      <c r="G287" s="9" t="s">
        <v>35</v>
      </c>
      <c r="H287" s="7">
        <v>5047</v>
      </c>
      <c r="I287" s="18">
        <v>15010000</v>
      </c>
      <c r="J287" s="10">
        <v>769370.16</v>
      </c>
      <c r="K287" s="7" t="s">
        <v>58</v>
      </c>
      <c r="L287" s="7" t="s">
        <v>59</v>
      </c>
      <c r="M287" s="34">
        <v>46050</v>
      </c>
    </row>
    <row r="288" spans="1:14" ht="30" x14ac:dyDescent="0.25">
      <c r="A288" s="41" t="s">
        <v>549</v>
      </c>
      <c r="B288" s="1">
        <v>1</v>
      </c>
      <c r="C288" s="8">
        <v>46049</v>
      </c>
      <c r="D288" s="1" t="s">
        <v>550</v>
      </c>
      <c r="E288" s="7" t="s">
        <v>2</v>
      </c>
      <c r="F288" s="1" t="s">
        <v>23</v>
      </c>
      <c r="G288" s="9" t="s">
        <v>47</v>
      </c>
      <c r="H288" s="7" t="s">
        <v>551</v>
      </c>
      <c r="I288" s="18" t="s">
        <v>0</v>
      </c>
      <c r="J288" s="10" t="s">
        <v>61</v>
      </c>
      <c r="K288" s="7" t="s">
        <v>22</v>
      </c>
      <c r="L288" s="7" t="s">
        <v>55</v>
      </c>
      <c r="M288" s="34">
        <v>46055</v>
      </c>
      <c r="N288" s="7" t="s">
        <v>91</v>
      </c>
    </row>
    <row r="289" spans="1:18" x14ac:dyDescent="0.25">
      <c r="A289" s="41" t="s">
        <v>367</v>
      </c>
      <c r="B289" s="1">
        <v>4</v>
      </c>
      <c r="C289" s="8">
        <v>46063</v>
      </c>
      <c r="D289" s="1" t="s">
        <v>552</v>
      </c>
      <c r="E289" s="7" t="s">
        <v>12</v>
      </c>
      <c r="F289" s="1" t="s">
        <v>23</v>
      </c>
      <c r="G289" s="9" t="s">
        <v>35</v>
      </c>
      <c r="H289" s="7">
        <v>17425</v>
      </c>
      <c r="I289" s="18">
        <v>15000000</v>
      </c>
      <c r="J289" s="10">
        <v>482.4</v>
      </c>
      <c r="K289" s="7" t="s">
        <v>12</v>
      </c>
      <c r="L289" s="7" t="s">
        <v>53</v>
      </c>
      <c r="M289" s="34">
        <v>46063</v>
      </c>
      <c r="N289" s="7" t="s">
        <v>41</v>
      </c>
    </row>
    <row r="290" spans="1:18" x14ac:dyDescent="0.25">
      <c r="A290" s="41" t="s">
        <v>441</v>
      </c>
      <c r="B290" s="1">
        <v>1</v>
      </c>
      <c r="C290" s="8">
        <v>46050</v>
      </c>
      <c r="D290" s="1" t="s">
        <v>553</v>
      </c>
      <c r="E290" s="7" t="s">
        <v>16</v>
      </c>
      <c r="F290" s="1" t="s">
        <v>23</v>
      </c>
      <c r="G290" s="9" t="s">
        <v>35</v>
      </c>
      <c r="H290" s="7">
        <v>11088</v>
      </c>
      <c r="I290" s="18">
        <v>16600000</v>
      </c>
      <c r="J290" s="10">
        <v>189.07</v>
      </c>
      <c r="K290" s="7" t="s">
        <v>12</v>
      </c>
      <c r="L290" s="7" t="s">
        <v>53</v>
      </c>
      <c r="M290" s="34">
        <v>46055</v>
      </c>
      <c r="N290" s="7" t="s">
        <v>41</v>
      </c>
    </row>
    <row r="291" spans="1:18" x14ac:dyDescent="0.25">
      <c r="A291" s="41" t="s">
        <v>441</v>
      </c>
      <c r="B291" s="1">
        <v>1</v>
      </c>
      <c r="C291" s="8">
        <v>46050</v>
      </c>
      <c r="D291" s="1" t="s">
        <v>554</v>
      </c>
      <c r="E291" s="7" t="s">
        <v>16</v>
      </c>
      <c r="F291" s="1" t="s">
        <v>23</v>
      </c>
      <c r="G291" s="9" t="s">
        <v>35</v>
      </c>
      <c r="H291" s="7">
        <v>11088</v>
      </c>
      <c r="I291" s="18">
        <v>16600000</v>
      </c>
      <c r="J291" s="10">
        <v>35.14</v>
      </c>
      <c r="K291" s="7" t="s">
        <v>12</v>
      </c>
      <c r="L291" s="7" t="s">
        <v>53</v>
      </c>
      <c r="M291" s="34">
        <v>46055</v>
      </c>
      <c r="N291" s="7" t="s">
        <v>41</v>
      </c>
    </row>
    <row r="292" spans="1:18" x14ac:dyDescent="0.25">
      <c r="A292" s="41" t="s">
        <v>441</v>
      </c>
      <c r="B292" s="1">
        <v>2</v>
      </c>
      <c r="C292" s="8">
        <v>46056</v>
      </c>
      <c r="D292" s="1" t="s">
        <v>586</v>
      </c>
      <c r="E292" s="7" t="s">
        <v>16</v>
      </c>
      <c r="F292" s="1" t="s">
        <v>23</v>
      </c>
      <c r="G292" s="9" t="s">
        <v>35</v>
      </c>
      <c r="H292" s="7">
        <v>11088</v>
      </c>
      <c r="I292" s="18">
        <v>16600000</v>
      </c>
      <c r="J292" s="10">
        <v>591.71</v>
      </c>
      <c r="K292" s="7" t="s">
        <v>12</v>
      </c>
      <c r="L292" s="7" t="s">
        <v>53</v>
      </c>
      <c r="M292" s="34">
        <v>46055</v>
      </c>
      <c r="N292" s="7" t="s">
        <v>41</v>
      </c>
      <c r="O292" s="7" t="s">
        <v>587</v>
      </c>
    </row>
    <row r="293" spans="1:18" x14ac:dyDescent="0.25">
      <c r="A293" s="41" t="s">
        <v>441</v>
      </c>
      <c r="B293" s="1">
        <v>2</v>
      </c>
      <c r="C293" s="8">
        <v>46052</v>
      </c>
      <c r="D293" s="1" t="s">
        <v>555</v>
      </c>
      <c r="E293" s="7" t="s">
        <v>16</v>
      </c>
      <c r="F293" s="1" t="s">
        <v>23</v>
      </c>
      <c r="G293" s="9" t="s">
        <v>35</v>
      </c>
      <c r="H293" s="7">
        <v>11088</v>
      </c>
      <c r="I293" s="18">
        <v>16600000</v>
      </c>
      <c r="J293" s="10">
        <v>229.6</v>
      </c>
      <c r="K293" s="7" t="s">
        <v>12</v>
      </c>
      <c r="L293" s="7" t="s">
        <v>53</v>
      </c>
      <c r="M293" s="34">
        <v>46052</v>
      </c>
      <c r="N293" s="7" t="s">
        <v>41</v>
      </c>
    </row>
    <row r="294" spans="1:18" x14ac:dyDescent="0.25">
      <c r="A294" s="41" t="s">
        <v>223</v>
      </c>
      <c r="B294" s="1">
        <v>1</v>
      </c>
      <c r="C294" s="8">
        <v>46050</v>
      </c>
      <c r="D294" s="1" t="s">
        <v>556</v>
      </c>
      <c r="E294" s="7" t="s">
        <v>14</v>
      </c>
      <c r="F294" s="1" t="s">
        <v>23</v>
      </c>
      <c r="G294" s="9" t="s">
        <v>35</v>
      </c>
      <c r="H294" s="7">
        <v>17468</v>
      </c>
      <c r="I294" s="18">
        <v>15010000</v>
      </c>
      <c r="J294" s="10">
        <v>14560</v>
      </c>
      <c r="K294" s="7" t="s">
        <v>12</v>
      </c>
      <c r="L294" s="7" t="s">
        <v>53</v>
      </c>
      <c r="M294" s="34">
        <v>46055</v>
      </c>
      <c r="N294" s="7" t="s">
        <v>41</v>
      </c>
    </row>
    <row r="295" spans="1:18" x14ac:dyDescent="0.25">
      <c r="A295" s="41" t="s">
        <v>223</v>
      </c>
      <c r="B295" s="1">
        <v>1</v>
      </c>
      <c r="C295" s="8">
        <v>46050</v>
      </c>
      <c r="D295" s="1" t="s">
        <v>557</v>
      </c>
      <c r="E295" s="7" t="s">
        <v>14</v>
      </c>
      <c r="F295" s="1" t="s">
        <v>23</v>
      </c>
      <c r="G295" s="9" t="s">
        <v>35</v>
      </c>
      <c r="H295" s="7">
        <v>17650</v>
      </c>
      <c r="I295" s="18">
        <v>15000000</v>
      </c>
      <c r="J295" s="10">
        <v>6240</v>
      </c>
      <c r="K295" s="7" t="s">
        <v>12</v>
      </c>
      <c r="L295" s="7" t="s">
        <v>53</v>
      </c>
      <c r="M295" s="34">
        <v>46052</v>
      </c>
      <c r="N295" s="7" t="s">
        <v>41</v>
      </c>
    </row>
    <row r="296" spans="1:18" x14ac:dyDescent="0.25">
      <c r="A296" s="41" t="s">
        <v>223</v>
      </c>
      <c r="B296" s="1">
        <v>1</v>
      </c>
      <c r="C296" s="8">
        <v>46050</v>
      </c>
      <c r="D296" s="1" t="s">
        <v>558</v>
      </c>
      <c r="E296" s="7" t="s">
        <v>14</v>
      </c>
      <c r="F296" s="1" t="s">
        <v>23</v>
      </c>
      <c r="G296" s="9" t="s">
        <v>35</v>
      </c>
      <c r="H296" s="7">
        <v>17469</v>
      </c>
      <c r="I296" s="18">
        <v>15010000</v>
      </c>
      <c r="J296" s="10">
        <v>6240</v>
      </c>
      <c r="K296" s="7" t="s">
        <v>12</v>
      </c>
      <c r="L296" s="7" t="s">
        <v>53</v>
      </c>
      <c r="M296" s="34">
        <v>46055</v>
      </c>
      <c r="N296" s="7" t="s">
        <v>41</v>
      </c>
    </row>
    <row r="297" spans="1:18" x14ac:dyDescent="0.25">
      <c r="A297" s="41" t="s">
        <v>252</v>
      </c>
      <c r="B297" s="1">
        <v>2</v>
      </c>
      <c r="C297" s="8">
        <v>46057</v>
      </c>
      <c r="D297" s="1" t="s">
        <v>559</v>
      </c>
      <c r="E297" s="7" t="s">
        <v>16</v>
      </c>
      <c r="F297" s="1" t="s">
        <v>23</v>
      </c>
      <c r="G297" s="9" t="s">
        <v>35</v>
      </c>
      <c r="H297" s="7">
        <v>1834</v>
      </c>
      <c r="I297" s="18">
        <v>15000000</v>
      </c>
      <c r="J297" s="10">
        <v>7553</v>
      </c>
      <c r="K297" s="7" t="s">
        <v>12</v>
      </c>
      <c r="L297" s="7" t="s">
        <v>53</v>
      </c>
      <c r="M297" s="34">
        <v>46057</v>
      </c>
      <c r="N297" s="7" t="s">
        <v>41</v>
      </c>
    </row>
    <row r="298" spans="1:18" x14ac:dyDescent="0.25">
      <c r="A298" s="41" t="s">
        <v>252</v>
      </c>
      <c r="B298" s="1">
        <v>2</v>
      </c>
      <c r="C298" s="8">
        <v>46057</v>
      </c>
      <c r="D298" s="1" t="s">
        <v>560</v>
      </c>
      <c r="E298" s="7" t="s">
        <v>16</v>
      </c>
      <c r="F298" s="1" t="s">
        <v>23</v>
      </c>
      <c r="G298" s="9" t="s">
        <v>35</v>
      </c>
      <c r="H298" s="7">
        <v>1833</v>
      </c>
      <c r="I298" s="18">
        <v>16600000</v>
      </c>
      <c r="J298" s="10">
        <v>9833</v>
      </c>
      <c r="K298" s="7" t="s">
        <v>12</v>
      </c>
      <c r="L298" s="7" t="s">
        <v>53</v>
      </c>
      <c r="M298" s="34">
        <v>46057</v>
      </c>
      <c r="N298" s="7" t="s">
        <v>41</v>
      </c>
    </row>
    <row r="299" spans="1:18" x14ac:dyDescent="0.25">
      <c r="A299" s="41" t="s">
        <v>428</v>
      </c>
      <c r="B299" s="1">
        <v>1</v>
      </c>
      <c r="C299" s="8">
        <v>46051</v>
      </c>
      <c r="D299" s="13" t="s">
        <v>562</v>
      </c>
      <c r="E299" s="7" t="s">
        <v>11</v>
      </c>
      <c r="F299" s="1" t="s">
        <v>23</v>
      </c>
      <c r="G299" s="9" t="s">
        <v>63</v>
      </c>
      <c r="H299" s="7" t="s">
        <v>74</v>
      </c>
      <c r="I299" s="18" t="s">
        <v>561</v>
      </c>
      <c r="J299" s="10" t="s">
        <v>61</v>
      </c>
      <c r="K299" s="7" t="s">
        <v>17</v>
      </c>
      <c r="L299" s="7" t="s">
        <v>40</v>
      </c>
      <c r="M299" s="34">
        <v>46055</v>
      </c>
      <c r="N299" s="7" t="s">
        <v>91</v>
      </c>
    </row>
    <row r="300" spans="1:18" x14ac:dyDescent="0.25">
      <c r="A300" s="41" t="s">
        <v>563</v>
      </c>
      <c r="B300" s="1">
        <v>1</v>
      </c>
      <c r="C300" s="8">
        <v>46051</v>
      </c>
      <c r="D300" s="1" t="s">
        <v>564</v>
      </c>
      <c r="E300" s="7" t="s">
        <v>16</v>
      </c>
      <c r="F300" s="1" t="s">
        <v>23</v>
      </c>
      <c r="G300" s="9" t="s">
        <v>63</v>
      </c>
      <c r="H300" s="7" t="s">
        <v>74</v>
      </c>
      <c r="I300" s="18" t="s">
        <v>565</v>
      </c>
      <c r="K300" s="7" t="s">
        <v>17</v>
      </c>
      <c r="L300" s="7" t="s">
        <v>55</v>
      </c>
      <c r="M300" s="34">
        <v>46063</v>
      </c>
      <c r="N300" s="7" t="s">
        <v>91</v>
      </c>
    </row>
    <row r="301" spans="1:18" x14ac:dyDescent="0.25">
      <c r="A301" s="41" t="s">
        <v>567</v>
      </c>
      <c r="B301" s="1">
        <v>2</v>
      </c>
      <c r="C301" s="8">
        <v>46051</v>
      </c>
      <c r="D301" s="1" t="s">
        <v>568</v>
      </c>
      <c r="E301" s="7" t="s">
        <v>20</v>
      </c>
      <c r="F301" s="1" t="s">
        <v>23</v>
      </c>
      <c r="G301" s="9" t="s">
        <v>35</v>
      </c>
      <c r="H301" s="7" t="s">
        <v>74</v>
      </c>
      <c r="I301" s="18">
        <v>15001001</v>
      </c>
      <c r="J301" s="10">
        <v>1249895.56</v>
      </c>
      <c r="K301" s="7" t="s">
        <v>12</v>
      </c>
      <c r="L301" s="7" t="s">
        <v>53</v>
      </c>
      <c r="M301" s="34">
        <v>46052</v>
      </c>
      <c r="N301" s="7" t="s">
        <v>41</v>
      </c>
    </row>
    <row r="302" spans="1:18" x14ac:dyDescent="0.25">
      <c r="A302" s="41" t="s">
        <v>569</v>
      </c>
      <c r="B302" s="1">
        <v>1</v>
      </c>
      <c r="C302" s="8">
        <v>46051</v>
      </c>
      <c r="D302" s="1" t="s">
        <v>570</v>
      </c>
      <c r="E302" s="7" t="s">
        <v>13</v>
      </c>
      <c r="F302" s="1" t="s">
        <v>23</v>
      </c>
      <c r="G302" s="9" t="s">
        <v>35</v>
      </c>
      <c r="H302" s="7">
        <v>73460699</v>
      </c>
      <c r="I302" s="18">
        <v>15001002</v>
      </c>
      <c r="J302" s="10">
        <v>82613.679999999993</v>
      </c>
      <c r="K302" s="7" t="s">
        <v>13</v>
      </c>
      <c r="L302" s="7" t="s">
        <v>54</v>
      </c>
      <c r="M302" s="34">
        <v>46055</v>
      </c>
      <c r="N302" s="7" t="s">
        <v>41</v>
      </c>
    </row>
    <row r="303" spans="1:18" x14ac:dyDescent="0.25">
      <c r="A303" s="41" t="s">
        <v>569</v>
      </c>
      <c r="B303" s="1">
        <v>2</v>
      </c>
      <c r="C303" s="8">
        <v>46056</v>
      </c>
      <c r="D303" s="1" t="s">
        <v>571</v>
      </c>
      <c r="E303" s="7" t="s">
        <v>13</v>
      </c>
      <c r="F303" s="1" t="s">
        <v>23</v>
      </c>
      <c r="G303" s="9" t="s">
        <v>35</v>
      </c>
      <c r="H303" s="7">
        <v>73643521</v>
      </c>
      <c r="I303" s="18">
        <v>16000000</v>
      </c>
      <c r="J303" s="10">
        <v>507.99</v>
      </c>
      <c r="K303" s="7" t="s">
        <v>13</v>
      </c>
      <c r="L303" s="7" t="s">
        <v>54</v>
      </c>
      <c r="M303" s="34">
        <v>46055</v>
      </c>
      <c r="N303" s="7" t="s">
        <v>41</v>
      </c>
      <c r="R303" s="7" t="s">
        <v>69</v>
      </c>
    </row>
    <row r="304" spans="1:18" x14ac:dyDescent="0.25">
      <c r="A304" s="41" t="s">
        <v>265</v>
      </c>
      <c r="B304" s="1">
        <v>1</v>
      </c>
      <c r="C304" s="8">
        <v>46051</v>
      </c>
      <c r="D304" s="1" t="s">
        <v>572</v>
      </c>
      <c r="E304" s="7" t="s">
        <v>13</v>
      </c>
      <c r="F304" s="1" t="s">
        <v>23</v>
      </c>
      <c r="G304" s="9" t="s">
        <v>35</v>
      </c>
      <c r="H304" s="7">
        <v>178857</v>
      </c>
      <c r="I304" s="18">
        <v>26010000</v>
      </c>
      <c r="J304" s="10">
        <v>14734</v>
      </c>
      <c r="K304" s="7" t="s">
        <v>13</v>
      </c>
      <c r="L304" s="7" t="s">
        <v>54</v>
      </c>
      <c r="M304" s="34">
        <v>46055</v>
      </c>
      <c r="N304" s="7" t="s">
        <v>41</v>
      </c>
    </row>
    <row r="305" spans="1:14" x14ac:dyDescent="0.25">
      <c r="A305" s="41" t="s">
        <v>265</v>
      </c>
      <c r="B305" s="1">
        <v>2</v>
      </c>
      <c r="C305" s="8">
        <v>46056</v>
      </c>
      <c r="D305" s="1" t="s">
        <v>573</v>
      </c>
      <c r="E305" s="7" t="s">
        <v>13</v>
      </c>
      <c r="F305" s="1" t="s">
        <v>24</v>
      </c>
      <c r="G305" s="9" t="s">
        <v>35</v>
      </c>
      <c r="H305" s="7">
        <v>178858</v>
      </c>
      <c r="I305" s="18">
        <v>15001002</v>
      </c>
      <c r="J305" s="10">
        <v>1805.5</v>
      </c>
      <c r="K305" s="7" t="s">
        <v>13</v>
      </c>
      <c r="L305" s="7" t="s">
        <v>54</v>
      </c>
      <c r="M305" s="34">
        <v>46056</v>
      </c>
      <c r="N305" s="7" t="s">
        <v>41</v>
      </c>
    </row>
    <row r="306" spans="1:14" x14ac:dyDescent="0.25">
      <c r="A306" s="41" t="s">
        <v>574</v>
      </c>
      <c r="B306" s="1">
        <v>1</v>
      </c>
      <c r="C306" s="8">
        <v>46055</v>
      </c>
      <c r="D306" s="1" t="s">
        <v>575</v>
      </c>
      <c r="E306" s="7" t="s">
        <v>20</v>
      </c>
      <c r="F306" s="1" t="s">
        <v>24</v>
      </c>
      <c r="G306" s="9" t="s">
        <v>35</v>
      </c>
      <c r="H306" s="7">
        <v>59</v>
      </c>
      <c r="I306" s="18">
        <v>17080000</v>
      </c>
      <c r="J306" s="10">
        <v>143198</v>
      </c>
      <c r="K306" s="7" t="s">
        <v>12</v>
      </c>
      <c r="L306" s="7" t="s">
        <v>53</v>
      </c>
      <c r="M306" s="34">
        <v>46055</v>
      </c>
      <c r="N306" s="7" t="s">
        <v>41</v>
      </c>
    </row>
    <row r="307" spans="1:14" x14ac:dyDescent="0.25">
      <c r="A307" s="41" t="s">
        <v>577</v>
      </c>
      <c r="B307" s="1">
        <v>1</v>
      </c>
      <c r="C307" s="8">
        <v>46055</v>
      </c>
      <c r="D307" s="1" t="s">
        <v>576</v>
      </c>
      <c r="E307" s="7" t="s">
        <v>14</v>
      </c>
      <c r="F307" s="1" t="s">
        <v>24</v>
      </c>
      <c r="G307" s="9" t="s">
        <v>35</v>
      </c>
      <c r="H307" s="7">
        <v>42216</v>
      </c>
      <c r="I307" s="18">
        <v>15000000</v>
      </c>
      <c r="J307" s="10">
        <v>42</v>
      </c>
      <c r="K307" s="7" t="s">
        <v>12</v>
      </c>
      <c r="L307" s="7" t="s">
        <v>53</v>
      </c>
      <c r="M307" s="34">
        <v>46055</v>
      </c>
      <c r="N307" s="7" t="s">
        <v>41</v>
      </c>
    </row>
    <row r="308" spans="1:14" x14ac:dyDescent="0.25">
      <c r="A308" s="41" t="s">
        <v>247</v>
      </c>
      <c r="B308" s="1">
        <v>2</v>
      </c>
      <c r="C308" s="8">
        <v>46055</v>
      </c>
      <c r="D308" s="1" t="s">
        <v>578</v>
      </c>
      <c r="E308" s="7" t="s">
        <v>13</v>
      </c>
      <c r="F308" s="1" t="s">
        <v>24</v>
      </c>
      <c r="G308" s="9" t="s">
        <v>35</v>
      </c>
      <c r="H308" s="7">
        <v>2106462</v>
      </c>
      <c r="I308" s="18">
        <v>16000000</v>
      </c>
      <c r="J308" s="10">
        <v>4596</v>
      </c>
      <c r="K308" s="7" t="s">
        <v>13</v>
      </c>
      <c r="L308" s="7" t="s">
        <v>54</v>
      </c>
      <c r="M308" s="34">
        <v>46055</v>
      </c>
      <c r="N308" s="7" t="s">
        <v>92</v>
      </c>
    </row>
    <row r="309" spans="1:14" x14ac:dyDescent="0.25">
      <c r="A309" s="41" t="s">
        <v>569</v>
      </c>
      <c r="B309" s="1">
        <v>1</v>
      </c>
      <c r="C309" s="8">
        <v>46055</v>
      </c>
      <c r="D309" s="1" t="s">
        <v>580</v>
      </c>
      <c r="E309" s="7" t="s">
        <v>82</v>
      </c>
      <c r="F309" s="1" t="s">
        <v>24</v>
      </c>
      <c r="G309" s="9" t="s">
        <v>35</v>
      </c>
      <c r="H309" s="7" t="s">
        <v>581</v>
      </c>
      <c r="I309" s="18">
        <v>15000000</v>
      </c>
      <c r="J309" s="10">
        <v>1535.18</v>
      </c>
      <c r="K309" s="7" t="s">
        <v>12</v>
      </c>
      <c r="L309" s="7" t="s">
        <v>53</v>
      </c>
      <c r="M309" s="34">
        <v>46056</v>
      </c>
      <c r="N309" s="7" t="s">
        <v>41</v>
      </c>
    </row>
    <row r="310" spans="1:14" x14ac:dyDescent="0.25">
      <c r="A310" s="41" t="s">
        <v>569</v>
      </c>
      <c r="B310" s="1">
        <v>1</v>
      </c>
      <c r="C310" s="8">
        <v>46055</v>
      </c>
      <c r="D310" s="1" t="s">
        <v>582</v>
      </c>
      <c r="E310" s="7" t="s">
        <v>14</v>
      </c>
      <c r="F310" s="1" t="s">
        <v>24</v>
      </c>
      <c r="G310" s="9" t="s">
        <v>35</v>
      </c>
      <c r="H310" s="7" t="s">
        <v>581</v>
      </c>
      <c r="I310" s="18">
        <v>15000000</v>
      </c>
      <c r="J310" s="10">
        <v>23810.27</v>
      </c>
      <c r="K310" s="7" t="s">
        <v>12</v>
      </c>
      <c r="L310" s="7" t="s">
        <v>53</v>
      </c>
      <c r="M310" s="34">
        <v>46056</v>
      </c>
      <c r="N310" s="7" t="s">
        <v>41</v>
      </c>
    </row>
    <row r="311" spans="1:14" x14ac:dyDescent="0.25">
      <c r="A311" s="41" t="s">
        <v>181</v>
      </c>
      <c r="B311" s="1">
        <v>2</v>
      </c>
      <c r="C311" s="8">
        <v>46056</v>
      </c>
      <c r="D311" s="1" t="s">
        <v>583</v>
      </c>
      <c r="E311" s="7" t="s">
        <v>14</v>
      </c>
      <c r="F311" s="1" t="s">
        <v>24</v>
      </c>
      <c r="G311" s="9" t="s">
        <v>35</v>
      </c>
      <c r="H311" s="7">
        <v>933602384</v>
      </c>
      <c r="I311" s="18">
        <v>15000000</v>
      </c>
      <c r="J311" s="10">
        <v>62.58</v>
      </c>
      <c r="K311" s="7" t="s">
        <v>12</v>
      </c>
      <c r="L311" s="7" t="s">
        <v>53</v>
      </c>
      <c r="M311" s="34">
        <v>46056</v>
      </c>
      <c r="N311" s="7" t="s">
        <v>41</v>
      </c>
    </row>
    <row r="312" spans="1:14" x14ac:dyDescent="0.25">
      <c r="A312" s="41" t="s">
        <v>569</v>
      </c>
      <c r="B312" s="1">
        <v>1</v>
      </c>
      <c r="C312" s="8">
        <v>46055</v>
      </c>
      <c r="D312" s="1" t="s">
        <v>584</v>
      </c>
      <c r="E312" s="7" t="s">
        <v>83</v>
      </c>
      <c r="F312" s="1" t="s">
        <v>24</v>
      </c>
      <c r="G312" s="9" t="s">
        <v>35</v>
      </c>
      <c r="H312" s="7" t="s">
        <v>581</v>
      </c>
      <c r="I312" s="18">
        <v>15000000</v>
      </c>
      <c r="J312" s="10">
        <v>4460.6499999999996</v>
      </c>
      <c r="K312" s="7" t="s">
        <v>12</v>
      </c>
      <c r="L312" s="7" t="s">
        <v>53</v>
      </c>
      <c r="M312" s="34">
        <v>46056</v>
      </c>
      <c r="N312" s="7" t="s">
        <v>41</v>
      </c>
    </row>
    <row r="313" spans="1:14" x14ac:dyDescent="0.25">
      <c r="A313" s="41" t="s">
        <v>588</v>
      </c>
      <c r="B313" s="1">
        <v>2</v>
      </c>
      <c r="C313" s="8">
        <v>46057</v>
      </c>
      <c r="D313" s="1" t="s">
        <v>589</v>
      </c>
      <c r="E313" s="7" t="s">
        <v>13</v>
      </c>
      <c r="F313" s="1" t="s">
        <v>24</v>
      </c>
      <c r="G313" s="9" t="s">
        <v>35</v>
      </c>
      <c r="H313" s="7">
        <v>1465</v>
      </c>
      <c r="I313" s="18">
        <v>15001002</v>
      </c>
      <c r="J313" s="10">
        <v>4232</v>
      </c>
      <c r="K313" s="7" t="s">
        <v>13</v>
      </c>
      <c r="L313" s="7" t="s">
        <v>54</v>
      </c>
      <c r="M313" s="34">
        <v>46058</v>
      </c>
      <c r="N313" s="7" t="s">
        <v>52</v>
      </c>
    </row>
    <row r="314" spans="1:14" x14ac:dyDescent="0.25">
      <c r="A314" s="41" t="s">
        <v>590</v>
      </c>
      <c r="B314" s="1">
        <v>1</v>
      </c>
      <c r="C314" s="8">
        <v>46056</v>
      </c>
      <c r="D314" s="1" t="s">
        <v>591</v>
      </c>
      <c r="E314" s="7" t="s">
        <v>14</v>
      </c>
      <c r="F314" s="1" t="s">
        <v>24</v>
      </c>
      <c r="G314" s="9" t="s">
        <v>35</v>
      </c>
      <c r="H314" s="7">
        <v>115586646</v>
      </c>
      <c r="I314" s="18">
        <v>15000000</v>
      </c>
      <c r="J314" s="10">
        <v>341.36</v>
      </c>
      <c r="K314" s="7" t="s">
        <v>12</v>
      </c>
      <c r="L314" s="7" t="s">
        <v>53</v>
      </c>
      <c r="M314" s="34">
        <v>46056</v>
      </c>
      <c r="N314" s="7" t="s">
        <v>92</v>
      </c>
    </row>
    <row r="315" spans="1:14" x14ac:dyDescent="0.25">
      <c r="A315" s="41" t="s">
        <v>247</v>
      </c>
      <c r="B315" s="1">
        <v>1</v>
      </c>
      <c r="C315" s="8">
        <v>46056</v>
      </c>
      <c r="D315" s="1" t="s">
        <v>592</v>
      </c>
      <c r="E315" s="7" t="s">
        <v>13</v>
      </c>
      <c r="F315" s="1" t="s">
        <v>24</v>
      </c>
      <c r="G315" s="9" t="s">
        <v>35</v>
      </c>
      <c r="H315" s="7">
        <v>2108741</v>
      </c>
      <c r="I315" s="18">
        <v>16210000</v>
      </c>
      <c r="J315" s="10">
        <v>1100</v>
      </c>
      <c r="K315" s="7" t="s">
        <v>13</v>
      </c>
      <c r="L315" s="7" t="s">
        <v>54</v>
      </c>
      <c r="M315" s="34">
        <v>46056</v>
      </c>
      <c r="N315" s="7" t="s">
        <v>92</v>
      </c>
    </row>
    <row r="316" spans="1:14" x14ac:dyDescent="0.25">
      <c r="A316" s="41" t="s">
        <v>227</v>
      </c>
      <c r="B316" s="1">
        <v>3</v>
      </c>
      <c r="C316" s="8">
        <v>46058</v>
      </c>
      <c r="D316" s="1" t="s">
        <v>593</v>
      </c>
      <c r="E316" s="7" t="s">
        <v>14</v>
      </c>
      <c r="F316" s="1" t="s">
        <v>24</v>
      </c>
      <c r="G316" s="9" t="s">
        <v>35</v>
      </c>
      <c r="H316" s="7">
        <v>1895</v>
      </c>
      <c r="I316" s="18">
        <v>15000000</v>
      </c>
      <c r="J316" s="10">
        <v>1653</v>
      </c>
      <c r="K316" s="7" t="s">
        <v>12</v>
      </c>
      <c r="L316" s="7" t="s">
        <v>53</v>
      </c>
      <c r="M316" s="34">
        <v>46059</v>
      </c>
      <c r="N316" s="7" t="s">
        <v>91</v>
      </c>
    </row>
    <row r="317" spans="1:14" x14ac:dyDescent="0.25">
      <c r="A317" s="41" t="s">
        <v>594</v>
      </c>
      <c r="B317" s="1">
        <v>1</v>
      </c>
      <c r="C317" s="8">
        <v>46056</v>
      </c>
      <c r="D317" s="1" t="s">
        <v>595</v>
      </c>
      <c r="E317" s="7" t="s">
        <v>16</v>
      </c>
      <c r="F317" s="1" t="s">
        <v>24</v>
      </c>
      <c r="G317" s="9" t="s">
        <v>35</v>
      </c>
      <c r="H317" s="7" t="s">
        <v>74</v>
      </c>
      <c r="I317" s="18">
        <v>15000000</v>
      </c>
      <c r="J317" s="10">
        <v>108704.96000000001</v>
      </c>
      <c r="K317" s="7" t="s">
        <v>12</v>
      </c>
      <c r="L317" s="7" t="s">
        <v>53</v>
      </c>
      <c r="M317" s="34">
        <v>46057</v>
      </c>
      <c r="N317" s="7" t="s">
        <v>91</v>
      </c>
    </row>
    <row r="318" spans="1:14" x14ac:dyDescent="0.25">
      <c r="A318" s="41" t="s">
        <v>265</v>
      </c>
      <c r="B318" s="1">
        <v>1</v>
      </c>
      <c r="C318" s="8">
        <v>46056</v>
      </c>
      <c r="D318" s="1" t="s">
        <v>596</v>
      </c>
      <c r="E318" s="7" t="s">
        <v>13</v>
      </c>
      <c r="F318" s="1" t="s">
        <v>24</v>
      </c>
      <c r="G318" s="9" t="s">
        <v>35</v>
      </c>
      <c r="H318" s="7">
        <v>178942</v>
      </c>
      <c r="I318" s="18">
        <v>16000000</v>
      </c>
      <c r="J318" s="10">
        <v>1500</v>
      </c>
      <c r="K318" s="7" t="s">
        <v>13</v>
      </c>
      <c r="L318" s="7" t="s">
        <v>54</v>
      </c>
      <c r="M318" s="34">
        <v>46057</v>
      </c>
      <c r="N318" s="7" t="s">
        <v>91</v>
      </c>
    </row>
    <row r="319" spans="1:14" x14ac:dyDescent="0.25">
      <c r="A319" s="41" t="s">
        <v>416</v>
      </c>
      <c r="B319" s="1">
        <v>2</v>
      </c>
      <c r="C319" s="8">
        <v>46057</v>
      </c>
      <c r="D319" s="1" t="s">
        <v>597</v>
      </c>
      <c r="E319" s="7" t="s">
        <v>14</v>
      </c>
      <c r="F319" s="1" t="s">
        <v>24</v>
      </c>
      <c r="G319" s="9" t="s">
        <v>35</v>
      </c>
      <c r="H319" s="7" t="s">
        <v>74</v>
      </c>
      <c r="I319" s="18">
        <v>15000000</v>
      </c>
      <c r="J319" s="10">
        <v>3340</v>
      </c>
      <c r="K319" s="7" t="s">
        <v>12</v>
      </c>
      <c r="L319" s="7" t="s">
        <v>53</v>
      </c>
      <c r="M319" s="34">
        <v>46057</v>
      </c>
      <c r="N319" s="7" t="s">
        <v>91</v>
      </c>
    </row>
    <row r="320" spans="1:14" x14ac:dyDescent="0.25">
      <c r="A320" s="41" t="s">
        <v>598</v>
      </c>
      <c r="B320" s="1">
        <v>1</v>
      </c>
      <c r="C320" s="8">
        <v>46057</v>
      </c>
      <c r="D320" s="1" t="s">
        <v>599</v>
      </c>
      <c r="E320" s="7" t="s">
        <v>13</v>
      </c>
      <c r="F320" s="1" t="s">
        <v>24</v>
      </c>
      <c r="G320" s="9" t="s">
        <v>36</v>
      </c>
      <c r="H320" s="7" t="s">
        <v>74</v>
      </c>
      <c r="I320" s="18" t="s">
        <v>0</v>
      </c>
      <c r="J320" s="10" t="s">
        <v>61</v>
      </c>
      <c r="K320" s="7" t="s">
        <v>22</v>
      </c>
      <c r="L320" s="7" t="s">
        <v>55</v>
      </c>
      <c r="M320" s="34">
        <v>46059</v>
      </c>
      <c r="N320" s="7" t="s">
        <v>91</v>
      </c>
    </row>
    <row r="321" spans="1:15" x14ac:dyDescent="0.25">
      <c r="A321" s="41" t="s">
        <v>601</v>
      </c>
      <c r="B321" s="1">
        <v>1</v>
      </c>
      <c r="C321" s="8">
        <v>46057</v>
      </c>
      <c r="D321" s="1" t="s">
        <v>600</v>
      </c>
      <c r="E321" s="7" t="s">
        <v>20</v>
      </c>
      <c r="F321" s="1" t="s">
        <v>24</v>
      </c>
      <c r="G321" s="9" t="s">
        <v>35</v>
      </c>
      <c r="H321" s="7">
        <v>341</v>
      </c>
      <c r="I321" s="18">
        <v>17040000</v>
      </c>
      <c r="J321" s="10">
        <v>49284.49</v>
      </c>
      <c r="K321" s="7" t="s">
        <v>12</v>
      </c>
      <c r="L321" s="7" t="s">
        <v>53</v>
      </c>
      <c r="M321" s="34">
        <v>46057</v>
      </c>
      <c r="N321" s="7" t="s">
        <v>91</v>
      </c>
    </row>
    <row r="322" spans="1:15" x14ac:dyDescent="0.25">
      <c r="A322" s="41" t="s">
        <v>199</v>
      </c>
      <c r="B322" s="1">
        <v>2</v>
      </c>
      <c r="C322" s="8">
        <v>46059</v>
      </c>
      <c r="D322" s="1" t="s">
        <v>602</v>
      </c>
      <c r="E322" s="7" t="s">
        <v>2</v>
      </c>
      <c r="F322" s="1" t="s">
        <v>24</v>
      </c>
      <c r="G322" s="9" t="s">
        <v>35</v>
      </c>
      <c r="H322" s="7">
        <v>466</v>
      </c>
      <c r="I322" s="18">
        <v>15001001</v>
      </c>
      <c r="J322" s="10">
        <v>6000</v>
      </c>
      <c r="K322" s="7" t="s">
        <v>12</v>
      </c>
      <c r="L322" s="7" t="s">
        <v>53</v>
      </c>
      <c r="M322" s="34">
        <v>46062</v>
      </c>
      <c r="N322" s="7" t="s">
        <v>41</v>
      </c>
    </row>
    <row r="323" spans="1:15" x14ac:dyDescent="0.25">
      <c r="A323" s="41" t="s">
        <v>603</v>
      </c>
      <c r="B323" s="1">
        <v>1</v>
      </c>
      <c r="C323" s="8">
        <v>46057</v>
      </c>
      <c r="D323" s="1" t="s">
        <v>604</v>
      </c>
      <c r="E323" s="7" t="s">
        <v>14</v>
      </c>
      <c r="F323" s="1" t="s">
        <v>24</v>
      </c>
      <c r="G323" s="9" t="s">
        <v>35</v>
      </c>
      <c r="H323" s="7">
        <v>271</v>
      </c>
      <c r="I323" s="18">
        <v>15000000</v>
      </c>
      <c r="J323" s="10">
        <v>12399.43</v>
      </c>
      <c r="K323" s="7" t="s">
        <v>12</v>
      </c>
      <c r="L323" s="7" t="s">
        <v>53</v>
      </c>
      <c r="M323" s="34">
        <v>46057</v>
      </c>
      <c r="N323" s="7" t="s">
        <v>41</v>
      </c>
    </row>
    <row r="324" spans="1:15" x14ac:dyDescent="0.25">
      <c r="A324" s="41" t="s">
        <v>210</v>
      </c>
      <c r="B324" s="1">
        <v>3</v>
      </c>
      <c r="C324" s="8">
        <v>46076</v>
      </c>
      <c r="D324" s="1" t="s">
        <v>605</v>
      </c>
      <c r="E324" s="7" t="s">
        <v>11</v>
      </c>
      <c r="F324" s="1" t="s">
        <v>24</v>
      </c>
      <c r="G324" s="9" t="s">
        <v>35</v>
      </c>
      <c r="H324" s="7">
        <v>880750</v>
      </c>
      <c r="I324" s="18">
        <v>15000000</v>
      </c>
      <c r="J324" s="10">
        <v>1288.72</v>
      </c>
      <c r="K324" s="7" t="s">
        <v>12</v>
      </c>
      <c r="L324" s="7" t="s">
        <v>53</v>
      </c>
      <c r="M324" s="34">
        <v>46077</v>
      </c>
      <c r="N324" s="7" t="s">
        <v>41</v>
      </c>
    </row>
    <row r="325" spans="1:15" x14ac:dyDescent="0.25">
      <c r="A325" s="41" t="s">
        <v>606</v>
      </c>
      <c r="B325" s="1">
        <v>2</v>
      </c>
      <c r="C325" s="8">
        <v>46058</v>
      </c>
      <c r="D325" s="1" t="s">
        <v>607</v>
      </c>
      <c r="E325" s="7" t="s">
        <v>14</v>
      </c>
      <c r="F325" s="1" t="s">
        <v>24</v>
      </c>
      <c r="G325" s="9" t="s">
        <v>35</v>
      </c>
      <c r="H325" s="7">
        <v>104</v>
      </c>
      <c r="I325" s="18">
        <v>15000000</v>
      </c>
      <c r="J325" s="10">
        <v>1869</v>
      </c>
      <c r="K325" s="7" t="s">
        <v>12</v>
      </c>
      <c r="L325" s="7" t="s">
        <v>53</v>
      </c>
      <c r="M325" s="34">
        <v>46058</v>
      </c>
      <c r="N325" s="7" t="s">
        <v>41</v>
      </c>
    </row>
    <row r="326" spans="1:15" x14ac:dyDescent="0.25">
      <c r="A326" s="41" t="s">
        <v>609</v>
      </c>
      <c r="B326" s="1">
        <v>2</v>
      </c>
      <c r="C326" s="8">
        <v>46083</v>
      </c>
      <c r="D326" s="1" t="s">
        <v>608</v>
      </c>
      <c r="E326" s="7" t="s">
        <v>2</v>
      </c>
      <c r="F326" s="1" t="s">
        <v>24</v>
      </c>
      <c r="G326" s="9" t="s">
        <v>35</v>
      </c>
      <c r="H326" s="7">
        <v>866</v>
      </c>
      <c r="I326" s="18">
        <v>15001001</v>
      </c>
      <c r="J326" s="10">
        <v>9168</v>
      </c>
      <c r="K326" s="7" t="s">
        <v>12</v>
      </c>
      <c r="L326" s="7" t="s">
        <v>53</v>
      </c>
      <c r="M326" s="34">
        <v>46084</v>
      </c>
      <c r="N326" s="7" t="s">
        <v>91</v>
      </c>
    </row>
    <row r="327" spans="1:15" x14ac:dyDescent="0.25">
      <c r="A327" s="41" t="s">
        <v>435</v>
      </c>
      <c r="B327" s="1">
        <v>1</v>
      </c>
      <c r="C327" s="8">
        <v>46057</v>
      </c>
      <c r="D327" s="1" t="s">
        <v>610</v>
      </c>
      <c r="E327" s="7" t="s">
        <v>2</v>
      </c>
      <c r="F327" s="1" t="s">
        <v>24</v>
      </c>
      <c r="G327" s="9" t="s">
        <v>35</v>
      </c>
      <c r="H327" s="7">
        <v>2720603</v>
      </c>
      <c r="I327" s="18">
        <v>15001001</v>
      </c>
      <c r="J327" s="10">
        <v>4927.1000000000004</v>
      </c>
      <c r="K327" s="7" t="s">
        <v>12</v>
      </c>
      <c r="L327" s="7" t="s">
        <v>53</v>
      </c>
      <c r="M327" s="34">
        <v>46062</v>
      </c>
      <c r="N327" s="7" t="s">
        <v>91</v>
      </c>
    </row>
    <row r="328" spans="1:15" x14ac:dyDescent="0.25">
      <c r="A328" s="41" t="s">
        <v>901</v>
      </c>
      <c r="B328" s="1">
        <v>2</v>
      </c>
      <c r="C328" s="8">
        <v>46093</v>
      </c>
      <c r="D328" s="1" t="s">
        <v>611</v>
      </c>
      <c r="E328" s="7" t="s">
        <v>13</v>
      </c>
      <c r="F328" s="1" t="s">
        <v>24</v>
      </c>
      <c r="G328" s="9" t="s">
        <v>37</v>
      </c>
      <c r="H328" s="7" t="s">
        <v>74</v>
      </c>
      <c r="I328" s="18" t="s">
        <v>0</v>
      </c>
      <c r="J328" s="10" t="s">
        <v>61</v>
      </c>
      <c r="K328" s="7" t="s">
        <v>22</v>
      </c>
      <c r="L328" s="7" t="s">
        <v>40</v>
      </c>
      <c r="M328" s="34">
        <v>46097</v>
      </c>
      <c r="N328" s="7" t="s">
        <v>91</v>
      </c>
    </row>
    <row r="329" spans="1:15" x14ac:dyDescent="0.25">
      <c r="A329" s="41" t="s">
        <v>210</v>
      </c>
      <c r="B329" s="1">
        <v>1</v>
      </c>
      <c r="C329" s="8">
        <v>46057</v>
      </c>
      <c r="D329" s="1" t="s">
        <v>734</v>
      </c>
      <c r="E329" s="7" t="s">
        <v>2</v>
      </c>
      <c r="F329" s="1" t="s">
        <v>24</v>
      </c>
      <c r="G329" s="9" t="s">
        <v>35</v>
      </c>
      <c r="H329" s="7">
        <v>897473</v>
      </c>
      <c r="I329" s="18">
        <v>15001001</v>
      </c>
      <c r="J329" s="10">
        <v>722.8</v>
      </c>
      <c r="K329" s="7" t="s">
        <v>12</v>
      </c>
      <c r="L329" s="7" t="s">
        <v>53</v>
      </c>
      <c r="M329" s="34">
        <v>46077</v>
      </c>
      <c r="N329" s="7" t="s">
        <v>45</v>
      </c>
      <c r="O329" s="7" t="s">
        <v>735</v>
      </c>
    </row>
    <row r="330" spans="1:15" x14ac:dyDescent="0.25">
      <c r="A330" s="41" t="s">
        <v>393</v>
      </c>
      <c r="B330" s="1">
        <v>1</v>
      </c>
      <c r="C330" s="8">
        <v>46057</v>
      </c>
      <c r="D330" s="1" t="s">
        <v>612</v>
      </c>
      <c r="E330" s="7" t="s">
        <v>13</v>
      </c>
      <c r="F330" s="1" t="s">
        <v>24</v>
      </c>
      <c r="G330" s="9" t="s">
        <v>35</v>
      </c>
      <c r="H330" s="7" t="s">
        <v>74</v>
      </c>
      <c r="I330" s="18">
        <v>16210000</v>
      </c>
      <c r="J330" s="10">
        <v>518.78</v>
      </c>
      <c r="K330" s="7" t="s">
        <v>13</v>
      </c>
      <c r="L330" s="7" t="s">
        <v>54</v>
      </c>
      <c r="M330" s="34">
        <v>46059</v>
      </c>
      <c r="N330" s="7" t="s">
        <v>52</v>
      </c>
    </row>
    <row r="331" spans="1:15" x14ac:dyDescent="0.25">
      <c r="A331" s="41" t="s">
        <v>613</v>
      </c>
      <c r="B331" s="1">
        <v>1</v>
      </c>
      <c r="C331" s="8">
        <v>46057</v>
      </c>
      <c r="D331" s="1" t="s">
        <v>614</v>
      </c>
      <c r="E331" s="7" t="s">
        <v>11</v>
      </c>
      <c r="F331" s="1" t="s">
        <v>24</v>
      </c>
      <c r="G331" s="9" t="s">
        <v>36</v>
      </c>
      <c r="H331" s="7" t="s">
        <v>74</v>
      </c>
      <c r="I331" s="18" t="s">
        <v>0</v>
      </c>
      <c r="J331" s="10">
        <v>160000</v>
      </c>
      <c r="K331" s="7" t="s">
        <v>22</v>
      </c>
      <c r="L331" s="7" t="s">
        <v>55</v>
      </c>
      <c r="M331" s="34">
        <v>46058</v>
      </c>
      <c r="N331" s="7" t="s">
        <v>41</v>
      </c>
    </row>
    <row r="332" spans="1:15" x14ac:dyDescent="0.25">
      <c r="A332" s="41" t="s">
        <v>219</v>
      </c>
      <c r="B332" s="1">
        <v>2</v>
      </c>
      <c r="C332" s="8">
        <v>46058</v>
      </c>
      <c r="D332" s="1" t="s">
        <v>627</v>
      </c>
      <c r="E332" s="7" t="s">
        <v>14</v>
      </c>
      <c r="F332" s="1" t="s">
        <v>24</v>
      </c>
      <c r="G332" s="9" t="s">
        <v>35</v>
      </c>
      <c r="H332" s="7" t="s">
        <v>74</v>
      </c>
      <c r="I332" s="18">
        <v>15000000</v>
      </c>
      <c r="J332" s="10">
        <v>472478.4</v>
      </c>
      <c r="K332" s="7" t="s">
        <v>12</v>
      </c>
      <c r="L332" s="7" t="s">
        <v>53</v>
      </c>
      <c r="M332" s="34">
        <v>46058</v>
      </c>
      <c r="N332" s="7" t="s">
        <v>41</v>
      </c>
      <c r="O332" s="7" t="s">
        <v>628</v>
      </c>
    </row>
    <row r="333" spans="1:15" x14ac:dyDescent="0.25">
      <c r="A333" s="41" t="s">
        <v>201</v>
      </c>
      <c r="B333" s="1">
        <v>1</v>
      </c>
      <c r="C333" s="8">
        <v>46058</v>
      </c>
      <c r="D333" s="1" t="s">
        <v>624</v>
      </c>
      <c r="E333" s="7" t="s">
        <v>13</v>
      </c>
      <c r="F333" s="1" t="s">
        <v>24</v>
      </c>
      <c r="G333" s="9" t="s">
        <v>35</v>
      </c>
      <c r="H333" s="7">
        <v>88</v>
      </c>
      <c r="I333" s="18">
        <v>16000000</v>
      </c>
      <c r="J333" s="10">
        <v>2636.34</v>
      </c>
      <c r="K333" s="7" t="s">
        <v>13</v>
      </c>
      <c r="L333" s="7" t="s">
        <v>54</v>
      </c>
      <c r="M333" s="34">
        <v>46058</v>
      </c>
      <c r="N333" s="7" t="s">
        <v>52</v>
      </c>
    </row>
    <row r="334" spans="1:15" x14ac:dyDescent="0.25">
      <c r="A334" s="41" t="s">
        <v>616</v>
      </c>
      <c r="B334" s="1">
        <v>2</v>
      </c>
      <c r="C334" s="8">
        <v>46058</v>
      </c>
      <c r="D334" s="1" t="s">
        <v>617</v>
      </c>
      <c r="E334" s="7" t="s">
        <v>14</v>
      </c>
      <c r="F334" s="1" t="s">
        <v>24</v>
      </c>
      <c r="G334" s="9" t="s">
        <v>35</v>
      </c>
      <c r="H334" s="7">
        <v>1877</v>
      </c>
      <c r="I334" s="18">
        <v>15000000</v>
      </c>
      <c r="J334" s="10">
        <v>3900</v>
      </c>
      <c r="K334" s="7" t="s">
        <v>12</v>
      </c>
      <c r="L334" s="7" t="s">
        <v>53</v>
      </c>
      <c r="M334" s="34">
        <v>46058</v>
      </c>
      <c r="N334" s="7" t="s">
        <v>92</v>
      </c>
    </row>
    <row r="335" spans="1:15" x14ac:dyDescent="0.25">
      <c r="A335" s="41" t="s">
        <v>202</v>
      </c>
      <c r="B335" s="1">
        <v>1</v>
      </c>
      <c r="C335" s="8">
        <v>46058</v>
      </c>
      <c r="D335" s="1" t="s">
        <v>615</v>
      </c>
      <c r="E335" s="7" t="s">
        <v>13</v>
      </c>
      <c r="F335" s="1" t="s">
        <v>24</v>
      </c>
      <c r="G335" s="9" t="s">
        <v>35</v>
      </c>
      <c r="H335" s="7">
        <v>41</v>
      </c>
      <c r="I335" s="18">
        <v>16000000</v>
      </c>
      <c r="J335" s="10">
        <v>4358.08</v>
      </c>
      <c r="K335" s="7" t="s">
        <v>13</v>
      </c>
      <c r="L335" s="7" t="s">
        <v>54</v>
      </c>
      <c r="M335" s="34">
        <v>46058</v>
      </c>
      <c r="N335" s="7" t="s">
        <v>52</v>
      </c>
    </row>
    <row r="336" spans="1:15" x14ac:dyDescent="0.25">
      <c r="A336" s="41" t="s">
        <v>319</v>
      </c>
      <c r="B336" s="1">
        <v>2</v>
      </c>
      <c r="C336" s="8">
        <v>46063</v>
      </c>
      <c r="D336" s="1" t="s">
        <v>618</v>
      </c>
      <c r="E336" s="7" t="s">
        <v>13</v>
      </c>
      <c r="F336" s="1" t="s">
        <v>24</v>
      </c>
      <c r="G336" s="9" t="s">
        <v>35</v>
      </c>
      <c r="H336" s="7">
        <v>185</v>
      </c>
      <c r="I336" s="18">
        <v>16000000</v>
      </c>
      <c r="J336" s="10">
        <v>4222.1400000000003</v>
      </c>
      <c r="K336" s="7" t="s">
        <v>13</v>
      </c>
      <c r="L336" s="7" t="s">
        <v>54</v>
      </c>
      <c r="M336" s="34">
        <v>46063</v>
      </c>
      <c r="N336" s="7" t="s">
        <v>91</v>
      </c>
    </row>
    <row r="337" spans="1:14" x14ac:dyDescent="0.25">
      <c r="A337" s="41" t="s">
        <v>489</v>
      </c>
      <c r="B337" s="1">
        <v>1</v>
      </c>
      <c r="C337" s="8">
        <v>46058</v>
      </c>
      <c r="D337" s="1" t="s">
        <v>619</v>
      </c>
      <c r="E337" s="7" t="s">
        <v>14</v>
      </c>
      <c r="F337" s="1" t="s">
        <v>24</v>
      </c>
      <c r="G337" s="9" t="s">
        <v>35</v>
      </c>
      <c r="H337" s="7">
        <v>79253</v>
      </c>
      <c r="I337" s="18">
        <v>15000000</v>
      </c>
      <c r="J337" s="10">
        <v>1288.92</v>
      </c>
      <c r="K337" s="7" t="s">
        <v>12</v>
      </c>
      <c r="L337" s="7" t="s">
        <v>53</v>
      </c>
      <c r="M337" s="34">
        <v>46084</v>
      </c>
      <c r="N337" s="7" t="s">
        <v>46</v>
      </c>
    </row>
    <row r="338" spans="1:14" x14ac:dyDescent="0.25">
      <c r="A338" s="41" t="s">
        <v>621</v>
      </c>
      <c r="B338" s="1">
        <v>1</v>
      </c>
      <c r="C338" s="8">
        <v>46058</v>
      </c>
      <c r="D338" s="1" t="s">
        <v>620</v>
      </c>
      <c r="E338" s="7" t="s">
        <v>17</v>
      </c>
      <c r="F338" s="1" t="s">
        <v>24</v>
      </c>
      <c r="G338" s="9" t="s">
        <v>36</v>
      </c>
      <c r="H338" s="7" t="s">
        <v>74</v>
      </c>
      <c r="I338" s="18" t="s">
        <v>0</v>
      </c>
      <c r="J338" s="10" t="s">
        <v>61</v>
      </c>
      <c r="K338" s="7" t="s">
        <v>22</v>
      </c>
      <c r="L338" s="7" t="s">
        <v>40</v>
      </c>
      <c r="M338" s="34">
        <v>46064</v>
      </c>
      <c r="N338" s="7" t="s">
        <v>91</v>
      </c>
    </row>
    <row r="339" spans="1:14" x14ac:dyDescent="0.25">
      <c r="A339" s="41" t="s">
        <v>112</v>
      </c>
      <c r="B339" s="1">
        <v>1</v>
      </c>
      <c r="C339" s="8">
        <v>46058</v>
      </c>
      <c r="D339" s="1" t="s">
        <v>622</v>
      </c>
      <c r="E339" s="7" t="s">
        <v>13</v>
      </c>
      <c r="F339" s="1" t="s">
        <v>24</v>
      </c>
      <c r="G339" s="9" t="s">
        <v>35</v>
      </c>
      <c r="H339" s="7">
        <v>103</v>
      </c>
      <c r="I339" s="18">
        <v>15001002</v>
      </c>
      <c r="J339" s="10">
        <v>174400</v>
      </c>
      <c r="K339" s="7" t="s">
        <v>13</v>
      </c>
      <c r="L339" s="7" t="s">
        <v>54</v>
      </c>
      <c r="M339" s="34">
        <v>46059</v>
      </c>
      <c r="N339" s="7" t="s">
        <v>41</v>
      </c>
    </row>
    <row r="340" spans="1:14" x14ac:dyDescent="0.25">
      <c r="A340" s="41" t="s">
        <v>205</v>
      </c>
      <c r="B340" s="1">
        <v>1</v>
      </c>
      <c r="C340" s="8">
        <v>46058</v>
      </c>
      <c r="D340" s="1" t="s">
        <v>623</v>
      </c>
      <c r="E340" s="7" t="s">
        <v>13</v>
      </c>
      <c r="F340" s="1" t="s">
        <v>24</v>
      </c>
      <c r="G340" s="9" t="s">
        <v>35</v>
      </c>
      <c r="H340" s="7">
        <v>200</v>
      </c>
      <c r="I340" s="18">
        <v>15001002</v>
      </c>
      <c r="J340" s="10">
        <v>18780.68</v>
      </c>
      <c r="K340" s="7" t="s">
        <v>13</v>
      </c>
      <c r="L340" s="7" t="s">
        <v>54</v>
      </c>
      <c r="M340" s="34">
        <v>46059</v>
      </c>
      <c r="N340" s="7" t="s">
        <v>52</v>
      </c>
    </row>
    <row r="341" spans="1:14" x14ac:dyDescent="0.25">
      <c r="A341" s="41" t="s">
        <v>626</v>
      </c>
      <c r="B341" s="1">
        <v>2</v>
      </c>
      <c r="C341" s="8">
        <v>46062</v>
      </c>
      <c r="D341" s="1" t="s">
        <v>625</v>
      </c>
      <c r="E341" s="7" t="s">
        <v>14</v>
      </c>
      <c r="F341" s="1" t="s">
        <v>24</v>
      </c>
      <c r="G341" s="9" t="s">
        <v>35</v>
      </c>
      <c r="H341" s="7">
        <v>1422</v>
      </c>
      <c r="I341" s="18">
        <v>15000000</v>
      </c>
      <c r="J341" s="10">
        <v>173855.35999999999</v>
      </c>
      <c r="K341" s="7" t="s">
        <v>12</v>
      </c>
      <c r="L341" s="7" t="s">
        <v>53</v>
      </c>
      <c r="M341" s="34">
        <v>46062</v>
      </c>
      <c r="N341" s="7" t="s">
        <v>41</v>
      </c>
    </row>
    <row r="342" spans="1:14" x14ac:dyDescent="0.25">
      <c r="A342" s="41" t="s">
        <v>629</v>
      </c>
      <c r="B342" s="1">
        <v>2</v>
      </c>
      <c r="C342" s="8">
        <v>46063</v>
      </c>
      <c r="D342" s="1" t="s">
        <v>630</v>
      </c>
      <c r="E342" s="7" t="s">
        <v>2</v>
      </c>
      <c r="F342" s="1" t="s">
        <v>24</v>
      </c>
      <c r="G342" s="9" t="s">
        <v>35</v>
      </c>
      <c r="H342" s="7">
        <v>67</v>
      </c>
      <c r="I342" s="18">
        <v>15500000</v>
      </c>
      <c r="J342" s="10">
        <v>76110</v>
      </c>
      <c r="K342" s="7" t="s">
        <v>12</v>
      </c>
      <c r="L342" s="7" t="s">
        <v>53</v>
      </c>
      <c r="M342" s="34">
        <v>46063</v>
      </c>
      <c r="N342" s="7" t="s">
        <v>41</v>
      </c>
    </row>
    <row r="343" spans="1:14" x14ac:dyDescent="0.25">
      <c r="A343" s="41" t="s">
        <v>629</v>
      </c>
      <c r="B343" s="1">
        <v>2</v>
      </c>
      <c r="C343" s="8">
        <v>46063</v>
      </c>
      <c r="D343" s="1" t="s">
        <v>631</v>
      </c>
      <c r="E343" s="7" t="s">
        <v>2</v>
      </c>
      <c r="F343" s="1" t="s">
        <v>24</v>
      </c>
      <c r="G343" s="9" t="s">
        <v>35</v>
      </c>
      <c r="H343" s="7">
        <v>68</v>
      </c>
      <c r="I343" s="18">
        <v>15500000</v>
      </c>
      <c r="J343" s="10">
        <v>49644.85</v>
      </c>
      <c r="K343" s="7" t="s">
        <v>12</v>
      </c>
      <c r="L343" s="7" t="s">
        <v>53</v>
      </c>
      <c r="M343" s="34">
        <v>46063</v>
      </c>
      <c r="N343" s="7" t="s">
        <v>41</v>
      </c>
    </row>
    <row r="344" spans="1:14" x14ac:dyDescent="0.25">
      <c r="A344" s="41" t="s">
        <v>632</v>
      </c>
      <c r="B344" s="1">
        <v>2</v>
      </c>
      <c r="C344" s="8">
        <v>46062</v>
      </c>
      <c r="D344" s="1" t="s">
        <v>633</v>
      </c>
      <c r="E344" s="7" t="s">
        <v>2</v>
      </c>
      <c r="F344" s="1" t="s">
        <v>24</v>
      </c>
      <c r="G344" s="9" t="s">
        <v>35</v>
      </c>
      <c r="H344" s="7">
        <v>5621</v>
      </c>
      <c r="I344" s="18">
        <v>15500000</v>
      </c>
      <c r="J344" s="10">
        <v>50343.11</v>
      </c>
      <c r="K344" s="7" t="s">
        <v>12</v>
      </c>
      <c r="L344" s="7" t="s">
        <v>53</v>
      </c>
      <c r="M344" s="34">
        <v>46062</v>
      </c>
      <c r="N344" s="7" t="s">
        <v>41</v>
      </c>
    </row>
    <row r="345" spans="1:14" x14ac:dyDescent="0.25">
      <c r="A345" s="41" t="s">
        <v>220</v>
      </c>
      <c r="B345" s="1">
        <v>1</v>
      </c>
      <c r="C345" s="8">
        <v>46058</v>
      </c>
      <c r="D345" s="1" t="s">
        <v>634</v>
      </c>
      <c r="E345" s="7" t="s">
        <v>11</v>
      </c>
      <c r="F345" s="1" t="s">
        <v>24</v>
      </c>
      <c r="G345" s="9" t="s">
        <v>35</v>
      </c>
      <c r="H345" s="7">
        <v>2158</v>
      </c>
      <c r="I345" s="18">
        <v>15000000</v>
      </c>
      <c r="J345" s="10">
        <v>5884.46</v>
      </c>
      <c r="K345" s="7" t="s">
        <v>12</v>
      </c>
      <c r="L345" s="7" t="s">
        <v>53</v>
      </c>
      <c r="M345" s="34">
        <v>46063</v>
      </c>
      <c r="N345" s="7" t="s">
        <v>41</v>
      </c>
    </row>
    <row r="346" spans="1:14" x14ac:dyDescent="0.25">
      <c r="A346" s="41" t="s">
        <v>220</v>
      </c>
      <c r="B346" s="1">
        <v>3</v>
      </c>
      <c r="C346" s="8">
        <v>46063</v>
      </c>
      <c r="D346" s="1" t="s">
        <v>635</v>
      </c>
      <c r="E346" s="7" t="s">
        <v>11</v>
      </c>
      <c r="F346" s="1" t="s">
        <v>24</v>
      </c>
      <c r="G346" s="9" t="s">
        <v>35</v>
      </c>
      <c r="H346" s="7">
        <v>2161</v>
      </c>
      <c r="I346" s="18">
        <v>15000000</v>
      </c>
      <c r="J346" s="10">
        <v>7308</v>
      </c>
      <c r="K346" s="7" t="s">
        <v>12</v>
      </c>
      <c r="L346" s="7" t="s">
        <v>53</v>
      </c>
      <c r="M346" s="34">
        <v>46064</v>
      </c>
      <c r="N346" s="7" t="s">
        <v>41</v>
      </c>
    </row>
    <row r="347" spans="1:14" x14ac:dyDescent="0.25">
      <c r="A347" s="41" t="s">
        <v>220</v>
      </c>
      <c r="B347" s="1">
        <v>1</v>
      </c>
      <c r="C347" s="8">
        <v>46058</v>
      </c>
      <c r="D347" s="1" t="s">
        <v>636</v>
      </c>
      <c r="E347" s="7" t="s">
        <v>11</v>
      </c>
      <c r="F347" s="1" t="s">
        <v>24</v>
      </c>
      <c r="G347" s="9" t="s">
        <v>35</v>
      </c>
      <c r="H347" s="7">
        <v>2162</v>
      </c>
      <c r="I347" s="18">
        <v>15000000</v>
      </c>
      <c r="J347" s="10">
        <v>12762</v>
      </c>
      <c r="K347" s="7" t="s">
        <v>12</v>
      </c>
      <c r="L347" s="7" t="s">
        <v>53</v>
      </c>
      <c r="M347" s="34">
        <v>46064</v>
      </c>
      <c r="N347" s="7" t="s">
        <v>41</v>
      </c>
    </row>
    <row r="348" spans="1:14" x14ac:dyDescent="0.25">
      <c r="A348" s="41" t="s">
        <v>220</v>
      </c>
      <c r="B348" s="1">
        <v>1</v>
      </c>
      <c r="C348" s="8">
        <v>46058</v>
      </c>
      <c r="D348" s="1" t="s">
        <v>637</v>
      </c>
      <c r="E348" s="7" t="s">
        <v>11</v>
      </c>
      <c r="F348" s="1" t="s">
        <v>24</v>
      </c>
      <c r="G348" s="9" t="s">
        <v>35</v>
      </c>
      <c r="H348" s="7">
        <v>2159</v>
      </c>
      <c r="I348" s="18">
        <v>15000000</v>
      </c>
      <c r="J348" s="10">
        <v>9137.92</v>
      </c>
      <c r="K348" s="7" t="s">
        <v>12</v>
      </c>
      <c r="L348" s="7" t="s">
        <v>53</v>
      </c>
      <c r="M348" s="34">
        <v>46062</v>
      </c>
      <c r="N348" s="7" t="s">
        <v>92</v>
      </c>
    </row>
    <row r="349" spans="1:14" x14ac:dyDescent="0.25">
      <c r="A349" s="41" t="s">
        <v>220</v>
      </c>
      <c r="B349" s="1">
        <v>1</v>
      </c>
      <c r="C349" s="8">
        <v>46058</v>
      </c>
      <c r="D349" s="1" t="s">
        <v>638</v>
      </c>
      <c r="E349" s="7" t="s">
        <v>11</v>
      </c>
      <c r="F349" s="1" t="s">
        <v>24</v>
      </c>
      <c r="G349" s="9" t="s">
        <v>35</v>
      </c>
      <c r="H349" s="7">
        <v>2163</v>
      </c>
      <c r="I349" s="18">
        <v>15000000</v>
      </c>
      <c r="J349" s="10">
        <v>13870.8</v>
      </c>
      <c r="K349" s="7" t="s">
        <v>12</v>
      </c>
      <c r="L349" s="7" t="s">
        <v>53</v>
      </c>
      <c r="M349" s="34">
        <v>46062</v>
      </c>
      <c r="N349" s="7" t="s">
        <v>92</v>
      </c>
    </row>
    <row r="350" spans="1:14" x14ac:dyDescent="0.25">
      <c r="A350" s="41" t="s">
        <v>220</v>
      </c>
      <c r="B350" s="1">
        <v>1</v>
      </c>
      <c r="C350" s="8">
        <v>46058</v>
      </c>
      <c r="D350" s="1" t="s">
        <v>639</v>
      </c>
      <c r="E350" s="7" t="s">
        <v>11</v>
      </c>
      <c r="F350" s="1" t="s">
        <v>24</v>
      </c>
      <c r="G350" s="9" t="s">
        <v>35</v>
      </c>
      <c r="H350" s="7">
        <v>2160</v>
      </c>
      <c r="I350" s="18">
        <v>15000000</v>
      </c>
      <c r="J350" s="10">
        <v>9994</v>
      </c>
      <c r="K350" s="7" t="s">
        <v>12</v>
      </c>
      <c r="L350" s="7" t="s">
        <v>53</v>
      </c>
      <c r="M350" s="34">
        <v>46062</v>
      </c>
      <c r="N350" s="7" t="s">
        <v>92</v>
      </c>
    </row>
    <row r="351" spans="1:14" x14ac:dyDescent="0.25">
      <c r="A351" s="41" t="s">
        <v>483</v>
      </c>
      <c r="B351" s="1">
        <v>2</v>
      </c>
      <c r="C351" s="8">
        <v>46066</v>
      </c>
      <c r="D351" s="1" t="s">
        <v>640</v>
      </c>
      <c r="E351" s="7" t="s">
        <v>14</v>
      </c>
      <c r="F351" s="1" t="s">
        <v>24</v>
      </c>
      <c r="G351" s="9" t="s">
        <v>63</v>
      </c>
      <c r="H351" s="7" t="s">
        <v>74</v>
      </c>
      <c r="I351" s="18" t="s">
        <v>0</v>
      </c>
      <c r="J351" s="10" t="s">
        <v>61</v>
      </c>
      <c r="K351" s="7" t="s">
        <v>17</v>
      </c>
      <c r="L351" s="7" t="s">
        <v>55</v>
      </c>
      <c r="M351" s="34">
        <v>46072</v>
      </c>
      <c r="N351" s="7" t="s">
        <v>91</v>
      </c>
    </row>
    <row r="352" spans="1:14" x14ac:dyDescent="0.25">
      <c r="A352" s="41" t="s">
        <v>210</v>
      </c>
      <c r="B352" s="1">
        <v>3</v>
      </c>
      <c r="C352" s="8">
        <v>46076</v>
      </c>
      <c r="D352" s="1" t="s">
        <v>641</v>
      </c>
      <c r="E352" s="7" t="s">
        <v>16</v>
      </c>
      <c r="F352" s="1" t="s">
        <v>24</v>
      </c>
      <c r="G352" s="9" t="s">
        <v>35</v>
      </c>
      <c r="H352" s="7">
        <v>880748</v>
      </c>
      <c r="I352" s="18">
        <v>15000000</v>
      </c>
      <c r="J352" s="10">
        <v>348.67</v>
      </c>
      <c r="K352" s="7" t="s">
        <v>12</v>
      </c>
      <c r="L352" s="7" t="s">
        <v>53</v>
      </c>
      <c r="M352" s="34">
        <v>46077</v>
      </c>
      <c r="N352" s="7" t="s">
        <v>45</v>
      </c>
    </row>
    <row r="353" spans="1:14" x14ac:dyDescent="0.25">
      <c r="A353" s="41" t="s">
        <v>420</v>
      </c>
      <c r="B353" s="1">
        <v>2</v>
      </c>
      <c r="C353" s="8">
        <v>46063</v>
      </c>
      <c r="D353" s="1" t="s">
        <v>642</v>
      </c>
      <c r="E353" s="7" t="s">
        <v>14</v>
      </c>
      <c r="F353" s="1" t="s">
        <v>24</v>
      </c>
      <c r="G353" s="9" t="s">
        <v>35</v>
      </c>
      <c r="H353" s="7">
        <v>1372</v>
      </c>
      <c r="I353" s="18">
        <v>15000000</v>
      </c>
      <c r="J353" s="10">
        <v>348.6</v>
      </c>
      <c r="K353" s="7" t="s">
        <v>12</v>
      </c>
      <c r="L353" s="7" t="s">
        <v>53</v>
      </c>
      <c r="M353" s="34">
        <v>46063</v>
      </c>
      <c r="N353" s="7" t="s">
        <v>41</v>
      </c>
    </row>
    <row r="354" spans="1:14" x14ac:dyDescent="0.25">
      <c r="A354" s="41" t="s">
        <v>181</v>
      </c>
      <c r="B354" s="1">
        <v>1</v>
      </c>
      <c r="C354" s="8">
        <v>46059</v>
      </c>
      <c r="D354" s="1" t="s">
        <v>643</v>
      </c>
      <c r="E354" s="7" t="s">
        <v>82</v>
      </c>
      <c r="F354" s="1" t="s">
        <v>24</v>
      </c>
      <c r="G354" s="9" t="s">
        <v>35</v>
      </c>
      <c r="H354" s="7" t="s">
        <v>581</v>
      </c>
      <c r="I354" s="18">
        <v>15000000</v>
      </c>
      <c r="J354" s="10">
        <v>1299.51</v>
      </c>
      <c r="K354" s="7" t="s">
        <v>12</v>
      </c>
      <c r="L354" s="7" t="s">
        <v>53</v>
      </c>
      <c r="M354" s="34">
        <v>46062</v>
      </c>
      <c r="N354" s="7" t="s">
        <v>45</v>
      </c>
    </row>
    <row r="355" spans="1:14" x14ac:dyDescent="0.25">
      <c r="A355" s="41" t="s">
        <v>181</v>
      </c>
      <c r="B355" s="1">
        <v>1</v>
      </c>
      <c r="C355" s="8">
        <v>46059</v>
      </c>
      <c r="D355" s="1" t="s">
        <v>644</v>
      </c>
      <c r="E355" s="7" t="s">
        <v>14</v>
      </c>
      <c r="F355" s="1" t="s">
        <v>24</v>
      </c>
      <c r="G355" s="9" t="s">
        <v>35</v>
      </c>
      <c r="H355" s="7" t="s">
        <v>581</v>
      </c>
      <c r="I355" s="18">
        <v>15010000</v>
      </c>
      <c r="J355" s="10">
        <v>30032.6</v>
      </c>
      <c r="K355" s="7" t="s">
        <v>12</v>
      </c>
      <c r="L355" s="7" t="s">
        <v>53</v>
      </c>
      <c r="M355" s="34">
        <v>46062</v>
      </c>
      <c r="N355" s="7" t="s">
        <v>45</v>
      </c>
    </row>
    <row r="356" spans="1:14" x14ac:dyDescent="0.25">
      <c r="A356" s="41" t="s">
        <v>181</v>
      </c>
      <c r="B356" s="1">
        <v>1</v>
      </c>
      <c r="C356" s="8">
        <v>46059</v>
      </c>
      <c r="D356" s="1" t="s">
        <v>645</v>
      </c>
      <c r="E356" s="7" t="s">
        <v>83</v>
      </c>
      <c r="F356" s="1" t="s">
        <v>24</v>
      </c>
      <c r="G356" s="9" t="s">
        <v>35</v>
      </c>
      <c r="H356" s="7">
        <v>935248038</v>
      </c>
      <c r="I356" s="18">
        <v>15000000</v>
      </c>
      <c r="J356" s="10">
        <v>1037.07</v>
      </c>
      <c r="K356" s="7" t="s">
        <v>12</v>
      </c>
      <c r="L356" s="7" t="s">
        <v>53</v>
      </c>
      <c r="M356" s="34">
        <v>46059</v>
      </c>
      <c r="N356" s="7" t="s">
        <v>92</v>
      </c>
    </row>
    <row r="357" spans="1:14" x14ac:dyDescent="0.25">
      <c r="A357" s="41" t="s">
        <v>181</v>
      </c>
      <c r="B357" s="1">
        <v>1</v>
      </c>
      <c r="C357" s="8">
        <v>46059</v>
      </c>
      <c r="D357" s="1" t="s">
        <v>646</v>
      </c>
      <c r="E357" s="7" t="s">
        <v>14</v>
      </c>
      <c r="F357" s="1" t="s">
        <v>24</v>
      </c>
      <c r="G357" s="9" t="s">
        <v>35</v>
      </c>
      <c r="H357" s="7" t="s">
        <v>581</v>
      </c>
      <c r="I357" s="18">
        <v>15000000</v>
      </c>
      <c r="J357" s="10">
        <v>17863.28</v>
      </c>
      <c r="K357" s="7" t="s">
        <v>12</v>
      </c>
      <c r="L357" s="7" t="s">
        <v>53</v>
      </c>
      <c r="M357" s="34">
        <v>46059</v>
      </c>
      <c r="N357" s="7" t="s">
        <v>92</v>
      </c>
    </row>
    <row r="358" spans="1:14" x14ac:dyDescent="0.25">
      <c r="A358" s="41" t="s">
        <v>128</v>
      </c>
      <c r="B358" s="1">
        <v>1</v>
      </c>
      <c r="C358" s="8">
        <v>46059</v>
      </c>
      <c r="D358" s="1" t="s">
        <v>647</v>
      </c>
      <c r="E358" s="7" t="s">
        <v>13</v>
      </c>
      <c r="F358" s="1" t="s">
        <v>24</v>
      </c>
      <c r="G358" s="9" t="s">
        <v>35</v>
      </c>
      <c r="H358" s="7">
        <v>590</v>
      </c>
      <c r="I358" s="18">
        <v>15001002</v>
      </c>
      <c r="J358" s="10">
        <v>14160</v>
      </c>
      <c r="K358" s="7" t="s">
        <v>13</v>
      </c>
      <c r="L358" s="7" t="s">
        <v>54</v>
      </c>
      <c r="M358" s="34">
        <v>46062</v>
      </c>
      <c r="N358" s="7" t="s">
        <v>52</v>
      </c>
    </row>
    <row r="359" spans="1:14" x14ac:dyDescent="0.25">
      <c r="A359" s="41" t="s">
        <v>347</v>
      </c>
      <c r="B359" s="1">
        <v>2</v>
      </c>
      <c r="C359" s="8">
        <v>46065</v>
      </c>
      <c r="D359" s="1" t="s">
        <v>648</v>
      </c>
      <c r="E359" s="7" t="s">
        <v>13</v>
      </c>
      <c r="F359" s="1" t="s">
        <v>24</v>
      </c>
      <c r="G359" s="9" t="s">
        <v>35</v>
      </c>
      <c r="H359" s="7" t="s">
        <v>74</v>
      </c>
      <c r="I359" s="18">
        <v>15001002</v>
      </c>
      <c r="J359" s="10">
        <v>26100</v>
      </c>
      <c r="K359" s="7" t="s">
        <v>13</v>
      </c>
      <c r="L359" s="7" t="s">
        <v>54</v>
      </c>
      <c r="M359" s="34">
        <v>46065</v>
      </c>
      <c r="N359" s="7" t="s">
        <v>45</v>
      </c>
    </row>
    <row r="360" spans="1:14" x14ac:dyDescent="0.25">
      <c r="A360" s="41" t="s">
        <v>138</v>
      </c>
      <c r="B360" s="1">
        <v>1</v>
      </c>
      <c r="C360" s="8">
        <v>46059</v>
      </c>
      <c r="D360" s="1" t="s">
        <v>650</v>
      </c>
      <c r="E360" s="7" t="s">
        <v>13</v>
      </c>
      <c r="F360" s="1" t="s">
        <v>24</v>
      </c>
      <c r="G360" s="9" t="s">
        <v>35</v>
      </c>
      <c r="H360" s="7">
        <v>833</v>
      </c>
      <c r="I360" s="18">
        <v>15001002</v>
      </c>
      <c r="J360" s="10">
        <v>29000</v>
      </c>
      <c r="K360" s="7" t="s">
        <v>13</v>
      </c>
      <c r="L360" s="7" t="s">
        <v>54</v>
      </c>
      <c r="M360" s="34">
        <v>46064</v>
      </c>
      <c r="N360" s="7" t="s">
        <v>91</v>
      </c>
    </row>
    <row r="361" spans="1:14" x14ac:dyDescent="0.25">
      <c r="A361" s="41" t="s">
        <v>141</v>
      </c>
      <c r="B361" s="1">
        <v>1</v>
      </c>
      <c r="C361" s="8">
        <v>46059</v>
      </c>
      <c r="D361" s="1" t="s">
        <v>652</v>
      </c>
      <c r="E361" s="7" t="s">
        <v>13</v>
      </c>
      <c r="F361" s="1" t="s">
        <v>24</v>
      </c>
      <c r="G361" s="9" t="s">
        <v>35</v>
      </c>
      <c r="H361" s="7">
        <v>1657</v>
      </c>
      <c r="I361" s="18">
        <v>15001002</v>
      </c>
      <c r="J361" s="10">
        <v>10620</v>
      </c>
      <c r="K361" s="7" t="s">
        <v>13</v>
      </c>
      <c r="L361" s="7" t="s">
        <v>54</v>
      </c>
      <c r="M361" s="34">
        <v>46064</v>
      </c>
      <c r="N361" s="7" t="s">
        <v>45</v>
      </c>
    </row>
    <row r="362" spans="1:14" x14ac:dyDescent="0.25">
      <c r="A362" s="41" t="s">
        <v>344</v>
      </c>
      <c r="B362" s="1">
        <v>2</v>
      </c>
      <c r="C362" s="8">
        <v>46065</v>
      </c>
      <c r="D362" s="1" t="s">
        <v>654</v>
      </c>
      <c r="E362" s="7" t="s">
        <v>13</v>
      </c>
      <c r="F362" s="1" t="s">
        <v>24</v>
      </c>
      <c r="G362" s="9" t="s">
        <v>35</v>
      </c>
      <c r="H362" s="7" t="s">
        <v>74</v>
      </c>
      <c r="I362" s="18">
        <v>15001002</v>
      </c>
      <c r="J362" s="10">
        <v>16460</v>
      </c>
      <c r="K362" s="7" t="s">
        <v>13</v>
      </c>
      <c r="L362" s="7" t="s">
        <v>54</v>
      </c>
      <c r="M362" s="34">
        <v>46065</v>
      </c>
      <c r="N362" s="7" t="s">
        <v>45</v>
      </c>
    </row>
    <row r="363" spans="1:14" x14ac:dyDescent="0.25">
      <c r="A363" s="41" t="s">
        <v>213</v>
      </c>
      <c r="B363" s="1">
        <v>1</v>
      </c>
      <c r="C363" s="8">
        <v>46059</v>
      </c>
      <c r="D363" s="1" t="s">
        <v>657</v>
      </c>
      <c r="E363" s="7" t="s">
        <v>13</v>
      </c>
      <c r="F363" s="1" t="s">
        <v>24</v>
      </c>
      <c r="G363" s="9" t="s">
        <v>35</v>
      </c>
      <c r="H363" s="7">
        <v>6</v>
      </c>
      <c r="I363" s="18">
        <v>15001002</v>
      </c>
      <c r="J363" s="10">
        <v>4880</v>
      </c>
      <c r="K363" s="7" t="s">
        <v>13</v>
      </c>
      <c r="L363" s="7" t="s">
        <v>54</v>
      </c>
      <c r="M363" s="34">
        <v>46064</v>
      </c>
      <c r="N363" s="7" t="s">
        <v>45</v>
      </c>
    </row>
    <row r="364" spans="1:14" x14ac:dyDescent="0.25">
      <c r="A364" s="41" t="s">
        <v>569</v>
      </c>
      <c r="B364" s="1">
        <v>1</v>
      </c>
      <c r="C364" s="8">
        <v>46059</v>
      </c>
      <c r="D364" s="1" t="s">
        <v>658</v>
      </c>
      <c r="E364" s="7" t="s">
        <v>16</v>
      </c>
      <c r="F364" s="1" t="s">
        <v>24</v>
      </c>
      <c r="G364" s="9" t="s">
        <v>35</v>
      </c>
      <c r="H364" s="7">
        <v>225.82</v>
      </c>
      <c r="I364" s="18">
        <v>15000000</v>
      </c>
      <c r="J364" s="10">
        <v>225.82</v>
      </c>
      <c r="K364" s="7" t="s">
        <v>12</v>
      </c>
      <c r="L364" s="7" t="s">
        <v>53</v>
      </c>
      <c r="M364" s="34">
        <v>46059</v>
      </c>
      <c r="N364" s="7" t="s">
        <v>92</v>
      </c>
    </row>
    <row r="365" spans="1:14" x14ac:dyDescent="0.25">
      <c r="A365" s="41" t="s">
        <v>569</v>
      </c>
      <c r="B365" s="1">
        <v>1</v>
      </c>
      <c r="C365" s="8">
        <v>46059</v>
      </c>
      <c r="D365" s="1" t="s">
        <v>659</v>
      </c>
      <c r="E365" s="7" t="s">
        <v>16</v>
      </c>
      <c r="F365" s="1" t="s">
        <v>24</v>
      </c>
      <c r="G365" s="9" t="s">
        <v>35</v>
      </c>
      <c r="H365" s="7">
        <v>73506982</v>
      </c>
      <c r="I365" s="18">
        <v>16610000</v>
      </c>
      <c r="J365" s="10">
        <v>260.31</v>
      </c>
      <c r="K365" s="7" t="s">
        <v>12</v>
      </c>
      <c r="L365" s="7" t="s">
        <v>53</v>
      </c>
      <c r="M365" s="34">
        <v>46059</v>
      </c>
      <c r="N365" s="7" t="s">
        <v>92</v>
      </c>
    </row>
    <row r="366" spans="1:14" x14ac:dyDescent="0.25">
      <c r="A366" s="41" t="s">
        <v>569</v>
      </c>
      <c r="B366" s="1">
        <v>1</v>
      </c>
      <c r="C366" s="8">
        <v>46059</v>
      </c>
      <c r="D366" s="1" t="s">
        <v>660</v>
      </c>
      <c r="E366" s="7" t="s">
        <v>16</v>
      </c>
      <c r="F366" s="1" t="s">
        <v>24</v>
      </c>
      <c r="G366" s="9" t="s">
        <v>35</v>
      </c>
      <c r="H366" s="7">
        <v>73506311</v>
      </c>
      <c r="I366" s="18">
        <v>16600000</v>
      </c>
      <c r="J366" s="10">
        <v>408.92</v>
      </c>
      <c r="K366" s="7" t="s">
        <v>12</v>
      </c>
      <c r="L366" s="7" t="s">
        <v>53</v>
      </c>
      <c r="M366" s="34">
        <v>46059</v>
      </c>
      <c r="N366" s="7" t="s">
        <v>92</v>
      </c>
    </row>
    <row r="367" spans="1:14" x14ac:dyDescent="0.25">
      <c r="A367" s="41" t="s">
        <v>569</v>
      </c>
      <c r="B367" s="1">
        <v>1</v>
      </c>
      <c r="C367" s="8">
        <v>46059</v>
      </c>
      <c r="D367" s="1" t="s">
        <v>661</v>
      </c>
      <c r="E367" s="7" t="s">
        <v>16</v>
      </c>
      <c r="F367" s="1" t="s">
        <v>24</v>
      </c>
      <c r="G367" s="9" t="s">
        <v>35</v>
      </c>
      <c r="H367" s="7">
        <v>184608767</v>
      </c>
      <c r="I367" s="18">
        <v>15000000</v>
      </c>
      <c r="J367" s="10">
        <v>309.85000000000002</v>
      </c>
      <c r="K367" s="7" t="s">
        <v>12</v>
      </c>
      <c r="L367" s="7" t="s">
        <v>53</v>
      </c>
      <c r="M367" s="34">
        <v>46059</v>
      </c>
      <c r="N367" s="7" t="s">
        <v>92</v>
      </c>
    </row>
    <row r="368" spans="1:14" x14ac:dyDescent="0.25">
      <c r="A368" s="41" t="s">
        <v>196</v>
      </c>
      <c r="B368" s="1">
        <v>2</v>
      </c>
      <c r="C368" s="8">
        <v>46065</v>
      </c>
      <c r="D368" s="1" t="s">
        <v>662</v>
      </c>
      <c r="E368" s="7" t="s">
        <v>13</v>
      </c>
      <c r="F368" s="1" t="s">
        <v>24</v>
      </c>
      <c r="G368" s="9" t="s">
        <v>35</v>
      </c>
      <c r="H368" s="7" t="s">
        <v>74</v>
      </c>
      <c r="I368" s="18">
        <v>16000000</v>
      </c>
      <c r="J368" s="10">
        <v>600</v>
      </c>
      <c r="K368" s="7" t="s">
        <v>13</v>
      </c>
      <c r="L368" s="7" t="s">
        <v>54</v>
      </c>
      <c r="M368" s="34">
        <v>46065</v>
      </c>
      <c r="N368" s="7" t="s">
        <v>91</v>
      </c>
    </row>
    <row r="369" spans="1:14" x14ac:dyDescent="0.25">
      <c r="A369" s="41" t="s">
        <v>188</v>
      </c>
      <c r="B369" s="1">
        <v>1</v>
      </c>
      <c r="C369" s="8">
        <v>46059</v>
      </c>
      <c r="D369" s="1" t="s">
        <v>663</v>
      </c>
      <c r="E369" s="7" t="s">
        <v>13</v>
      </c>
      <c r="F369" s="1" t="s">
        <v>24</v>
      </c>
      <c r="G369" s="9" t="s">
        <v>35</v>
      </c>
      <c r="H369" s="7" t="s">
        <v>74</v>
      </c>
      <c r="J369" s="10">
        <v>600</v>
      </c>
      <c r="K369" s="7" t="s">
        <v>13</v>
      </c>
      <c r="L369" s="7" t="s">
        <v>54</v>
      </c>
      <c r="M369" s="34">
        <v>46065</v>
      </c>
      <c r="N369" s="7" t="s">
        <v>92</v>
      </c>
    </row>
    <row r="370" spans="1:14" x14ac:dyDescent="0.25">
      <c r="A370" s="41" t="s">
        <v>664</v>
      </c>
      <c r="B370" s="1">
        <v>3</v>
      </c>
      <c r="C370" s="8">
        <v>46063</v>
      </c>
      <c r="D370" s="1" t="s">
        <v>665</v>
      </c>
      <c r="E370" s="7" t="s">
        <v>14</v>
      </c>
      <c r="F370" s="1" t="s">
        <v>24</v>
      </c>
      <c r="G370" s="9" t="s">
        <v>35</v>
      </c>
      <c r="H370" s="7">
        <v>62</v>
      </c>
      <c r="I370" s="18">
        <v>15010000</v>
      </c>
      <c r="J370" s="10">
        <v>1474.7</v>
      </c>
      <c r="K370" s="7" t="s">
        <v>12</v>
      </c>
      <c r="L370" s="7" t="s">
        <v>53</v>
      </c>
      <c r="M370" s="34">
        <v>46064</v>
      </c>
      <c r="N370" s="7" t="s">
        <v>41</v>
      </c>
    </row>
    <row r="371" spans="1:14" x14ac:dyDescent="0.25">
      <c r="A371" s="41" t="s">
        <v>424</v>
      </c>
      <c r="B371" s="1">
        <v>2</v>
      </c>
      <c r="C371" s="8">
        <v>46062</v>
      </c>
      <c r="D371" s="1" t="s">
        <v>666</v>
      </c>
      <c r="E371" s="7" t="s">
        <v>14</v>
      </c>
      <c r="F371" s="1" t="s">
        <v>24</v>
      </c>
      <c r="G371" s="9" t="s">
        <v>35</v>
      </c>
      <c r="H371" s="7">
        <v>193</v>
      </c>
      <c r="I371" s="18">
        <v>15000000</v>
      </c>
      <c r="J371" s="10">
        <v>9428.51</v>
      </c>
      <c r="K371" s="7" t="s">
        <v>12</v>
      </c>
      <c r="L371" s="7" t="s">
        <v>53</v>
      </c>
      <c r="M371" s="34">
        <v>46062</v>
      </c>
      <c r="N371" s="7" t="s">
        <v>41</v>
      </c>
    </row>
    <row r="372" spans="1:14" x14ac:dyDescent="0.25">
      <c r="A372" s="41" t="s">
        <v>417</v>
      </c>
      <c r="B372" s="1">
        <v>2</v>
      </c>
      <c r="C372" s="8">
        <v>46063</v>
      </c>
      <c r="D372" s="1" t="s">
        <v>667</v>
      </c>
      <c r="E372" s="7" t="s">
        <v>14</v>
      </c>
      <c r="F372" s="1" t="s">
        <v>24</v>
      </c>
      <c r="G372" s="9" t="s">
        <v>35</v>
      </c>
      <c r="H372" s="7">
        <v>1313</v>
      </c>
      <c r="I372" s="18">
        <v>15000000</v>
      </c>
      <c r="J372" s="10">
        <v>13797.6</v>
      </c>
      <c r="K372" s="7" t="s">
        <v>12</v>
      </c>
      <c r="L372" s="7" t="s">
        <v>53</v>
      </c>
      <c r="M372" s="34">
        <v>46063</v>
      </c>
      <c r="N372" s="7" t="s">
        <v>41</v>
      </c>
    </row>
    <row r="373" spans="1:14" x14ac:dyDescent="0.25">
      <c r="A373" s="41" t="s">
        <v>217</v>
      </c>
      <c r="B373" s="1">
        <v>1</v>
      </c>
      <c r="C373" s="8">
        <v>46059</v>
      </c>
      <c r="D373" s="1" t="s">
        <v>668</v>
      </c>
      <c r="E373" s="7" t="s">
        <v>13</v>
      </c>
      <c r="F373" s="1" t="s">
        <v>24</v>
      </c>
      <c r="G373" s="9" t="s">
        <v>35</v>
      </c>
      <c r="H373" s="7">
        <v>168</v>
      </c>
      <c r="I373" s="18">
        <v>15001002</v>
      </c>
      <c r="J373" s="10">
        <v>48180</v>
      </c>
      <c r="K373" s="7" t="s">
        <v>13</v>
      </c>
      <c r="L373" s="7" t="s">
        <v>54</v>
      </c>
      <c r="M373" s="34">
        <v>46064</v>
      </c>
      <c r="N373" s="7" t="s">
        <v>45</v>
      </c>
    </row>
    <row r="374" spans="1:14" x14ac:dyDescent="0.25">
      <c r="A374" s="41" t="s">
        <v>669</v>
      </c>
      <c r="B374" s="1">
        <v>1</v>
      </c>
      <c r="C374" s="8">
        <v>46059</v>
      </c>
      <c r="D374" s="1" t="s">
        <v>670</v>
      </c>
      <c r="E374" s="7" t="s">
        <v>83</v>
      </c>
      <c r="F374" s="1" t="s">
        <v>24</v>
      </c>
      <c r="G374" s="9" t="s">
        <v>35</v>
      </c>
      <c r="H374" s="7" t="s">
        <v>74</v>
      </c>
      <c r="I374" s="18">
        <v>15000000</v>
      </c>
      <c r="J374" s="10">
        <v>72400</v>
      </c>
      <c r="K374" s="7" t="s">
        <v>12</v>
      </c>
      <c r="L374" s="7" t="s">
        <v>53</v>
      </c>
      <c r="M374" s="34">
        <v>46062</v>
      </c>
      <c r="N374" s="7" t="s">
        <v>41</v>
      </c>
    </row>
    <row r="375" spans="1:14" x14ac:dyDescent="0.25">
      <c r="A375" s="41" t="s">
        <v>189</v>
      </c>
      <c r="B375" s="1">
        <v>2</v>
      </c>
      <c r="C375" s="8">
        <v>46066</v>
      </c>
      <c r="D375" s="1" t="s">
        <v>671</v>
      </c>
      <c r="E375" s="7" t="s">
        <v>13</v>
      </c>
      <c r="F375" s="1" t="s">
        <v>24</v>
      </c>
      <c r="G375" s="9" t="s">
        <v>35</v>
      </c>
      <c r="H375" s="7" t="s">
        <v>74</v>
      </c>
      <c r="I375" s="18">
        <v>16000000</v>
      </c>
      <c r="J375" s="10">
        <v>600</v>
      </c>
      <c r="K375" s="7" t="s">
        <v>13</v>
      </c>
      <c r="L375" s="7" t="s">
        <v>54</v>
      </c>
      <c r="M375" s="34">
        <v>46072</v>
      </c>
      <c r="N375" s="7" t="s">
        <v>91</v>
      </c>
    </row>
    <row r="376" spans="1:14" x14ac:dyDescent="0.25">
      <c r="A376" s="41" t="s">
        <v>362</v>
      </c>
      <c r="B376" s="1">
        <v>1</v>
      </c>
      <c r="C376" s="8">
        <v>46059</v>
      </c>
      <c r="D376" s="1" t="s">
        <v>672</v>
      </c>
      <c r="E376" s="7" t="s">
        <v>13</v>
      </c>
      <c r="F376" s="1" t="s">
        <v>24</v>
      </c>
      <c r="G376" s="9" t="s">
        <v>35</v>
      </c>
      <c r="H376" s="7">
        <v>25</v>
      </c>
      <c r="I376" s="18">
        <v>15001002</v>
      </c>
      <c r="J376" s="10">
        <v>21340</v>
      </c>
      <c r="K376" s="7" t="s">
        <v>13</v>
      </c>
      <c r="L376" s="7" t="s">
        <v>54</v>
      </c>
      <c r="M376" s="34">
        <v>46065</v>
      </c>
      <c r="N376" s="7" t="s">
        <v>91</v>
      </c>
    </row>
    <row r="377" spans="1:14" x14ac:dyDescent="0.25">
      <c r="A377" s="41" t="s">
        <v>192</v>
      </c>
      <c r="B377" s="1">
        <v>2</v>
      </c>
      <c r="C377" s="8">
        <v>46066</v>
      </c>
      <c r="D377" s="1" t="s">
        <v>673</v>
      </c>
      <c r="E377" s="7" t="s">
        <v>13</v>
      </c>
      <c r="F377" s="1" t="s">
        <v>24</v>
      </c>
      <c r="G377" s="9" t="s">
        <v>35</v>
      </c>
      <c r="H377" s="7" t="s">
        <v>74</v>
      </c>
      <c r="I377" s="18">
        <v>16000000</v>
      </c>
      <c r="J377" s="10">
        <v>600</v>
      </c>
      <c r="K377" s="7" t="s">
        <v>13</v>
      </c>
      <c r="L377" s="7" t="s">
        <v>54</v>
      </c>
      <c r="M377" s="34">
        <v>46072</v>
      </c>
      <c r="N377" s="7" t="s">
        <v>91</v>
      </c>
    </row>
    <row r="378" spans="1:14" x14ac:dyDescent="0.25">
      <c r="A378" s="41" t="s">
        <v>675</v>
      </c>
      <c r="B378" s="1">
        <v>1</v>
      </c>
      <c r="C378" s="8">
        <v>46059</v>
      </c>
      <c r="D378" s="1" t="s">
        <v>674</v>
      </c>
      <c r="E378" s="7" t="s">
        <v>13</v>
      </c>
      <c r="F378" s="1" t="s">
        <v>24</v>
      </c>
      <c r="G378" s="9" t="s">
        <v>35</v>
      </c>
      <c r="H378" s="7">
        <v>84</v>
      </c>
      <c r="I378" s="18">
        <v>15001002</v>
      </c>
      <c r="J378" s="10">
        <v>21340</v>
      </c>
      <c r="K378" s="7" t="s">
        <v>13</v>
      </c>
      <c r="L378" s="7" t="s">
        <v>54</v>
      </c>
      <c r="M378" s="34">
        <v>46065</v>
      </c>
      <c r="N378" s="7" t="s">
        <v>774</v>
      </c>
    </row>
    <row r="379" spans="1:14" x14ac:dyDescent="0.25">
      <c r="A379" s="41" t="s">
        <v>676</v>
      </c>
      <c r="B379" s="1">
        <v>1</v>
      </c>
      <c r="C379" s="8">
        <v>46059</v>
      </c>
      <c r="D379" s="1" t="s">
        <v>677</v>
      </c>
      <c r="E379" s="7" t="s">
        <v>13</v>
      </c>
      <c r="F379" s="1" t="s">
        <v>24</v>
      </c>
      <c r="G379" s="9" t="s">
        <v>35</v>
      </c>
      <c r="H379" s="7">
        <v>1037</v>
      </c>
      <c r="I379" s="18">
        <v>15001002</v>
      </c>
      <c r="J379" s="10">
        <v>11600</v>
      </c>
      <c r="K379" s="7" t="s">
        <v>13</v>
      </c>
      <c r="L379" s="7" t="s">
        <v>54</v>
      </c>
      <c r="M379" s="34">
        <v>46065</v>
      </c>
      <c r="N379" s="7" t="s">
        <v>774</v>
      </c>
    </row>
    <row r="380" spans="1:14" x14ac:dyDescent="0.25">
      <c r="A380" s="41" t="s">
        <v>139</v>
      </c>
      <c r="B380" s="1">
        <v>1</v>
      </c>
      <c r="C380" s="8">
        <v>46059</v>
      </c>
      <c r="D380" s="1" t="s">
        <v>655</v>
      </c>
      <c r="E380" s="7" t="s">
        <v>13</v>
      </c>
      <c r="F380" s="1" t="s">
        <v>24</v>
      </c>
      <c r="G380" s="9" t="s">
        <v>35</v>
      </c>
      <c r="H380" s="7">
        <v>3361</v>
      </c>
      <c r="I380" s="18">
        <v>15001002</v>
      </c>
      <c r="J380" s="10">
        <v>13050</v>
      </c>
      <c r="K380" s="7" t="s">
        <v>13</v>
      </c>
      <c r="L380" s="7" t="s">
        <v>54</v>
      </c>
      <c r="M380" s="34">
        <v>46064</v>
      </c>
      <c r="N380" s="7" t="s">
        <v>62</v>
      </c>
    </row>
    <row r="381" spans="1:14" x14ac:dyDescent="0.25">
      <c r="A381" s="41" t="s">
        <v>169</v>
      </c>
      <c r="B381" s="1">
        <v>1</v>
      </c>
      <c r="C381" s="8">
        <v>46059</v>
      </c>
      <c r="D381" s="1" t="s">
        <v>653</v>
      </c>
      <c r="E381" s="7" t="s">
        <v>13</v>
      </c>
      <c r="F381" s="1" t="s">
        <v>24</v>
      </c>
      <c r="G381" s="9" t="s">
        <v>35</v>
      </c>
      <c r="H381" s="7">
        <v>291</v>
      </c>
      <c r="I381" s="18">
        <v>15001002</v>
      </c>
      <c r="J381" s="10">
        <v>14500</v>
      </c>
      <c r="K381" s="7" t="s">
        <v>13</v>
      </c>
      <c r="L381" s="7" t="s">
        <v>54</v>
      </c>
      <c r="M381" s="34">
        <v>46064</v>
      </c>
      <c r="N381" s="7" t="s">
        <v>62</v>
      </c>
    </row>
    <row r="382" spans="1:14" x14ac:dyDescent="0.25">
      <c r="A382" s="41" t="s">
        <v>218</v>
      </c>
      <c r="B382" s="1">
        <v>1</v>
      </c>
      <c r="C382" s="8">
        <v>46059</v>
      </c>
      <c r="D382" s="1" t="s">
        <v>651</v>
      </c>
      <c r="E382" s="7" t="s">
        <v>13</v>
      </c>
      <c r="F382" s="1" t="s">
        <v>24</v>
      </c>
      <c r="G382" s="9" t="s">
        <v>35</v>
      </c>
      <c r="H382" s="7">
        <v>263</v>
      </c>
      <c r="I382" s="18">
        <v>15001002</v>
      </c>
      <c r="J382" s="10">
        <v>7080</v>
      </c>
      <c r="K382" s="7" t="s">
        <v>13</v>
      </c>
      <c r="L382" s="7" t="s">
        <v>54</v>
      </c>
      <c r="M382" s="34">
        <v>46063</v>
      </c>
      <c r="N382" s="7" t="s">
        <v>62</v>
      </c>
    </row>
    <row r="383" spans="1:14" x14ac:dyDescent="0.25">
      <c r="A383" s="41" t="s">
        <v>181</v>
      </c>
      <c r="B383" s="1">
        <v>1</v>
      </c>
      <c r="C383" s="8">
        <v>46059</v>
      </c>
      <c r="D383" s="1" t="s">
        <v>678</v>
      </c>
      <c r="E383" s="7" t="s">
        <v>13</v>
      </c>
      <c r="F383" s="1" t="s">
        <v>24</v>
      </c>
      <c r="G383" s="9" t="s">
        <v>35</v>
      </c>
      <c r="H383" s="7" t="s">
        <v>74</v>
      </c>
      <c r="I383" s="18">
        <v>16000000</v>
      </c>
      <c r="J383" s="10">
        <v>709.27</v>
      </c>
      <c r="K383" s="7" t="s">
        <v>13</v>
      </c>
      <c r="L383" s="7" t="s">
        <v>54</v>
      </c>
      <c r="M383" s="34">
        <v>46063</v>
      </c>
      <c r="N383" s="7" t="s">
        <v>45</v>
      </c>
    </row>
    <row r="384" spans="1:14" x14ac:dyDescent="0.25">
      <c r="A384" s="41" t="s">
        <v>181</v>
      </c>
      <c r="B384" s="1">
        <v>1</v>
      </c>
      <c r="C384" s="8">
        <v>46059</v>
      </c>
      <c r="D384" s="1" t="s">
        <v>679</v>
      </c>
      <c r="E384" s="7" t="s">
        <v>13</v>
      </c>
      <c r="F384" s="1" t="s">
        <v>24</v>
      </c>
      <c r="G384" s="9" t="s">
        <v>35</v>
      </c>
      <c r="H384" s="7" t="s">
        <v>581</v>
      </c>
      <c r="I384" s="18">
        <v>15001002</v>
      </c>
      <c r="J384" s="10">
        <v>104159.34</v>
      </c>
      <c r="K384" s="7" t="s">
        <v>13</v>
      </c>
      <c r="L384" s="7" t="s">
        <v>54</v>
      </c>
      <c r="M384" s="34">
        <v>46063</v>
      </c>
      <c r="N384" s="7" t="s">
        <v>45</v>
      </c>
    </row>
    <row r="385" spans="1:14" x14ac:dyDescent="0.25">
      <c r="A385" s="41" t="s">
        <v>151</v>
      </c>
      <c r="B385" s="1">
        <v>1</v>
      </c>
      <c r="C385" s="8">
        <v>46059</v>
      </c>
      <c r="D385" s="1" t="s">
        <v>649</v>
      </c>
      <c r="E385" s="7" t="s">
        <v>13</v>
      </c>
      <c r="F385" s="1" t="s">
        <v>24</v>
      </c>
      <c r="G385" s="9" t="s">
        <v>35</v>
      </c>
      <c r="H385" s="7">
        <v>216</v>
      </c>
      <c r="I385" s="18">
        <v>15001002</v>
      </c>
      <c r="J385" s="10">
        <v>5800</v>
      </c>
      <c r="K385" s="7" t="s">
        <v>13</v>
      </c>
      <c r="L385" s="7" t="s">
        <v>54</v>
      </c>
      <c r="M385" s="34">
        <v>46063</v>
      </c>
      <c r="N385" s="7" t="s">
        <v>92</v>
      </c>
    </row>
    <row r="386" spans="1:14" x14ac:dyDescent="0.25">
      <c r="A386" s="41" t="s">
        <v>176</v>
      </c>
      <c r="B386" s="1">
        <v>1</v>
      </c>
      <c r="C386" s="8">
        <v>46059</v>
      </c>
      <c r="D386" s="1" t="s">
        <v>680</v>
      </c>
      <c r="E386" s="7" t="s">
        <v>13</v>
      </c>
      <c r="F386" s="1" t="s">
        <v>24</v>
      </c>
      <c r="G386" s="9" t="s">
        <v>35</v>
      </c>
      <c r="H386" s="7">
        <v>726</v>
      </c>
      <c r="I386" s="18">
        <v>15001002</v>
      </c>
      <c r="J386" s="10">
        <v>9440</v>
      </c>
      <c r="K386" s="7" t="s">
        <v>13</v>
      </c>
      <c r="L386" s="7" t="s">
        <v>54</v>
      </c>
      <c r="M386" s="34">
        <v>46063</v>
      </c>
      <c r="N386" s="7" t="s">
        <v>92</v>
      </c>
    </row>
    <row r="387" spans="1:14" x14ac:dyDescent="0.25">
      <c r="A387" s="41" t="s">
        <v>130</v>
      </c>
      <c r="B387" s="1">
        <v>1</v>
      </c>
      <c r="C387" s="8">
        <v>46059</v>
      </c>
      <c r="D387" s="1" t="s">
        <v>681</v>
      </c>
      <c r="E387" s="7" t="s">
        <v>13</v>
      </c>
      <c r="F387" s="1" t="s">
        <v>24</v>
      </c>
      <c r="G387" s="9" t="s">
        <v>35</v>
      </c>
      <c r="H387" s="7">
        <v>357</v>
      </c>
      <c r="I387" s="18">
        <v>15001002</v>
      </c>
      <c r="J387" s="10">
        <v>2440</v>
      </c>
      <c r="K387" s="7" t="s">
        <v>13</v>
      </c>
      <c r="L387" s="7" t="s">
        <v>54</v>
      </c>
      <c r="M387" s="34">
        <v>46063</v>
      </c>
      <c r="N387" s="7" t="s">
        <v>41</v>
      </c>
    </row>
    <row r="388" spans="1:14" x14ac:dyDescent="0.25">
      <c r="A388" s="41" t="s">
        <v>687</v>
      </c>
      <c r="B388" s="1">
        <v>1</v>
      </c>
      <c r="C388" s="8">
        <v>46059</v>
      </c>
      <c r="D388" s="1" t="s">
        <v>686</v>
      </c>
      <c r="E388" s="7" t="s">
        <v>13</v>
      </c>
      <c r="F388" s="1" t="s">
        <v>24</v>
      </c>
      <c r="G388" s="9" t="s">
        <v>35</v>
      </c>
      <c r="H388" s="7">
        <v>4743</v>
      </c>
      <c r="I388" s="18">
        <v>15001002</v>
      </c>
      <c r="J388" s="10">
        <v>7080</v>
      </c>
      <c r="K388" s="7" t="s">
        <v>13</v>
      </c>
      <c r="L388" s="7" t="s">
        <v>54</v>
      </c>
      <c r="M388" s="34">
        <v>46065</v>
      </c>
      <c r="N388" s="7" t="s">
        <v>91</v>
      </c>
    </row>
    <row r="389" spans="1:14" x14ac:dyDescent="0.25">
      <c r="A389" s="41" t="s">
        <v>688</v>
      </c>
      <c r="B389" s="1">
        <v>1</v>
      </c>
      <c r="C389" s="8">
        <v>46059</v>
      </c>
      <c r="D389" s="1" t="s">
        <v>689</v>
      </c>
      <c r="E389" s="7" t="s">
        <v>13</v>
      </c>
      <c r="F389" s="1" t="s">
        <v>24</v>
      </c>
      <c r="G389" s="9" t="s">
        <v>35</v>
      </c>
      <c r="H389" s="7">
        <v>203</v>
      </c>
      <c r="I389" s="18">
        <v>15001002</v>
      </c>
      <c r="J389" s="10">
        <v>9760</v>
      </c>
      <c r="K389" s="7" t="s">
        <v>13</v>
      </c>
      <c r="L389" s="7" t="s">
        <v>54</v>
      </c>
      <c r="M389" s="34">
        <v>46065</v>
      </c>
      <c r="N389" s="7" t="s">
        <v>41</v>
      </c>
    </row>
    <row r="390" spans="1:14" x14ac:dyDescent="0.25">
      <c r="A390" s="41" t="s">
        <v>691</v>
      </c>
      <c r="B390" s="1">
        <v>1</v>
      </c>
      <c r="C390" s="8">
        <v>46059</v>
      </c>
      <c r="D390" s="1" t="s">
        <v>690</v>
      </c>
      <c r="E390" s="7" t="s">
        <v>13</v>
      </c>
      <c r="F390" s="1" t="s">
        <v>24</v>
      </c>
      <c r="G390" s="9" t="s">
        <v>35</v>
      </c>
      <c r="H390" s="7">
        <v>1</v>
      </c>
      <c r="I390" s="18">
        <v>15001002</v>
      </c>
      <c r="J390" s="10">
        <v>20300</v>
      </c>
      <c r="K390" s="7" t="s">
        <v>13</v>
      </c>
      <c r="L390" s="7" t="s">
        <v>54</v>
      </c>
      <c r="M390" s="34">
        <v>46064</v>
      </c>
      <c r="N390" s="7" t="s">
        <v>45</v>
      </c>
    </row>
    <row r="391" spans="1:14" x14ac:dyDescent="0.25">
      <c r="A391" s="41" t="s">
        <v>157</v>
      </c>
      <c r="B391" s="1">
        <v>1</v>
      </c>
      <c r="C391" s="8">
        <v>46059</v>
      </c>
      <c r="D391" s="1" t="s">
        <v>656</v>
      </c>
      <c r="E391" s="7" t="s">
        <v>13</v>
      </c>
      <c r="F391" s="1" t="s">
        <v>24</v>
      </c>
      <c r="G391" s="9" t="s">
        <v>35</v>
      </c>
      <c r="H391" s="7">
        <v>100</v>
      </c>
      <c r="I391" s="18">
        <v>15001002</v>
      </c>
      <c r="J391" s="10">
        <v>5800</v>
      </c>
      <c r="K391" s="7" t="s">
        <v>13</v>
      </c>
      <c r="L391" s="7" t="s">
        <v>54</v>
      </c>
      <c r="M391" s="34">
        <v>46065</v>
      </c>
      <c r="N391" s="7" t="s">
        <v>91</v>
      </c>
    </row>
    <row r="392" spans="1:14" x14ac:dyDescent="0.25">
      <c r="A392" s="41" t="s">
        <v>158</v>
      </c>
      <c r="B392" s="1">
        <v>1</v>
      </c>
      <c r="C392" s="8">
        <v>46059</v>
      </c>
      <c r="D392" s="1" t="s">
        <v>692</v>
      </c>
      <c r="E392" s="7" t="s">
        <v>13</v>
      </c>
      <c r="F392" s="1" t="s">
        <v>24</v>
      </c>
      <c r="G392" s="9" t="s">
        <v>35</v>
      </c>
      <c r="H392" s="7">
        <v>2647</v>
      </c>
      <c r="I392" s="18">
        <v>15001002</v>
      </c>
      <c r="J392" s="10">
        <v>29000</v>
      </c>
      <c r="K392" s="7" t="s">
        <v>13</v>
      </c>
      <c r="L392" s="7" t="s">
        <v>54</v>
      </c>
      <c r="M392" s="34">
        <v>46065</v>
      </c>
      <c r="N392" s="7" t="s">
        <v>91</v>
      </c>
    </row>
    <row r="393" spans="1:14" x14ac:dyDescent="0.25">
      <c r="A393" s="41" t="s">
        <v>137</v>
      </c>
      <c r="B393" s="1">
        <v>1</v>
      </c>
      <c r="C393" s="8">
        <v>46059</v>
      </c>
      <c r="D393" s="1" t="s">
        <v>697</v>
      </c>
      <c r="E393" s="7" t="s">
        <v>13</v>
      </c>
      <c r="F393" s="1" t="s">
        <v>24</v>
      </c>
      <c r="G393" s="9" t="s">
        <v>35</v>
      </c>
      <c r="H393" s="7">
        <v>1021</v>
      </c>
      <c r="I393" s="18">
        <v>15001002</v>
      </c>
      <c r="J393" s="10">
        <v>9440</v>
      </c>
      <c r="K393" s="7" t="s">
        <v>13</v>
      </c>
      <c r="L393" s="7" t="s">
        <v>54</v>
      </c>
      <c r="M393" s="34">
        <v>46064</v>
      </c>
      <c r="N393" s="7" t="s">
        <v>92</v>
      </c>
    </row>
    <row r="394" spans="1:14" x14ac:dyDescent="0.25">
      <c r="A394" s="41" t="s">
        <v>162</v>
      </c>
      <c r="B394" s="1">
        <v>1</v>
      </c>
      <c r="C394" s="8">
        <v>46059</v>
      </c>
      <c r="D394" s="1" t="s">
        <v>693</v>
      </c>
      <c r="E394" s="7" t="s">
        <v>13</v>
      </c>
      <c r="F394" s="1" t="s">
        <v>24</v>
      </c>
      <c r="G394" s="9" t="s">
        <v>35</v>
      </c>
      <c r="H394" s="7">
        <v>236</v>
      </c>
      <c r="I394" s="18">
        <v>15001002</v>
      </c>
      <c r="J394" s="10">
        <v>9760</v>
      </c>
      <c r="K394" s="7" t="s">
        <v>13</v>
      </c>
      <c r="L394" s="7" t="s">
        <v>54</v>
      </c>
      <c r="M394" s="34">
        <v>46064</v>
      </c>
      <c r="N394" s="7" t="s">
        <v>92</v>
      </c>
    </row>
    <row r="395" spans="1:14" x14ac:dyDescent="0.25">
      <c r="A395" s="41" t="s">
        <v>153</v>
      </c>
      <c r="B395" s="1">
        <v>1</v>
      </c>
      <c r="C395" s="8">
        <v>46059</v>
      </c>
      <c r="D395" s="1" t="s">
        <v>696</v>
      </c>
      <c r="E395" s="7" t="s">
        <v>13</v>
      </c>
      <c r="F395" s="1" t="s">
        <v>24</v>
      </c>
      <c r="G395" s="9" t="s">
        <v>35</v>
      </c>
      <c r="H395" s="7">
        <v>217</v>
      </c>
      <c r="I395" s="18">
        <v>15001002</v>
      </c>
      <c r="J395" s="10">
        <v>4720</v>
      </c>
      <c r="K395" s="7" t="s">
        <v>13</v>
      </c>
      <c r="L395" s="7" t="s">
        <v>54</v>
      </c>
      <c r="M395" s="34">
        <v>46064</v>
      </c>
      <c r="N395" s="7" t="s">
        <v>92</v>
      </c>
    </row>
    <row r="396" spans="1:14" x14ac:dyDescent="0.25">
      <c r="A396" s="41" t="s">
        <v>161</v>
      </c>
      <c r="B396" s="1">
        <v>1</v>
      </c>
      <c r="C396" s="8">
        <v>46059</v>
      </c>
      <c r="D396" s="1" t="s">
        <v>698</v>
      </c>
      <c r="E396" s="7" t="s">
        <v>13</v>
      </c>
      <c r="F396" s="1" t="s">
        <v>24</v>
      </c>
      <c r="G396" s="9" t="s">
        <v>35</v>
      </c>
      <c r="H396" s="7">
        <v>88</v>
      </c>
      <c r="I396" s="18">
        <v>15001002</v>
      </c>
      <c r="J396" s="10">
        <v>10620</v>
      </c>
      <c r="K396" s="7" t="s">
        <v>13</v>
      </c>
      <c r="L396" s="7" t="s">
        <v>54</v>
      </c>
      <c r="M396" s="34">
        <v>46062</v>
      </c>
      <c r="N396" s="7" t="s">
        <v>92</v>
      </c>
    </row>
    <row r="397" spans="1:14" x14ac:dyDescent="0.25">
      <c r="A397" s="41" t="s">
        <v>701</v>
      </c>
      <c r="B397" s="1">
        <v>1</v>
      </c>
      <c r="C397" s="8">
        <v>46059</v>
      </c>
      <c r="D397" s="1" t="s">
        <v>699</v>
      </c>
      <c r="E397" s="7" t="s">
        <v>13</v>
      </c>
      <c r="F397" s="1" t="s">
        <v>24</v>
      </c>
      <c r="G397" s="9" t="s">
        <v>35</v>
      </c>
      <c r="H397" s="7">
        <v>628</v>
      </c>
      <c r="I397" s="18">
        <v>15001002</v>
      </c>
      <c r="J397" s="10">
        <v>16520</v>
      </c>
      <c r="K397" s="7" t="s">
        <v>13</v>
      </c>
      <c r="L397" s="7" t="s">
        <v>54</v>
      </c>
      <c r="M397" s="34">
        <v>46062</v>
      </c>
      <c r="N397" s="7" t="s">
        <v>92</v>
      </c>
    </row>
    <row r="398" spans="1:14" x14ac:dyDescent="0.25">
      <c r="A398" s="41" t="s">
        <v>136</v>
      </c>
      <c r="B398" s="1">
        <v>2</v>
      </c>
      <c r="C398" s="8">
        <v>46065</v>
      </c>
      <c r="D398" s="1" t="s">
        <v>695</v>
      </c>
      <c r="E398" s="7" t="s">
        <v>13</v>
      </c>
      <c r="F398" s="1" t="s">
        <v>24</v>
      </c>
      <c r="G398" s="9" t="s">
        <v>35</v>
      </c>
      <c r="H398" s="7">
        <v>231</v>
      </c>
      <c r="I398" s="18">
        <v>15001002</v>
      </c>
      <c r="J398" s="10">
        <v>2440</v>
      </c>
      <c r="K398" s="7" t="s">
        <v>13</v>
      </c>
      <c r="L398" s="7" t="s">
        <v>54</v>
      </c>
      <c r="M398" s="34">
        <v>46066</v>
      </c>
      <c r="N398" s="7" t="s">
        <v>92</v>
      </c>
    </row>
    <row r="399" spans="1:14" x14ac:dyDescent="0.25">
      <c r="A399" s="41" t="s">
        <v>214</v>
      </c>
      <c r="B399" s="1">
        <v>2</v>
      </c>
      <c r="C399" s="8">
        <v>46066</v>
      </c>
      <c r="D399" s="1" t="s">
        <v>700</v>
      </c>
      <c r="E399" s="7" t="s">
        <v>13</v>
      </c>
      <c r="F399" s="1" t="s">
        <v>24</v>
      </c>
      <c r="G399" s="9" t="s">
        <v>35</v>
      </c>
      <c r="H399" s="7">
        <v>11</v>
      </c>
      <c r="I399" s="18">
        <v>15001002</v>
      </c>
      <c r="J399" s="10">
        <v>10620</v>
      </c>
      <c r="K399" s="7" t="s">
        <v>13</v>
      </c>
      <c r="L399" s="7" t="s">
        <v>54</v>
      </c>
      <c r="M399" s="34">
        <v>46072</v>
      </c>
      <c r="N399" s="7" t="s">
        <v>92</v>
      </c>
    </row>
    <row r="400" spans="1:14" x14ac:dyDescent="0.25">
      <c r="A400" s="41" t="s">
        <v>102</v>
      </c>
      <c r="B400" s="1">
        <v>1</v>
      </c>
      <c r="C400" s="8">
        <v>46059</v>
      </c>
      <c r="D400" s="1" t="s">
        <v>694</v>
      </c>
      <c r="E400" s="7" t="s">
        <v>13</v>
      </c>
      <c r="F400" s="1" t="s">
        <v>24</v>
      </c>
      <c r="G400" s="9" t="s">
        <v>35</v>
      </c>
      <c r="H400" s="7">
        <v>954</v>
      </c>
      <c r="I400" s="18">
        <v>15001002</v>
      </c>
      <c r="J400" s="10">
        <v>15950</v>
      </c>
      <c r="K400" s="7" t="s">
        <v>13</v>
      </c>
      <c r="L400" s="7" t="s">
        <v>54</v>
      </c>
      <c r="M400" s="34">
        <v>46062</v>
      </c>
      <c r="N400" s="7" t="s">
        <v>52</v>
      </c>
    </row>
    <row r="401" spans="1:14" x14ac:dyDescent="0.25">
      <c r="A401" s="41" t="s">
        <v>174</v>
      </c>
      <c r="B401" s="1">
        <v>1</v>
      </c>
      <c r="C401" s="8">
        <v>46059</v>
      </c>
      <c r="D401" s="1" t="s">
        <v>702</v>
      </c>
      <c r="E401" s="7" t="s">
        <v>13</v>
      </c>
      <c r="F401" s="1" t="s">
        <v>24</v>
      </c>
      <c r="G401" s="9" t="s">
        <v>35</v>
      </c>
      <c r="H401" s="7">
        <v>334</v>
      </c>
      <c r="I401" s="18">
        <v>15001002</v>
      </c>
      <c r="J401" s="10">
        <v>38020</v>
      </c>
      <c r="K401" s="7" t="s">
        <v>13</v>
      </c>
      <c r="L401" s="7" t="s">
        <v>54</v>
      </c>
      <c r="M401" s="34">
        <v>46063</v>
      </c>
      <c r="N401" s="7" t="s">
        <v>62</v>
      </c>
    </row>
    <row r="402" spans="1:14" x14ac:dyDescent="0.25">
      <c r="A402" s="41" t="s">
        <v>199</v>
      </c>
      <c r="B402" s="1">
        <v>1</v>
      </c>
      <c r="C402" s="8">
        <v>46063</v>
      </c>
      <c r="D402" s="1" t="s">
        <v>790</v>
      </c>
      <c r="E402" s="7" t="s">
        <v>14</v>
      </c>
      <c r="G402" s="9" t="s">
        <v>35</v>
      </c>
      <c r="H402" s="7">
        <v>470</v>
      </c>
      <c r="I402" s="18">
        <v>15000000</v>
      </c>
      <c r="J402" s="10">
        <v>3000</v>
      </c>
      <c r="K402" s="7" t="s">
        <v>12</v>
      </c>
      <c r="L402" s="7" t="s">
        <v>53</v>
      </c>
      <c r="M402" s="34">
        <v>46065</v>
      </c>
      <c r="N402" s="7" t="s">
        <v>52</v>
      </c>
    </row>
    <row r="403" spans="1:14" x14ac:dyDescent="0.25">
      <c r="A403" s="41" t="s">
        <v>412</v>
      </c>
      <c r="B403" s="1">
        <v>2</v>
      </c>
      <c r="C403" s="8">
        <v>46063</v>
      </c>
      <c r="D403" s="1" t="s">
        <v>703</v>
      </c>
      <c r="E403" s="7" t="s">
        <v>14</v>
      </c>
      <c r="F403" s="1" t="s">
        <v>24</v>
      </c>
      <c r="G403" s="9" t="s">
        <v>35</v>
      </c>
      <c r="H403" s="7">
        <v>1624</v>
      </c>
      <c r="I403" s="18">
        <v>15000000</v>
      </c>
      <c r="J403" s="10">
        <v>220</v>
      </c>
      <c r="K403" s="7" t="s">
        <v>58</v>
      </c>
      <c r="L403" s="7" t="s">
        <v>59</v>
      </c>
      <c r="M403" s="34">
        <v>46063</v>
      </c>
      <c r="N403" s="7" t="s">
        <v>92</v>
      </c>
    </row>
    <row r="404" spans="1:14" x14ac:dyDescent="0.25">
      <c r="A404" s="41" t="s">
        <v>416</v>
      </c>
      <c r="B404" s="1">
        <v>2</v>
      </c>
      <c r="C404" s="8">
        <v>46080</v>
      </c>
      <c r="D404" s="1" t="s">
        <v>983</v>
      </c>
      <c r="E404" s="7" t="s">
        <v>14</v>
      </c>
      <c r="F404" s="1" t="s">
        <v>24</v>
      </c>
      <c r="G404" s="9" t="s">
        <v>35</v>
      </c>
      <c r="H404" s="7" t="s">
        <v>74</v>
      </c>
      <c r="I404" s="18">
        <v>15000000</v>
      </c>
      <c r="J404" s="10">
        <v>3340</v>
      </c>
      <c r="K404" s="7" t="s">
        <v>12</v>
      </c>
      <c r="L404" s="7" t="s">
        <v>53</v>
      </c>
      <c r="M404" s="34">
        <v>46083</v>
      </c>
      <c r="N404" s="7" t="s">
        <v>774</v>
      </c>
    </row>
    <row r="405" spans="1:14" x14ac:dyDescent="0.25">
      <c r="A405" s="41" t="s">
        <v>534</v>
      </c>
      <c r="B405" s="1">
        <v>1</v>
      </c>
      <c r="C405" s="8">
        <v>46059</v>
      </c>
      <c r="D405" s="1" t="s">
        <v>704</v>
      </c>
      <c r="E405" s="7" t="s">
        <v>13</v>
      </c>
      <c r="F405" s="1" t="s">
        <v>24</v>
      </c>
      <c r="G405" s="9" t="s">
        <v>35</v>
      </c>
      <c r="H405" s="7">
        <v>401</v>
      </c>
      <c r="I405" s="18">
        <v>15001002</v>
      </c>
      <c r="J405" s="10">
        <v>11800</v>
      </c>
      <c r="K405" s="7" t="s">
        <v>13</v>
      </c>
      <c r="L405" s="7" t="s">
        <v>54</v>
      </c>
      <c r="M405" s="34">
        <v>46063</v>
      </c>
      <c r="N405" s="7" t="s">
        <v>62</v>
      </c>
    </row>
    <row r="406" spans="1:14" x14ac:dyDescent="0.25">
      <c r="A406" s="41" t="s">
        <v>414</v>
      </c>
      <c r="B406" s="1">
        <v>2</v>
      </c>
      <c r="C406" s="8">
        <v>46080</v>
      </c>
      <c r="D406" s="1" t="s">
        <v>705</v>
      </c>
      <c r="E406" s="7" t="s">
        <v>11</v>
      </c>
      <c r="F406" s="1" t="s">
        <v>24</v>
      </c>
      <c r="G406" s="9" t="s">
        <v>35</v>
      </c>
      <c r="H406" s="7">
        <v>8148</v>
      </c>
      <c r="I406" s="18">
        <v>15000000</v>
      </c>
      <c r="J406" s="10">
        <v>950</v>
      </c>
      <c r="K406" s="7" t="s">
        <v>12</v>
      </c>
      <c r="L406" s="7" t="s">
        <v>53</v>
      </c>
      <c r="M406" s="34">
        <v>46080</v>
      </c>
      <c r="N406" s="7" t="s">
        <v>91</v>
      </c>
    </row>
    <row r="407" spans="1:14" x14ac:dyDescent="0.25">
      <c r="A407" s="41" t="s">
        <v>231</v>
      </c>
      <c r="B407" s="1">
        <v>2</v>
      </c>
      <c r="C407" s="8">
        <v>46064</v>
      </c>
      <c r="D407" s="1" t="s">
        <v>706</v>
      </c>
      <c r="E407" s="7" t="s">
        <v>2</v>
      </c>
      <c r="F407" s="1" t="s">
        <v>24</v>
      </c>
      <c r="G407" s="9" t="s">
        <v>35</v>
      </c>
      <c r="H407" s="7">
        <v>944</v>
      </c>
      <c r="I407" s="18">
        <v>15001001</v>
      </c>
      <c r="J407" s="10">
        <v>58328.42</v>
      </c>
      <c r="K407" s="7" t="s">
        <v>12</v>
      </c>
      <c r="L407" s="7" t="s">
        <v>53</v>
      </c>
      <c r="M407" s="34">
        <v>46064</v>
      </c>
      <c r="N407" s="7" t="s">
        <v>41</v>
      </c>
    </row>
    <row r="408" spans="1:14" x14ac:dyDescent="0.25">
      <c r="A408" s="41" t="s">
        <v>569</v>
      </c>
      <c r="B408" s="1">
        <v>2</v>
      </c>
      <c r="C408" s="8">
        <v>46062</v>
      </c>
      <c r="D408" s="1" t="s">
        <v>707</v>
      </c>
      <c r="E408" s="7" t="s">
        <v>2</v>
      </c>
      <c r="F408" s="1" t="s">
        <v>24</v>
      </c>
      <c r="G408" s="9" t="s">
        <v>35</v>
      </c>
      <c r="H408" s="7" t="s">
        <v>581</v>
      </c>
      <c r="I408" s="18">
        <v>15400000</v>
      </c>
      <c r="J408" s="10">
        <v>110159.59</v>
      </c>
      <c r="K408" s="7" t="s">
        <v>12</v>
      </c>
      <c r="L408" s="7" t="s">
        <v>53</v>
      </c>
      <c r="M408" s="34">
        <v>46062</v>
      </c>
      <c r="N408" s="7" t="s">
        <v>52</v>
      </c>
    </row>
    <row r="409" spans="1:14" x14ac:dyDescent="0.25">
      <c r="A409" s="41" t="s">
        <v>569</v>
      </c>
      <c r="B409" s="1">
        <v>2</v>
      </c>
      <c r="C409" s="8">
        <v>46062</v>
      </c>
      <c r="D409" s="1" t="s">
        <v>708</v>
      </c>
      <c r="E409" s="7" t="s">
        <v>2</v>
      </c>
      <c r="F409" s="1" t="s">
        <v>24</v>
      </c>
      <c r="G409" s="9" t="s">
        <v>35</v>
      </c>
      <c r="H409" s="7">
        <v>149002211</v>
      </c>
      <c r="I409" s="18">
        <v>15000000</v>
      </c>
      <c r="J409" s="10">
        <v>255.71</v>
      </c>
      <c r="K409" s="7" t="s">
        <v>12</v>
      </c>
      <c r="L409" s="7" t="s">
        <v>53</v>
      </c>
      <c r="M409" s="34">
        <v>46062</v>
      </c>
      <c r="N409" s="7" t="s">
        <v>52</v>
      </c>
    </row>
    <row r="410" spans="1:14" x14ac:dyDescent="0.25">
      <c r="A410" s="41" t="s">
        <v>569</v>
      </c>
      <c r="B410" s="1">
        <v>2</v>
      </c>
      <c r="C410" s="8">
        <v>46062</v>
      </c>
      <c r="D410" s="1" t="s">
        <v>709</v>
      </c>
      <c r="E410" s="7" t="s">
        <v>2</v>
      </c>
      <c r="F410" s="1" t="s">
        <v>24</v>
      </c>
      <c r="G410" s="9" t="s">
        <v>35</v>
      </c>
      <c r="H410" s="7" t="s">
        <v>581</v>
      </c>
      <c r="I410" s="18">
        <v>15001001</v>
      </c>
      <c r="J410" s="10">
        <v>14447.2</v>
      </c>
      <c r="K410" s="7" t="s">
        <v>12</v>
      </c>
      <c r="L410" s="7" t="s">
        <v>53</v>
      </c>
      <c r="M410" s="34">
        <v>46062</v>
      </c>
      <c r="N410" s="7" t="s">
        <v>52</v>
      </c>
    </row>
    <row r="411" spans="1:14" x14ac:dyDescent="0.25">
      <c r="A411" s="41" t="s">
        <v>712</v>
      </c>
      <c r="B411" s="1">
        <v>2</v>
      </c>
      <c r="C411" s="8">
        <v>46065</v>
      </c>
      <c r="D411" s="1" t="s">
        <v>711</v>
      </c>
      <c r="E411" s="7" t="s">
        <v>14</v>
      </c>
      <c r="F411" s="1" t="s">
        <v>24</v>
      </c>
      <c r="G411" s="9" t="s">
        <v>36</v>
      </c>
      <c r="H411" s="7" t="s">
        <v>74</v>
      </c>
      <c r="I411" s="18" t="s">
        <v>710</v>
      </c>
      <c r="J411" s="10" t="s">
        <v>61</v>
      </c>
      <c r="K411" s="7" t="s">
        <v>22</v>
      </c>
      <c r="L411" s="7" t="s">
        <v>55</v>
      </c>
      <c r="M411" s="34">
        <v>46065</v>
      </c>
    </row>
    <row r="412" spans="1:14" x14ac:dyDescent="0.25">
      <c r="A412" s="41" t="s">
        <v>590</v>
      </c>
      <c r="B412" s="1">
        <v>1</v>
      </c>
      <c r="C412" s="8">
        <v>46062</v>
      </c>
      <c r="D412" s="1" t="s">
        <v>713</v>
      </c>
      <c r="E412" s="7" t="s">
        <v>14</v>
      </c>
      <c r="F412" s="1" t="s">
        <v>24</v>
      </c>
      <c r="G412" s="9" t="s">
        <v>35</v>
      </c>
      <c r="H412" s="7" t="s">
        <v>74</v>
      </c>
      <c r="I412" s="18">
        <v>15000000</v>
      </c>
      <c r="J412" s="10">
        <v>170.68</v>
      </c>
      <c r="K412" s="7" t="s">
        <v>12</v>
      </c>
      <c r="L412" s="7" t="s">
        <v>53</v>
      </c>
      <c r="M412" s="34">
        <v>46063</v>
      </c>
      <c r="N412" s="7" t="s">
        <v>41</v>
      </c>
    </row>
    <row r="413" spans="1:14" x14ac:dyDescent="0.25">
      <c r="A413" s="41" t="s">
        <v>313</v>
      </c>
      <c r="B413" s="1">
        <v>1</v>
      </c>
      <c r="C413" s="8">
        <v>46062</v>
      </c>
      <c r="D413" s="1" t="s">
        <v>714</v>
      </c>
      <c r="E413" s="7" t="s">
        <v>13</v>
      </c>
      <c r="F413" s="1" t="s">
        <v>24</v>
      </c>
      <c r="G413" s="9" t="s">
        <v>35</v>
      </c>
      <c r="H413" s="7">
        <v>169590</v>
      </c>
      <c r="I413" s="18">
        <v>16000000</v>
      </c>
      <c r="J413" s="10">
        <v>3621.56</v>
      </c>
      <c r="K413" s="7" t="s">
        <v>13</v>
      </c>
      <c r="L413" s="7" t="s">
        <v>54</v>
      </c>
      <c r="M413" s="34">
        <v>46072</v>
      </c>
      <c r="N413" s="7" t="s">
        <v>41</v>
      </c>
    </row>
    <row r="414" spans="1:14" x14ac:dyDescent="0.25">
      <c r="A414" s="41" t="s">
        <v>435</v>
      </c>
      <c r="B414" s="1">
        <v>2</v>
      </c>
      <c r="C414" s="8">
        <v>46072</v>
      </c>
      <c r="D414" s="1" t="s">
        <v>715</v>
      </c>
      <c r="E414" s="7" t="s">
        <v>14</v>
      </c>
      <c r="F414" s="1" t="s">
        <v>24</v>
      </c>
      <c r="G414" s="9" t="s">
        <v>35</v>
      </c>
      <c r="H414" s="7">
        <v>2782356</v>
      </c>
      <c r="I414" s="18">
        <v>15000000</v>
      </c>
      <c r="J414" s="10">
        <v>247659.07</v>
      </c>
      <c r="K414" s="7" t="s">
        <v>58</v>
      </c>
      <c r="L414" s="7" t="s">
        <v>59</v>
      </c>
      <c r="M414" s="34">
        <v>46072</v>
      </c>
      <c r="N414" s="7" t="s">
        <v>92</v>
      </c>
    </row>
    <row r="415" spans="1:14" x14ac:dyDescent="0.25">
      <c r="A415" s="41" t="s">
        <v>231</v>
      </c>
      <c r="B415" s="1">
        <v>3</v>
      </c>
      <c r="C415" s="8">
        <v>46065</v>
      </c>
      <c r="D415" s="1" t="s">
        <v>716</v>
      </c>
      <c r="E415" s="7" t="s">
        <v>13</v>
      </c>
      <c r="F415" s="1" t="s">
        <v>24</v>
      </c>
      <c r="G415" s="9" t="s">
        <v>35</v>
      </c>
      <c r="H415" s="7">
        <v>950</v>
      </c>
      <c r="I415" s="18">
        <v>16000000</v>
      </c>
      <c r="J415" s="10">
        <v>13916.66</v>
      </c>
      <c r="K415" s="7" t="s">
        <v>13</v>
      </c>
      <c r="L415" s="7" t="s">
        <v>54</v>
      </c>
      <c r="M415" s="34">
        <v>46065</v>
      </c>
      <c r="N415" s="7" t="s">
        <v>41</v>
      </c>
    </row>
    <row r="416" spans="1:14" x14ac:dyDescent="0.25">
      <c r="A416" s="41" t="s">
        <v>179</v>
      </c>
      <c r="B416" s="1">
        <v>1</v>
      </c>
      <c r="C416" s="8">
        <v>46062</v>
      </c>
      <c r="D416" s="1" t="s">
        <v>717</v>
      </c>
      <c r="E416" s="7" t="s">
        <v>13</v>
      </c>
      <c r="F416" s="1" t="s">
        <v>24</v>
      </c>
      <c r="G416" s="9" t="s">
        <v>35</v>
      </c>
      <c r="H416" s="7">
        <v>3</v>
      </c>
      <c r="I416" s="18">
        <v>15001002</v>
      </c>
      <c r="J416" s="10">
        <v>9440</v>
      </c>
      <c r="K416" s="7" t="s">
        <v>13</v>
      </c>
      <c r="L416" s="7" t="s">
        <v>54</v>
      </c>
      <c r="M416" s="34">
        <v>46065</v>
      </c>
      <c r="N416" s="7" t="s">
        <v>774</v>
      </c>
    </row>
    <row r="417" spans="1:14" ht="30" x14ac:dyDescent="0.25">
      <c r="A417" s="41" t="s">
        <v>781</v>
      </c>
      <c r="B417" s="1">
        <v>3</v>
      </c>
      <c r="C417" s="8">
        <v>46135</v>
      </c>
      <c r="D417" s="1" t="s">
        <v>720</v>
      </c>
      <c r="E417" s="7" t="s">
        <v>14</v>
      </c>
      <c r="F417" s="1" t="s">
        <v>24</v>
      </c>
      <c r="G417" s="9" t="s">
        <v>48</v>
      </c>
      <c r="H417" s="7" t="s">
        <v>74</v>
      </c>
      <c r="I417" s="18" t="s">
        <v>0</v>
      </c>
      <c r="J417" s="10" t="s">
        <v>61</v>
      </c>
      <c r="K417" s="7" t="s">
        <v>22</v>
      </c>
      <c r="L417" s="7" t="s">
        <v>55</v>
      </c>
      <c r="M417" s="34">
        <v>46146</v>
      </c>
      <c r="N417" s="7" t="s">
        <v>46</v>
      </c>
    </row>
    <row r="418" spans="1:14" x14ac:dyDescent="0.25">
      <c r="A418" s="41" t="s">
        <v>723</v>
      </c>
      <c r="B418" s="1">
        <v>2</v>
      </c>
      <c r="C418" s="8">
        <v>46092</v>
      </c>
      <c r="D418" s="1" t="s">
        <v>722</v>
      </c>
      <c r="E418" s="7" t="s">
        <v>14</v>
      </c>
      <c r="F418" s="1" t="s">
        <v>24</v>
      </c>
      <c r="G418" s="9" t="s">
        <v>35</v>
      </c>
      <c r="H418" s="7">
        <v>607</v>
      </c>
      <c r="I418" s="18">
        <v>15000000</v>
      </c>
      <c r="J418" s="10">
        <v>1509.25</v>
      </c>
      <c r="K418" s="7" t="s">
        <v>12</v>
      </c>
      <c r="L418" s="7" t="s">
        <v>53</v>
      </c>
      <c r="M418" s="34">
        <v>46093</v>
      </c>
      <c r="N418" s="7" t="s">
        <v>91</v>
      </c>
    </row>
    <row r="419" spans="1:14" x14ac:dyDescent="0.25">
      <c r="A419" s="41" t="s">
        <v>724</v>
      </c>
      <c r="B419" s="1">
        <v>2</v>
      </c>
      <c r="C419" s="8">
        <v>46077</v>
      </c>
      <c r="D419" s="1" t="s">
        <v>725</v>
      </c>
      <c r="E419" s="7" t="s">
        <v>83</v>
      </c>
      <c r="F419" s="1" t="s">
        <v>24</v>
      </c>
      <c r="G419" s="9" t="s">
        <v>63</v>
      </c>
      <c r="H419" s="7" t="s">
        <v>74</v>
      </c>
      <c r="I419" s="18" t="s">
        <v>0</v>
      </c>
      <c r="J419" s="10" t="s">
        <v>61</v>
      </c>
      <c r="K419" s="7" t="s">
        <v>17</v>
      </c>
      <c r="L419" s="7" t="s">
        <v>55</v>
      </c>
      <c r="M419" s="34">
        <v>46077</v>
      </c>
      <c r="N419" s="7" t="s">
        <v>46</v>
      </c>
    </row>
    <row r="420" spans="1:14" x14ac:dyDescent="0.25">
      <c r="A420" s="41" t="s">
        <v>424</v>
      </c>
      <c r="B420" s="1">
        <v>1</v>
      </c>
      <c r="C420" s="8">
        <v>46063</v>
      </c>
      <c r="D420" s="1" t="s">
        <v>726</v>
      </c>
      <c r="E420" s="7" t="s">
        <v>14</v>
      </c>
      <c r="F420" s="1" t="s">
        <v>24</v>
      </c>
      <c r="G420" s="9" t="s">
        <v>35</v>
      </c>
      <c r="H420" s="7">
        <v>195</v>
      </c>
      <c r="I420" s="18">
        <v>15000000</v>
      </c>
      <c r="J420" s="10">
        <v>37503</v>
      </c>
      <c r="K420" s="7" t="s">
        <v>12</v>
      </c>
      <c r="L420" s="7" t="s">
        <v>53</v>
      </c>
      <c r="M420" s="34">
        <v>46064</v>
      </c>
      <c r="N420" s="7" t="s">
        <v>41</v>
      </c>
    </row>
    <row r="421" spans="1:14" x14ac:dyDescent="0.25">
      <c r="A421" s="41" t="s">
        <v>252</v>
      </c>
      <c r="B421" s="1">
        <v>1</v>
      </c>
      <c r="C421" s="8">
        <v>46063</v>
      </c>
      <c r="D421" s="1" t="s">
        <v>727</v>
      </c>
      <c r="E421" s="7" t="s">
        <v>13</v>
      </c>
      <c r="F421" s="1" t="s">
        <v>24</v>
      </c>
      <c r="G421" s="9" t="s">
        <v>35</v>
      </c>
      <c r="H421" s="7" t="s">
        <v>74</v>
      </c>
      <c r="I421" s="18">
        <v>15001002</v>
      </c>
      <c r="J421" s="10">
        <v>5000</v>
      </c>
      <c r="K421" s="7" t="s">
        <v>13</v>
      </c>
      <c r="L421" s="7" t="s">
        <v>54</v>
      </c>
      <c r="M421" s="34">
        <v>46065</v>
      </c>
      <c r="N421" s="7" t="s">
        <v>774</v>
      </c>
    </row>
    <row r="422" spans="1:14" x14ac:dyDescent="0.25">
      <c r="A422" s="41" t="s">
        <v>219</v>
      </c>
      <c r="B422" s="1">
        <v>2</v>
      </c>
      <c r="C422" s="8">
        <v>46066</v>
      </c>
      <c r="D422" s="1" t="s">
        <v>728</v>
      </c>
      <c r="E422" s="7" t="s">
        <v>13</v>
      </c>
      <c r="F422" s="1" t="s">
        <v>24</v>
      </c>
      <c r="G422" s="9" t="s">
        <v>35</v>
      </c>
      <c r="H422" s="7">
        <v>2383</v>
      </c>
      <c r="I422" s="18">
        <v>16000000</v>
      </c>
      <c r="J422" s="10">
        <v>171489.97</v>
      </c>
      <c r="K422" s="7" t="s">
        <v>13</v>
      </c>
      <c r="L422" s="7" t="s">
        <v>40</v>
      </c>
      <c r="M422" s="34">
        <v>46066</v>
      </c>
      <c r="N422" s="7" t="s">
        <v>45</v>
      </c>
    </row>
    <row r="423" spans="1:14" x14ac:dyDescent="0.25">
      <c r="A423" s="41" t="s">
        <v>219</v>
      </c>
      <c r="B423" s="1">
        <v>3</v>
      </c>
      <c r="C423" s="8">
        <v>46072</v>
      </c>
      <c r="D423" s="1" t="s">
        <v>729</v>
      </c>
      <c r="E423" s="7" t="s">
        <v>13</v>
      </c>
      <c r="F423" s="1" t="s">
        <v>24</v>
      </c>
      <c r="G423" s="9" t="s">
        <v>35</v>
      </c>
      <c r="H423" s="7">
        <v>2382</v>
      </c>
      <c r="I423" s="18">
        <v>15001002</v>
      </c>
      <c r="J423" s="10">
        <v>380846.43</v>
      </c>
      <c r="K423" s="7" t="s">
        <v>13</v>
      </c>
      <c r="L423" s="7" t="s">
        <v>54</v>
      </c>
      <c r="M423" s="34">
        <v>46072</v>
      </c>
      <c r="N423" s="7" t="s">
        <v>41</v>
      </c>
    </row>
    <row r="424" spans="1:14" x14ac:dyDescent="0.25">
      <c r="A424" s="41" t="s">
        <v>730</v>
      </c>
      <c r="B424" s="1">
        <v>1</v>
      </c>
      <c r="C424" s="8">
        <v>46063</v>
      </c>
      <c r="D424" s="1" t="s">
        <v>731</v>
      </c>
      <c r="E424" s="7" t="s">
        <v>11</v>
      </c>
      <c r="F424" s="1" t="s">
        <v>24</v>
      </c>
      <c r="G424" s="9" t="s">
        <v>35</v>
      </c>
      <c r="H424" s="7">
        <v>57</v>
      </c>
      <c r="I424" s="18">
        <v>15000000</v>
      </c>
      <c r="J424" s="10">
        <v>80000</v>
      </c>
      <c r="K424" s="7" t="s">
        <v>12</v>
      </c>
      <c r="L424" s="7" t="s">
        <v>53</v>
      </c>
      <c r="M424" s="34">
        <v>46064</v>
      </c>
      <c r="N424" s="7" t="s">
        <v>41</v>
      </c>
    </row>
    <row r="425" spans="1:14" x14ac:dyDescent="0.25">
      <c r="A425" s="41" t="s">
        <v>732</v>
      </c>
      <c r="B425" s="1">
        <v>1</v>
      </c>
      <c r="C425" s="8">
        <v>46064</v>
      </c>
      <c r="D425" s="1" t="s">
        <v>733</v>
      </c>
      <c r="E425" s="7" t="s">
        <v>11</v>
      </c>
      <c r="F425" s="1" t="s">
        <v>24</v>
      </c>
      <c r="G425" s="9" t="s">
        <v>35</v>
      </c>
      <c r="H425" s="7">
        <v>548</v>
      </c>
      <c r="I425" s="18">
        <v>15000000</v>
      </c>
      <c r="J425" s="10">
        <v>200000</v>
      </c>
      <c r="K425" s="7" t="s">
        <v>12</v>
      </c>
      <c r="L425" s="7" t="s">
        <v>53</v>
      </c>
      <c r="M425" s="34">
        <v>46064</v>
      </c>
      <c r="N425" s="7" t="s">
        <v>41</v>
      </c>
    </row>
    <row r="426" spans="1:14" x14ac:dyDescent="0.25">
      <c r="A426" s="41" t="s">
        <v>154</v>
      </c>
      <c r="B426" s="1">
        <v>1</v>
      </c>
      <c r="C426" s="8">
        <v>46063</v>
      </c>
      <c r="D426" s="1" t="s">
        <v>736</v>
      </c>
      <c r="E426" s="7" t="s">
        <v>13</v>
      </c>
      <c r="F426" s="1" t="s">
        <v>24</v>
      </c>
      <c r="G426" s="9" t="s">
        <v>35</v>
      </c>
      <c r="H426" s="7">
        <v>115</v>
      </c>
      <c r="I426" s="18">
        <v>15001002</v>
      </c>
      <c r="J426" s="10">
        <v>11600</v>
      </c>
      <c r="K426" s="7" t="s">
        <v>13</v>
      </c>
      <c r="L426" s="7" t="s">
        <v>54</v>
      </c>
      <c r="M426" s="34">
        <v>46065</v>
      </c>
      <c r="N426" s="7" t="s">
        <v>45</v>
      </c>
    </row>
    <row r="427" spans="1:14" x14ac:dyDescent="0.25">
      <c r="A427" s="41" t="s">
        <v>737</v>
      </c>
      <c r="B427" s="1">
        <v>1</v>
      </c>
      <c r="C427" s="8">
        <v>46064</v>
      </c>
      <c r="D427" s="1" t="s">
        <v>738</v>
      </c>
      <c r="E427" s="7" t="s">
        <v>13</v>
      </c>
      <c r="F427" s="1" t="s">
        <v>24</v>
      </c>
      <c r="G427" s="9" t="s">
        <v>35</v>
      </c>
      <c r="H427" s="7" t="s">
        <v>74</v>
      </c>
      <c r="I427" s="18">
        <v>15001002</v>
      </c>
      <c r="J427" s="10">
        <v>10192</v>
      </c>
      <c r="K427" s="7" t="s">
        <v>13</v>
      </c>
      <c r="L427" s="7" t="s">
        <v>54</v>
      </c>
      <c r="M427" s="34">
        <v>46072</v>
      </c>
      <c r="N427" s="7" t="s">
        <v>91</v>
      </c>
    </row>
    <row r="428" spans="1:14" x14ac:dyDescent="0.25">
      <c r="A428" s="41" t="s">
        <v>740</v>
      </c>
      <c r="B428" s="1">
        <v>2</v>
      </c>
      <c r="C428" s="8">
        <v>46072</v>
      </c>
      <c r="D428" s="1" t="s">
        <v>739</v>
      </c>
      <c r="E428" s="7" t="s">
        <v>13</v>
      </c>
      <c r="F428" s="1" t="s">
        <v>24</v>
      </c>
      <c r="G428" s="9" t="s">
        <v>35</v>
      </c>
      <c r="H428" s="7" t="s">
        <v>551</v>
      </c>
      <c r="I428" s="18">
        <v>15001002</v>
      </c>
      <c r="J428" s="10">
        <v>1800</v>
      </c>
      <c r="K428" s="7" t="s">
        <v>13</v>
      </c>
      <c r="L428" s="7" t="s">
        <v>54</v>
      </c>
      <c r="M428" s="34">
        <v>46073</v>
      </c>
      <c r="N428" s="7" t="s">
        <v>91</v>
      </c>
    </row>
    <row r="429" spans="1:14" x14ac:dyDescent="0.25">
      <c r="A429" s="41" t="s">
        <v>181</v>
      </c>
      <c r="B429" s="1">
        <v>1</v>
      </c>
      <c r="C429" s="8">
        <v>46064</v>
      </c>
      <c r="D429" s="1" t="s">
        <v>741</v>
      </c>
      <c r="E429" s="7" t="s">
        <v>13</v>
      </c>
      <c r="F429" s="1" t="s">
        <v>24</v>
      </c>
      <c r="G429" s="9" t="s">
        <v>35</v>
      </c>
      <c r="H429" s="7">
        <v>931518298</v>
      </c>
      <c r="I429" s="18">
        <v>15001002</v>
      </c>
      <c r="J429" s="10">
        <v>332.5</v>
      </c>
      <c r="K429" s="7" t="s">
        <v>58</v>
      </c>
      <c r="L429" s="7" t="s">
        <v>59</v>
      </c>
    </row>
    <row r="430" spans="1:14" x14ac:dyDescent="0.25">
      <c r="A430" s="41" t="s">
        <v>79</v>
      </c>
      <c r="B430" s="1">
        <v>1</v>
      </c>
      <c r="C430" s="8">
        <v>46064</v>
      </c>
      <c r="D430" s="1" t="s">
        <v>742</v>
      </c>
      <c r="E430" s="7" t="s">
        <v>13</v>
      </c>
      <c r="F430" s="1" t="s">
        <v>24</v>
      </c>
      <c r="G430" s="9" t="s">
        <v>35</v>
      </c>
      <c r="H430" s="7">
        <v>34</v>
      </c>
      <c r="I430" s="18">
        <v>15001002</v>
      </c>
      <c r="J430" s="10">
        <v>6200</v>
      </c>
      <c r="K430" s="7" t="s">
        <v>13</v>
      </c>
      <c r="L430" s="7" t="s">
        <v>54</v>
      </c>
      <c r="M430" s="34">
        <v>46065</v>
      </c>
      <c r="N430" s="7" t="s">
        <v>774</v>
      </c>
    </row>
    <row r="431" spans="1:14" x14ac:dyDescent="0.25">
      <c r="A431" s="41" t="s">
        <v>199</v>
      </c>
      <c r="B431" s="1">
        <v>2</v>
      </c>
      <c r="C431" s="8">
        <v>46066</v>
      </c>
      <c r="D431" s="1" t="s">
        <v>743</v>
      </c>
      <c r="E431" s="7" t="s">
        <v>13</v>
      </c>
      <c r="F431" s="1" t="s">
        <v>24</v>
      </c>
      <c r="G431" s="9" t="s">
        <v>35</v>
      </c>
      <c r="H431" s="7">
        <v>469</v>
      </c>
      <c r="I431" s="18">
        <v>15001002</v>
      </c>
      <c r="J431" s="10">
        <v>4000</v>
      </c>
      <c r="K431" s="7" t="s">
        <v>13</v>
      </c>
      <c r="L431" s="7" t="s">
        <v>54</v>
      </c>
      <c r="M431" s="34">
        <v>46066</v>
      </c>
      <c r="N431" s="7" t="s">
        <v>91</v>
      </c>
    </row>
    <row r="432" spans="1:14" x14ac:dyDescent="0.25">
      <c r="A432" s="41" t="s">
        <v>364</v>
      </c>
      <c r="B432" s="1">
        <v>1</v>
      </c>
      <c r="C432" s="8">
        <v>46064</v>
      </c>
      <c r="D432" s="1" t="s">
        <v>744</v>
      </c>
      <c r="E432" s="7" t="s">
        <v>13</v>
      </c>
      <c r="F432" s="1" t="s">
        <v>24</v>
      </c>
      <c r="G432" s="9" t="s">
        <v>35</v>
      </c>
      <c r="I432" s="18">
        <v>16000000</v>
      </c>
      <c r="J432" s="10">
        <v>18286.04</v>
      </c>
      <c r="K432" s="7" t="s">
        <v>13</v>
      </c>
      <c r="L432" s="7" t="s">
        <v>54</v>
      </c>
      <c r="M432" s="34">
        <v>46072</v>
      </c>
      <c r="N432" s="7" t="s">
        <v>774</v>
      </c>
    </row>
    <row r="433" spans="1:14" x14ac:dyDescent="0.25">
      <c r="A433" s="41" t="s">
        <v>364</v>
      </c>
      <c r="B433" s="1">
        <v>1</v>
      </c>
      <c r="C433" s="8">
        <v>46064</v>
      </c>
      <c r="D433" s="1" t="s">
        <v>745</v>
      </c>
      <c r="E433" s="7" t="s">
        <v>13</v>
      </c>
      <c r="F433" s="1" t="s">
        <v>24</v>
      </c>
      <c r="G433" s="9" t="s">
        <v>35</v>
      </c>
      <c r="H433" s="7">
        <v>2498</v>
      </c>
      <c r="I433" s="18">
        <v>15001002</v>
      </c>
      <c r="J433" s="10">
        <v>12666.48</v>
      </c>
      <c r="K433" s="7" t="s">
        <v>13</v>
      </c>
      <c r="L433" s="7" t="s">
        <v>54</v>
      </c>
      <c r="M433" s="34">
        <v>46072</v>
      </c>
      <c r="N433" s="7" t="s">
        <v>91</v>
      </c>
    </row>
    <row r="434" spans="1:14" x14ac:dyDescent="0.25">
      <c r="A434" s="41" t="s">
        <v>210</v>
      </c>
      <c r="B434" s="1">
        <v>3</v>
      </c>
      <c r="C434" s="8">
        <v>46065</v>
      </c>
      <c r="D434" s="1" t="s">
        <v>746</v>
      </c>
      <c r="E434" s="7" t="s">
        <v>14</v>
      </c>
      <c r="F434" s="1" t="s">
        <v>24</v>
      </c>
      <c r="G434" s="9" t="s">
        <v>35</v>
      </c>
      <c r="H434" s="7" t="s">
        <v>581</v>
      </c>
      <c r="I434" s="18" t="s">
        <v>0</v>
      </c>
      <c r="J434" s="10">
        <v>1288.72</v>
      </c>
      <c r="K434" s="7" t="s">
        <v>12</v>
      </c>
      <c r="L434" s="7" t="s">
        <v>55</v>
      </c>
      <c r="M434" s="34">
        <v>46104</v>
      </c>
      <c r="N434" s="7" t="s">
        <v>41</v>
      </c>
    </row>
    <row r="435" spans="1:14" x14ac:dyDescent="0.25">
      <c r="A435" s="41" t="s">
        <v>435</v>
      </c>
      <c r="B435" s="1">
        <v>2</v>
      </c>
      <c r="C435" s="8">
        <v>46073</v>
      </c>
      <c r="D435" s="1" t="s">
        <v>747</v>
      </c>
      <c r="E435" s="7" t="s">
        <v>2</v>
      </c>
      <c r="F435" s="1" t="s">
        <v>24</v>
      </c>
      <c r="G435" s="9" t="s">
        <v>35</v>
      </c>
      <c r="H435" s="7">
        <v>2782354</v>
      </c>
      <c r="I435" s="18">
        <v>15001001</v>
      </c>
      <c r="J435" s="10">
        <v>8786.0400000000009</v>
      </c>
      <c r="K435" s="7" t="s">
        <v>12</v>
      </c>
      <c r="L435" s="7" t="s">
        <v>53</v>
      </c>
      <c r="M435" s="34">
        <v>46073</v>
      </c>
      <c r="N435" s="7" t="s">
        <v>62</v>
      </c>
    </row>
    <row r="436" spans="1:14" x14ac:dyDescent="0.25">
      <c r="A436" s="41" t="s">
        <v>590</v>
      </c>
      <c r="B436" s="1">
        <v>1</v>
      </c>
      <c r="C436" s="8">
        <v>46064</v>
      </c>
      <c r="D436" s="1" t="s">
        <v>748</v>
      </c>
      <c r="E436" s="7" t="s">
        <v>14</v>
      </c>
      <c r="F436" s="1" t="s">
        <v>24</v>
      </c>
      <c r="G436" s="9" t="s">
        <v>35</v>
      </c>
      <c r="H436" s="7" t="s">
        <v>74</v>
      </c>
      <c r="I436" s="18">
        <v>15000000</v>
      </c>
      <c r="J436" s="10">
        <v>128.01</v>
      </c>
      <c r="K436" s="7" t="s">
        <v>58</v>
      </c>
      <c r="L436" s="7" t="s">
        <v>59</v>
      </c>
    </row>
    <row r="437" spans="1:14" x14ac:dyDescent="0.25">
      <c r="A437" s="41" t="s">
        <v>227</v>
      </c>
      <c r="B437" s="1">
        <v>1</v>
      </c>
      <c r="C437" s="8">
        <v>46064</v>
      </c>
      <c r="D437" s="1" t="s">
        <v>749</v>
      </c>
      <c r="E437" s="7" t="s">
        <v>13</v>
      </c>
      <c r="F437" s="1" t="s">
        <v>24</v>
      </c>
      <c r="G437" s="9" t="s">
        <v>35</v>
      </c>
      <c r="H437" s="7" t="s">
        <v>74</v>
      </c>
      <c r="I437" s="18">
        <v>15001002</v>
      </c>
      <c r="J437" s="10">
        <v>16903.05</v>
      </c>
      <c r="K437" s="7" t="s">
        <v>13</v>
      </c>
      <c r="L437" s="7" t="s">
        <v>54</v>
      </c>
      <c r="M437" s="34">
        <v>46073</v>
      </c>
      <c r="N437" s="7" t="s">
        <v>774</v>
      </c>
    </row>
    <row r="438" spans="1:14" x14ac:dyDescent="0.25">
      <c r="A438" s="41" t="s">
        <v>210</v>
      </c>
      <c r="B438" s="1">
        <v>1</v>
      </c>
      <c r="C438" s="8">
        <v>46064</v>
      </c>
      <c r="D438" s="1" t="s">
        <v>750</v>
      </c>
      <c r="E438" s="7" t="s">
        <v>13</v>
      </c>
      <c r="F438" s="1" t="s">
        <v>24</v>
      </c>
      <c r="G438" s="9" t="s">
        <v>35</v>
      </c>
      <c r="H438" s="7" t="s">
        <v>74</v>
      </c>
      <c r="I438" s="18">
        <v>15001002</v>
      </c>
      <c r="J438" s="10">
        <v>2692.41</v>
      </c>
      <c r="K438" s="7" t="s">
        <v>13</v>
      </c>
      <c r="L438" s="7" t="s">
        <v>40</v>
      </c>
      <c r="M438" s="34">
        <v>46065</v>
      </c>
      <c r="N438" s="7" t="s">
        <v>41</v>
      </c>
    </row>
    <row r="439" spans="1:14" x14ac:dyDescent="0.25">
      <c r="A439" s="41" t="s">
        <v>751</v>
      </c>
      <c r="B439" s="1">
        <v>1</v>
      </c>
      <c r="C439" s="8">
        <v>46064</v>
      </c>
      <c r="D439" s="1" t="s">
        <v>752</v>
      </c>
      <c r="E439" s="7" t="s">
        <v>2</v>
      </c>
      <c r="F439" s="1" t="s">
        <v>24</v>
      </c>
      <c r="G439" s="9" t="s">
        <v>35</v>
      </c>
      <c r="H439" s="7">
        <v>349</v>
      </c>
      <c r="I439" s="18">
        <v>15500000</v>
      </c>
      <c r="J439" s="10">
        <v>8934</v>
      </c>
      <c r="K439" s="7" t="s">
        <v>58</v>
      </c>
      <c r="L439" s="7" t="s">
        <v>59</v>
      </c>
    </row>
    <row r="440" spans="1:14" x14ac:dyDescent="0.25">
      <c r="A440" s="41" t="s">
        <v>339</v>
      </c>
      <c r="B440" s="1">
        <v>2</v>
      </c>
      <c r="C440" s="8">
        <v>46072</v>
      </c>
      <c r="D440" s="1" t="s">
        <v>753</v>
      </c>
      <c r="E440" s="7" t="s">
        <v>13</v>
      </c>
      <c r="F440" s="1" t="s">
        <v>24</v>
      </c>
      <c r="G440" s="9" t="s">
        <v>35</v>
      </c>
      <c r="H440" s="7">
        <v>116</v>
      </c>
      <c r="I440" s="18">
        <v>15001002</v>
      </c>
      <c r="J440" s="10">
        <v>18000</v>
      </c>
      <c r="K440" s="7" t="s">
        <v>13</v>
      </c>
      <c r="L440" s="7" t="s">
        <v>54</v>
      </c>
      <c r="M440" s="34">
        <v>46072</v>
      </c>
      <c r="N440" s="7" t="s">
        <v>774</v>
      </c>
    </row>
    <row r="441" spans="1:14" x14ac:dyDescent="0.25">
      <c r="A441" s="41" t="s">
        <v>546</v>
      </c>
      <c r="B441" s="1">
        <v>3</v>
      </c>
      <c r="C441" s="8">
        <v>46079</v>
      </c>
      <c r="D441" s="1" t="s">
        <v>754</v>
      </c>
      <c r="E441" s="7" t="s">
        <v>20</v>
      </c>
      <c r="F441" s="1" t="s">
        <v>24</v>
      </c>
      <c r="G441" s="9" t="s">
        <v>35</v>
      </c>
      <c r="H441" s="7">
        <v>5077</v>
      </c>
      <c r="I441" s="18" t="s">
        <v>755</v>
      </c>
      <c r="J441" s="10">
        <v>750810.49</v>
      </c>
      <c r="K441" s="7" t="s">
        <v>12</v>
      </c>
      <c r="L441" s="7" t="s">
        <v>53</v>
      </c>
      <c r="M441" s="34">
        <v>46079</v>
      </c>
      <c r="N441" s="7" t="s">
        <v>774</v>
      </c>
    </row>
    <row r="442" spans="1:14" x14ac:dyDescent="0.25">
      <c r="A442" s="41" t="s">
        <v>409</v>
      </c>
      <c r="B442" s="1">
        <v>1</v>
      </c>
      <c r="C442" s="8">
        <v>46064</v>
      </c>
      <c r="D442" s="1" t="s">
        <v>756</v>
      </c>
      <c r="E442" s="7" t="s">
        <v>14</v>
      </c>
      <c r="F442" s="1" t="s">
        <v>24</v>
      </c>
      <c r="G442" s="9" t="s">
        <v>35</v>
      </c>
      <c r="H442" s="7">
        <v>1069</v>
      </c>
      <c r="I442" s="18">
        <v>17510000</v>
      </c>
      <c r="J442" s="10">
        <v>433035.02</v>
      </c>
      <c r="K442" s="7" t="s">
        <v>12</v>
      </c>
      <c r="L442" s="7" t="s">
        <v>53</v>
      </c>
      <c r="M442" s="34">
        <v>46065</v>
      </c>
    </row>
    <row r="443" spans="1:14" x14ac:dyDescent="0.25">
      <c r="A443" s="41" t="s">
        <v>166</v>
      </c>
      <c r="B443" s="1">
        <v>1</v>
      </c>
      <c r="C443" s="8">
        <v>46064</v>
      </c>
      <c r="D443" s="1" t="s">
        <v>757</v>
      </c>
      <c r="E443" s="7" t="s">
        <v>13</v>
      </c>
      <c r="F443" s="1" t="s">
        <v>24</v>
      </c>
      <c r="G443" s="9" t="s">
        <v>35</v>
      </c>
      <c r="H443" s="7">
        <v>11</v>
      </c>
      <c r="I443" s="18">
        <v>15001002</v>
      </c>
      <c r="J443" s="10">
        <v>29280</v>
      </c>
      <c r="K443" s="7" t="s">
        <v>58</v>
      </c>
      <c r="L443" s="7" t="s">
        <v>59</v>
      </c>
    </row>
    <row r="444" spans="1:14" x14ac:dyDescent="0.25">
      <c r="A444" s="41" t="s">
        <v>758</v>
      </c>
      <c r="B444" s="1">
        <v>1</v>
      </c>
      <c r="C444" s="8">
        <v>46064</v>
      </c>
      <c r="D444" s="1" t="s">
        <v>759</v>
      </c>
      <c r="E444" s="7" t="s">
        <v>14</v>
      </c>
      <c r="F444" s="1" t="s">
        <v>24</v>
      </c>
      <c r="G444" s="9" t="s">
        <v>35</v>
      </c>
      <c r="H444" s="7">
        <v>258</v>
      </c>
      <c r="I444" s="18">
        <v>15000000</v>
      </c>
      <c r="J444" s="10">
        <v>386.28</v>
      </c>
      <c r="K444" s="7" t="s">
        <v>12</v>
      </c>
      <c r="L444" s="7" t="s">
        <v>53</v>
      </c>
      <c r="M444" s="34">
        <v>46072</v>
      </c>
      <c r="N444" s="7" t="s">
        <v>774</v>
      </c>
    </row>
    <row r="445" spans="1:14" x14ac:dyDescent="0.25">
      <c r="A445" s="41" t="s">
        <v>489</v>
      </c>
      <c r="B445" s="1">
        <v>1</v>
      </c>
      <c r="C445" s="8">
        <v>46058</v>
      </c>
      <c r="D445" s="1" t="s">
        <v>760</v>
      </c>
      <c r="E445" s="7" t="s">
        <v>14</v>
      </c>
      <c r="F445" s="1" t="s">
        <v>24</v>
      </c>
      <c r="G445" s="9" t="s">
        <v>35</v>
      </c>
      <c r="H445" s="7">
        <v>79253</v>
      </c>
      <c r="I445" s="18">
        <v>15000000</v>
      </c>
      <c r="J445" s="10">
        <v>1288.92</v>
      </c>
      <c r="K445" s="7" t="s">
        <v>72</v>
      </c>
      <c r="L445" s="7" t="s">
        <v>40</v>
      </c>
      <c r="M445" s="34">
        <v>46064</v>
      </c>
      <c r="N445" s="7" t="s">
        <v>41</v>
      </c>
    </row>
    <row r="446" spans="1:14" x14ac:dyDescent="0.25">
      <c r="A446" s="41" t="s">
        <v>740</v>
      </c>
      <c r="B446" s="1">
        <v>2</v>
      </c>
      <c r="C446" s="8">
        <v>46065</v>
      </c>
      <c r="D446" s="1" t="s">
        <v>761</v>
      </c>
      <c r="E446" s="7" t="s">
        <v>14</v>
      </c>
      <c r="F446" s="1" t="s">
        <v>24</v>
      </c>
      <c r="G446" s="9" t="s">
        <v>35</v>
      </c>
      <c r="H446" s="7" t="s">
        <v>74</v>
      </c>
      <c r="I446" s="18">
        <v>15000000</v>
      </c>
      <c r="J446" s="10">
        <v>9200</v>
      </c>
      <c r="K446" s="7" t="s">
        <v>12</v>
      </c>
      <c r="L446" s="7" t="s">
        <v>53</v>
      </c>
      <c r="M446" s="34">
        <v>46066</v>
      </c>
      <c r="N446" s="7" t="s">
        <v>41</v>
      </c>
    </row>
    <row r="447" spans="1:14" x14ac:dyDescent="0.25">
      <c r="A447" s="41" t="s">
        <v>763</v>
      </c>
      <c r="B447" s="1">
        <v>2</v>
      </c>
      <c r="C447" s="8">
        <v>46064</v>
      </c>
      <c r="D447" s="1" t="s">
        <v>762</v>
      </c>
      <c r="E447" s="7" t="s">
        <v>16</v>
      </c>
      <c r="F447" s="1" t="s">
        <v>24</v>
      </c>
      <c r="G447" s="9" t="s">
        <v>35</v>
      </c>
      <c r="H447" s="7" t="s">
        <v>74</v>
      </c>
      <c r="I447" s="18">
        <v>15000000</v>
      </c>
      <c r="J447" s="10">
        <v>16726.84</v>
      </c>
      <c r="K447" s="7" t="s">
        <v>12</v>
      </c>
      <c r="L447" s="7" t="s">
        <v>53</v>
      </c>
      <c r="M447" s="34">
        <v>46064</v>
      </c>
      <c r="N447" s="7" t="s">
        <v>45</v>
      </c>
    </row>
    <row r="448" spans="1:14" ht="30" x14ac:dyDescent="0.25">
      <c r="A448" s="41" t="s">
        <v>765</v>
      </c>
      <c r="B448" s="1">
        <v>2</v>
      </c>
      <c r="C448" s="8">
        <v>46064</v>
      </c>
      <c r="D448" s="1" t="s">
        <v>764</v>
      </c>
      <c r="E448" s="7" t="s">
        <v>14</v>
      </c>
      <c r="F448" s="1" t="s">
        <v>24</v>
      </c>
      <c r="G448" s="9" t="s">
        <v>47</v>
      </c>
      <c r="H448" s="7" t="s">
        <v>74</v>
      </c>
      <c r="I448" s="18" t="s">
        <v>0</v>
      </c>
      <c r="J448" s="10" t="s">
        <v>61</v>
      </c>
      <c r="K448" s="7" t="s">
        <v>22</v>
      </c>
      <c r="L448" s="7" t="s">
        <v>55</v>
      </c>
      <c r="M448" s="34">
        <v>46073</v>
      </c>
      <c r="N448" s="7" t="s">
        <v>91</v>
      </c>
    </row>
    <row r="449" spans="1:14" x14ac:dyDescent="0.25">
      <c r="A449" s="41" t="s">
        <v>210</v>
      </c>
      <c r="B449" s="1">
        <v>2</v>
      </c>
      <c r="C449" s="8">
        <v>46064</v>
      </c>
      <c r="D449" s="1" t="s">
        <v>766</v>
      </c>
      <c r="E449" s="7" t="s">
        <v>2</v>
      </c>
      <c r="F449" s="1" t="s">
        <v>24</v>
      </c>
      <c r="G449" s="9" t="s">
        <v>35</v>
      </c>
      <c r="H449" s="7" t="s">
        <v>74</v>
      </c>
      <c r="I449" s="18">
        <v>15001001</v>
      </c>
      <c r="J449" s="10">
        <v>722.8</v>
      </c>
      <c r="K449" s="7" t="s">
        <v>12</v>
      </c>
      <c r="L449" s="7" t="s">
        <v>53</v>
      </c>
      <c r="M449" s="34">
        <v>46091</v>
      </c>
      <c r="N449" s="7" t="s">
        <v>45</v>
      </c>
    </row>
    <row r="450" spans="1:14" x14ac:dyDescent="0.25">
      <c r="A450" s="41" t="s">
        <v>220</v>
      </c>
      <c r="B450" s="1">
        <v>2</v>
      </c>
      <c r="C450" s="8">
        <v>46079</v>
      </c>
      <c r="D450" s="1" t="s">
        <v>767</v>
      </c>
      <c r="E450" s="7" t="s">
        <v>11</v>
      </c>
      <c r="F450" s="1" t="s">
        <v>24</v>
      </c>
      <c r="G450" s="9" t="s">
        <v>35</v>
      </c>
      <c r="H450" s="7">
        <v>2164</v>
      </c>
      <c r="I450" s="18">
        <v>15000000</v>
      </c>
      <c r="J450" s="10">
        <v>19800</v>
      </c>
      <c r="K450" s="7" t="s">
        <v>12</v>
      </c>
      <c r="L450" s="7" t="s">
        <v>53</v>
      </c>
      <c r="M450" s="34">
        <v>46080</v>
      </c>
      <c r="N450" s="7" t="s">
        <v>41</v>
      </c>
    </row>
    <row r="451" spans="1:14" x14ac:dyDescent="0.25">
      <c r="A451" s="41" t="s">
        <v>470</v>
      </c>
      <c r="B451" s="1">
        <v>2</v>
      </c>
      <c r="C451" s="8">
        <v>46072</v>
      </c>
      <c r="D451" s="1" t="s">
        <v>768</v>
      </c>
      <c r="E451" s="7" t="s">
        <v>11</v>
      </c>
      <c r="F451" s="1" t="s">
        <v>24</v>
      </c>
      <c r="G451" s="9" t="s">
        <v>35</v>
      </c>
      <c r="H451" s="7">
        <v>20262334</v>
      </c>
      <c r="I451" s="18">
        <v>15000000</v>
      </c>
      <c r="J451" s="10">
        <v>20367</v>
      </c>
      <c r="K451" s="7" t="s">
        <v>12</v>
      </c>
      <c r="L451" s="7" t="s">
        <v>53</v>
      </c>
      <c r="M451" s="34">
        <v>46072</v>
      </c>
      <c r="N451" s="7" t="s">
        <v>91</v>
      </c>
    </row>
    <row r="452" spans="1:14" x14ac:dyDescent="0.25">
      <c r="A452" s="41" t="s">
        <v>220</v>
      </c>
      <c r="B452" s="1">
        <v>2</v>
      </c>
      <c r="C452" s="8">
        <v>46079</v>
      </c>
      <c r="D452" s="1" t="s">
        <v>769</v>
      </c>
      <c r="E452" s="7" t="s">
        <v>11</v>
      </c>
      <c r="F452" s="1" t="s">
        <v>24</v>
      </c>
      <c r="G452" s="9" t="s">
        <v>35</v>
      </c>
      <c r="H452" s="7">
        <v>2157</v>
      </c>
      <c r="I452" s="18">
        <v>15000000</v>
      </c>
      <c r="J452" s="10">
        <v>4413.3599999999997</v>
      </c>
      <c r="K452" s="7" t="s">
        <v>12</v>
      </c>
      <c r="L452" s="7" t="s">
        <v>53</v>
      </c>
      <c r="M452" s="34">
        <v>46080</v>
      </c>
      <c r="N452" s="7" t="s">
        <v>41</v>
      </c>
    </row>
    <row r="453" spans="1:14" x14ac:dyDescent="0.25">
      <c r="A453" s="41" t="s">
        <v>220</v>
      </c>
      <c r="B453" s="1">
        <v>2</v>
      </c>
      <c r="C453" s="8">
        <v>46079</v>
      </c>
      <c r="D453" s="1" t="s">
        <v>770</v>
      </c>
      <c r="E453" s="7" t="s">
        <v>11</v>
      </c>
      <c r="F453" s="1" t="s">
        <v>24</v>
      </c>
      <c r="G453" s="9" t="s">
        <v>35</v>
      </c>
      <c r="H453" s="7">
        <v>2196</v>
      </c>
      <c r="I453" s="18">
        <v>15000000</v>
      </c>
      <c r="J453" s="10">
        <v>3000</v>
      </c>
      <c r="K453" s="7" t="s">
        <v>12</v>
      </c>
      <c r="L453" s="7" t="s">
        <v>53</v>
      </c>
      <c r="M453" s="34">
        <v>46080</v>
      </c>
      <c r="N453" s="7" t="s">
        <v>41</v>
      </c>
    </row>
    <row r="454" spans="1:14" x14ac:dyDescent="0.25">
      <c r="A454" s="41" t="s">
        <v>220</v>
      </c>
      <c r="B454" s="1">
        <v>2</v>
      </c>
      <c r="C454" s="8">
        <v>46079</v>
      </c>
      <c r="D454" s="1" t="s">
        <v>771</v>
      </c>
      <c r="E454" s="7" t="s">
        <v>11</v>
      </c>
      <c r="F454" s="1" t="s">
        <v>24</v>
      </c>
      <c r="G454" s="9" t="s">
        <v>35</v>
      </c>
      <c r="H454" s="7">
        <v>2194</v>
      </c>
      <c r="I454" s="18">
        <v>15000000</v>
      </c>
      <c r="J454" s="10">
        <v>3000</v>
      </c>
      <c r="K454" s="7" t="s">
        <v>12</v>
      </c>
      <c r="L454" s="7" t="s">
        <v>53</v>
      </c>
      <c r="M454" s="34">
        <v>46080</v>
      </c>
      <c r="N454" s="7" t="s">
        <v>41</v>
      </c>
    </row>
    <row r="455" spans="1:14" x14ac:dyDescent="0.25">
      <c r="A455" s="41" t="s">
        <v>220</v>
      </c>
      <c r="B455" s="1">
        <v>2</v>
      </c>
      <c r="C455" s="8">
        <v>46079</v>
      </c>
      <c r="D455" s="1" t="s">
        <v>772</v>
      </c>
      <c r="E455" s="7" t="s">
        <v>11</v>
      </c>
      <c r="F455" s="1" t="s">
        <v>24</v>
      </c>
      <c r="G455" s="9" t="s">
        <v>35</v>
      </c>
      <c r="H455" s="7">
        <v>2195</v>
      </c>
      <c r="I455" s="18">
        <v>15000000</v>
      </c>
      <c r="J455" s="10">
        <v>3000</v>
      </c>
      <c r="K455" s="7" t="s">
        <v>12</v>
      </c>
      <c r="L455" s="7" t="s">
        <v>53</v>
      </c>
      <c r="M455" s="34">
        <v>46080</v>
      </c>
      <c r="N455" s="7" t="s">
        <v>41</v>
      </c>
    </row>
    <row r="456" spans="1:14" x14ac:dyDescent="0.25">
      <c r="A456" s="41" t="s">
        <v>220</v>
      </c>
      <c r="B456" s="1">
        <v>2</v>
      </c>
      <c r="C456" s="8">
        <v>46079</v>
      </c>
      <c r="D456" s="1" t="s">
        <v>773</v>
      </c>
      <c r="E456" s="7" t="s">
        <v>11</v>
      </c>
      <c r="F456" s="1" t="s">
        <v>24</v>
      </c>
      <c r="G456" s="9" t="s">
        <v>35</v>
      </c>
      <c r="H456" s="7">
        <v>2193</v>
      </c>
      <c r="I456" s="18">
        <v>15000000</v>
      </c>
      <c r="J456" s="10">
        <v>3000</v>
      </c>
      <c r="K456" s="7" t="s">
        <v>12</v>
      </c>
      <c r="L456" s="7" t="s">
        <v>53</v>
      </c>
      <c r="M456" s="34">
        <v>46080</v>
      </c>
      <c r="N456" s="7" t="s">
        <v>41</v>
      </c>
    </row>
    <row r="457" spans="1:14" x14ac:dyDescent="0.25">
      <c r="A457" s="41" t="s">
        <v>497</v>
      </c>
      <c r="B457" s="1">
        <v>2</v>
      </c>
      <c r="C457" s="8">
        <v>46066</v>
      </c>
      <c r="D457" s="1" t="s">
        <v>775</v>
      </c>
      <c r="E457" s="7" t="s">
        <v>16</v>
      </c>
      <c r="F457" s="1" t="s">
        <v>24</v>
      </c>
      <c r="G457" s="9" t="s">
        <v>35</v>
      </c>
      <c r="H457" s="7" t="s">
        <v>74</v>
      </c>
      <c r="I457" s="18">
        <v>15000000</v>
      </c>
      <c r="J457" s="10">
        <v>35000</v>
      </c>
      <c r="K457" s="7" t="s">
        <v>58</v>
      </c>
      <c r="L457" s="7" t="s">
        <v>59</v>
      </c>
      <c r="M457" s="34">
        <v>46065</v>
      </c>
      <c r="N457" s="7" t="s">
        <v>46</v>
      </c>
    </row>
    <row r="458" spans="1:14" x14ac:dyDescent="0.25">
      <c r="A458" s="41" t="s">
        <v>193</v>
      </c>
      <c r="B458" s="1">
        <v>1</v>
      </c>
      <c r="C458" s="8">
        <v>46065</v>
      </c>
      <c r="D458" s="1" t="s">
        <v>776</v>
      </c>
      <c r="E458" s="7" t="s">
        <v>13</v>
      </c>
      <c r="F458" s="1" t="s">
        <v>24</v>
      </c>
      <c r="G458" s="9" t="s">
        <v>35</v>
      </c>
      <c r="H458" s="7" t="s">
        <v>74</v>
      </c>
      <c r="I458" s="18">
        <v>16000000</v>
      </c>
      <c r="J458" s="10">
        <v>1140</v>
      </c>
      <c r="K458" s="7" t="s">
        <v>13</v>
      </c>
      <c r="L458" s="7" t="s">
        <v>54</v>
      </c>
      <c r="M458" s="34">
        <v>46065</v>
      </c>
      <c r="N458" s="7" t="s">
        <v>52</v>
      </c>
    </row>
    <row r="459" spans="1:14" ht="30" x14ac:dyDescent="0.25">
      <c r="A459" s="41" t="s">
        <v>931</v>
      </c>
      <c r="B459" s="1">
        <v>1</v>
      </c>
      <c r="C459" s="8">
        <v>46065</v>
      </c>
      <c r="D459" s="1" t="s">
        <v>930</v>
      </c>
      <c r="E459" s="7" t="s">
        <v>13</v>
      </c>
      <c r="F459" s="1" t="s">
        <v>24</v>
      </c>
      <c r="G459" s="11" t="s">
        <v>721</v>
      </c>
      <c r="H459" s="7" t="s">
        <v>74</v>
      </c>
      <c r="I459" s="18" t="s">
        <v>0</v>
      </c>
      <c r="J459" s="10" t="s">
        <v>61</v>
      </c>
      <c r="K459" s="7" t="s">
        <v>58</v>
      </c>
      <c r="L459" s="7" t="s">
        <v>59</v>
      </c>
    </row>
    <row r="460" spans="1:14" x14ac:dyDescent="0.25">
      <c r="A460" s="41" t="s">
        <v>778</v>
      </c>
      <c r="B460" s="1">
        <v>1</v>
      </c>
      <c r="C460" s="8">
        <v>46065</v>
      </c>
      <c r="D460" s="1" t="s">
        <v>777</v>
      </c>
      <c r="E460" s="7" t="s">
        <v>12</v>
      </c>
      <c r="F460" s="1" t="s">
        <v>24</v>
      </c>
      <c r="G460" s="9" t="s">
        <v>35</v>
      </c>
      <c r="H460" s="7">
        <v>4735</v>
      </c>
      <c r="I460" s="18">
        <v>15000000</v>
      </c>
      <c r="J460" s="10">
        <v>1370.2</v>
      </c>
      <c r="K460" s="7" t="s">
        <v>12</v>
      </c>
      <c r="L460" s="7" t="s">
        <v>53</v>
      </c>
      <c r="M460" s="34">
        <v>46066</v>
      </c>
      <c r="N460" s="7" t="s">
        <v>52</v>
      </c>
    </row>
    <row r="461" spans="1:14" x14ac:dyDescent="0.25">
      <c r="A461" s="41" t="s">
        <v>780</v>
      </c>
      <c r="B461" s="1">
        <v>1</v>
      </c>
      <c r="C461" s="8">
        <v>46065</v>
      </c>
      <c r="D461" s="1" t="s">
        <v>779</v>
      </c>
      <c r="E461" s="7" t="s">
        <v>12</v>
      </c>
      <c r="F461" s="1" t="s">
        <v>24</v>
      </c>
      <c r="G461" s="9" t="s">
        <v>35</v>
      </c>
      <c r="H461" s="7">
        <v>1216</v>
      </c>
      <c r="I461" s="18">
        <v>15000000</v>
      </c>
      <c r="J461" s="10">
        <v>9715.5</v>
      </c>
      <c r="K461" s="7" t="s">
        <v>12</v>
      </c>
      <c r="L461" s="7" t="s">
        <v>53</v>
      </c>
      <c r="M461" s="34">
        <v>46066</v>
      </c>
      <c r="N461" s="7" t="s">
        <v>52</v>
      </c>
    </row>
    <row r="462" spans="1:14" x14ac:dyDescent="0.25">
      <c r="A462" s="41" t="s">
        <v>782</v>
      </c>
      <c r="B462" s="1">
        <v>1</v>
      </c>
      <c r="C462" s="8">
        <v>46065</v>
      </c>
      <c r="D462" s="1" t="s">
        <v>783</v>
      </c>
      <c r="E462" s="7" t="s">
        <v>56</v>
      </c>
      <c r="F462" s="1" t="s">
        <v>24</v>
      </c>
      <c r="G462" s="9" t="s">
        <v>35</v>
      </c>
      <c r="H462" s="7">
        <v>264</v>
      </c>
      <c r="I462" s="18">
        <v>15000000</v>
      </c>
      <c r="J462" s="10">
        <v>13000</v>
      </c>
      <c r="K462" s="7" t="s">
        <v>12</v>
      </c>
      <c r="L462" s="7" t="s">
        <v>53</v>
      </c>
      <c r="M462" s="34">
        <v>46076</v>
      </c>
      <c r="N462" s="7" t="s">
        <v>91</v>
      </c>
    </row>
    <row r="463" spans="1:14" x14ac:dyDescent="0.25">
      <c r="A463" s="41" t="s">
        <v>785</v>
      </c>
      <c r="B463" s="1">
        <v>2</v>
      </c>
      <c r="C463" s="8">
        <v>46073</v>
      </c>
      <c r="D463" s="1" t="s">
        <v>784</v>
      </c>
      <c r="E463" s="7" t="s">
        <v>56</v>
      </c>
      <c r="F463" s="1" t="s">
        <v>24</v>
      </c>
      <c r="G463" s="9" t="s">
        <v>35</v>
      </c>
      <c r="H463" s="7">
        <v>3415</v>
      </c>
      <c r="I463" s="18">
        <v>15000000</v>
      </c>
      <c r="J463" s="10">
        <v>4040.21</v>
      </c>
      <c r="K463" s="7" t="s">
        <v>12</v>
      </c>
      <c r="L463" s="7" t="s">
        <v>53</v>
      </c>
      <c r="M463" s="34">
        <v>46076</v>
      </c>
      <c r="N463" s="7" t="s">
        <v>91</v>
      </c>
    </row>
    <row r="464" spans="1:14" x14ac:dyDescent="0.25">
      <c r="A464" s="41" t="s">
        <v>225</v>
      </c>
      <c r="B464" s="1">
        <v>2</v>
      </c>
      <c r="C464" s="8">
        <v>46072</v>
      </c>
      <c r="D464" s="1" t="s">
        <v>807</v>
      </c>
      <c r="E464" s="7" t="s">
        <v>13</v>
      </c>
      <c r="F464" s="1" t="s">
        <v>24</v>
      </c>
      <c r="G464" s="9" t="s">
        <v>35</v>
      </c>
      <c r="H464" s="7">
        <v>6956</v>
      </c>
      <c r="I464" s="18">
        <v>15001002</v>
      </c>
      <c r="J464" s="10">
        <v>90886.44</v>
      </c>
      <c r="K464" s="7" t="s">
        <v>13</v>
      </c>
      <c r="L464" s="7" t="s">
        <v>54</v>
      </c>
      <c r="M464" s="34">
        <v>46072</v>
      </c>
      <c r="N464" s="7" t="s">
        <v>774</v>
      </c>
    </row>
    <row r="465" spans="1:14" x14ac:dyDescent="0.25">
      <c r="A465" s="41" t="s">
        <v>497</v>
      </c>
      <c r="B465" s="1">
        <v>2</v>
      </c>
      <c r="C465" s="8">
        <v>46160</v>
      </c>
      <c r="D465" s="1" t="s">
        <v>786</v>
      </c>
      <c r="E465" s="7" t="s">
        <v>16</v>
      </c>
      <c r="F465" s="1" t="s">
        <v>24</v>
      </c>
      <c r="G465" s="9" t="s">
        <v>68</v>
      </c>
      <c r="H465" s="7" t="s">
        <v>581</v>
      </c>
      <c r="I465" s="18">
        <v>15000000</v>
      </c>
      <c r="J465" s="10" t="s">
        <v>61</v>
      </c>
      <c r="K465" s="7" t="s">
        <v>58</v>
      </c>
      <c r="L465" s="7" t="s">
        <v>59</v>
      </c>
      <c r="M465" s="34">
        <v>46146</v>
      </c>
      <c r="N465" s="7" t="s">
        <v>41</v>
      </c>
    </row>
    <row r="466" spans="1:14" x14ac:dyDescent="0.25">
      <c r="A466" s="41" t="s">
        <v>787</v>
      </c>
      <c r="B466" s="1">
        <v>1</v>
      </c>
      <c r="C466" s="8">
        <v>46065</v>
      </c>
      <c r="D466" s="1" t="s">
        <v>788</v>
      </c>
      <c r="E466" s="7" t="s">
        <v>2</v>
      </c>
      <c r="F466" s="1" t="s">
        <v>24</v>
      </c>
      <c r="G466" s="9" t="s">
        <v>35</v>
      </c>
      <c r="H466" s="7" t="s">
        <v>74</v>
      </c>
      <c r="I466" s="18">
        <v>15001001</v>
      </c>
      <c r="J466" s="10">
        <v>35433.71</v>
      </c>
      <c r="K466" s="7" t="s">
        <v>2</v>
      </c>
      <c r="L466" s="7" t="s">
        <v>40</v>
      </c>
      <c r="M466" s="34">
        <v>46072</v>
      </c>
      <c r="N466" s="7" t="s">
        <v>92</v>
      </c>
    </row>
    <row r="467" spans="1:14" x14ac:dyDescent="0.25">
      <c r="A467" s="41" t="s">
        <v>385</v>
      </c>
      <c r="B467" s="1">
        <v>1</v>
      </c>
      <c r="C467" s="8">
        <v>46065</v>
      </c>
      <c r="D467" s="1" t="s">
        <v>789</v>
      </c>
      <c r="E467" s="7" t="s">
        <v>14</v>
      </c>
      <c r="F467" s="1" t="s">
        <v>24</v>
      </c>
      <c r="G467" s="9" t="s">
        <v>35</v>
      </c>
      <c r="H467" s="7">
        <v>4457</v>
      </c>
      <c r="I467" s="18">
        <v>15000000</v>
      </c>
      <c r="J467" s="10">
        <v>192124.91</v>
      </c>
      <c r="K467" s="7" t="s">
        <v>12</v>
      </c>
      <c r="L467" s="7" t="s">
        <v>53</v>
      </c>
      <c r="M467" s="34">
        <v>46065</v>
      </c>
      <c r="N467" s="7" t="s">
        <v>92</v>
      </c>
    </row>
    <row r="468" spans="1:14" x14ac:dyDescent="0.25">
      <c r="A468" s="41" t="s">
        <v>385</v>
      </c>
      <c r="B468" s="1">
        <v>1</v>
      </c>
      <c r="C468" s="8">
        <v>46065</v>
      </c>
      <c r="D468" s="1" t="s">
        <v>791</v>
      </c>
      <c r="E468" s="7" t="s">
        <v>2</v>
      </c>
      <c r="F468" s="1" t="s">
        <v>24</v>
      </c>
      <c r="G468" s="9" t="s">
        <v>35</v>
      </c>
      <c r="H468" s="7">
        <v>4460</v>
      </c>
      <c r="I468" s="18">
        <v>15001001</v>
      </c>
      <c r="J468" s="10">
        <v>32310.36</v>
      </c>
      <c r="K468" s="7" t="s">
        <v>12</v>
      </c>
      <c r="L468" s="7" t="s">
        <v>53</v>
      </c>
      <c r="M468" s="34">
        <v>46066</v>
      </c>
      <c r="N468" s="7" t="s">
        <v>46</v>
      </c>
    </row>
    <row r="469" spans="1:14" x14ac:dyDescent="0.25">
      <c r="A469" s="41" t="s">
        <v>385</v>
      </c>
      <c r="B469" s="1">
        <v>1</v>
      </c>
      <c r="C469" s="8">
        <v>46065</v>
      </c>
      <c r="D469" s="1" t="s">
        <v>792</v>
      </c>
      <c r="E469" s="7" t="s">
        <v>2</v>
      </c>
      <c r="F469" s="1" t="s">
        <v>24</v>
      </c>
      <c r="G469" s="9" t="s">
        <v>35</v>
      </c>
      <c r="H469" s="7">
        <v>4458</v>
      </c>
      <c r="I469" s="18">
        <v>15001001</v>
      </c>
      <c r="J469" s="10">
        <v>12299.19</v>
      </c>
      <c r="K469" s="7" t="s">
        <v>12</v>
      </c>
      <c r="L469" s="7" t="s">
        <v>53</v>
      </c>
      <c r="M469" s="34">
        <v>46066</v>
      </c>
      <c r="N469" s="7" t="s">
        <v>91</v>
      </c>
    </row>
    <row r="470" spans="1:14" x14ac:dyDescent="0.25">
      <c r="A470" s="41" t="s">
        <v>220</v>
      </c>
      <c r="B470" s="1">
        <v>2</v>
      </c>
      <c r="C470" s="8">
        <v>46079</v>
      </c>
      <c r="D470" s="1" t="s">
        <v>793</v>
      </c>
      <c r="E470" s="7" t="s">
        <v>11</v>
      </c>
      <c r="F470" s="1" t="s">
        <v>24</v>
      </c>
      <c r="G470" s="9" t="s">
        <v>35</v>
      </c>
      <c r="H470" s="7">
        <v>2199</v>
      </c>
      <c r="I470" s="18">
        <v>15000000</v>
      </c>
      <c r="J470" s="10">
        <v>5000</v>
      </c>
      <c r="K470" s="7" t="s">
        <v>12</v>
      </c>
      <c r="L470" s="7" t="s">
        <v>53</v>
      </c>
      <c r="M470" s="34">
        <v>46080</v>
      </c>
      <c r="N470" s="7" t="s">
        <v>774</v>
      </c>
    </row>
    <row r="471" spans="1:14" x14ac:dyDescent="0.25">
      <c r="A471" s="41" t="s">
        <v>220</v>
      </c>
      <c r="B471" s="1">
        <v>2</v>
      </c>
      <c r="C471" s="8">
        <v>46079</v>
      </c>
      <c r="D471" s="1" t="s">
        <v>794</v>
      </c>
      <c r="E471" s="7" t="s">
        <v>11</v>
      </c>
      <c r="F471" s="1" t="s">
        <v>24</v>
      </c>
      <c r="G471" s="9" t="s">
        <v>35</v>
      </c>
      <c r="H471" s="7">
        <v>2205</v>
      </c>
      <c r="I471" s="18">
        <v>15000000</v>
      </c>
      <c r="J471" s="10">
        <v>8920</v>
      </c>
      <c r="K471" s="7" t="s">
        <v>12</v>
      </c>
      <c r="L471" s="7" t="s">
        <v>53</v>
      </c>
      <c r="M471" s="34">
        <v>46080</v>
      </c>
      <c r="N471" s="7" t="s">
        <v>774</v>
      </c>
    </row>
    <row r="472" spans="1:14" x14ac:dyDescent="0.25">
      <c r="A472" s="41" t="s">
        <v>220</v>
      </c>
      <c r="B472" s="1">
        <v>2</v>
      </c>
      <c r="C472" s="8">
        <v>46079</v>
      </c>
      <c r="D472" s="1" t="s">
        <v>795</v>
      </c>
      <c r="E472" s="7" t="s">
        <v>11</v>
      </c>
      <c r="F472" s="1" t="s">
        <v>24</v>
      </c>
      <c r="G472" s="9" t="s">
        <v>35</v>
      </c>
      <c r="H472" s="7">
        <v>2198</v>
      </c>
      <c r="I472" s="18">
        <v>15000000</v>
      </c>
      <c r="J472" s="10">
        <v>10500</v>
      </c>
      <c r="K472" s="7" t="s">
        <v>12</v>
      </c>
      <c r="L472" s="7" t="s">
        <v>53</v>
      </c>
      <c r="M472" s="34">
        <v>46080</v>
      </c>
      <c r="N472" s="7" t="s">
        <v>41</v>
      </c>
    </row>
    <row r="473" spans="1:14" x14ac:dyDescent="0.25">
      <c r="A473" s="41" t="s">
        <v>220</v>
      </c>
      <c r="B473" s="1">
        <v>2</v>
      </c>
      <c r="C473" s="8">
        <v>46079</v>
      </c>
      <c r="D473" s="1" t="s">
        <v>796</v>
      </c>
      <c r="E473" s="7" t="s">
        <v>11</v>
      </c>
      <c r="F473" s="1" t="s">
        <v>24</v>
      </c>
      <c r="G473" s="9" t="s">
        <v>35</v>
      </c>
      <c r="H473" s="7">
        <v>2201</v>
      </c>
      <c r="I473" s="18">
        <v>15000000</v>
      </c>
      <c r="J473" s="10">
        <v>10500</v>
      </c>
      <c r="K473" s="7" t="s">
        <v>12</v>
      </c>
      <c r="L473" s="7" t="s">
        <v>53</v>
      </c>
      <c r="M473" s="34">
        <v>46080</v>
      </c>
      <c r="N473" s="7" t="s">
        <v>774</v>
      </c>
    </row>
    <row r="474" spans="1:14" x14ac:dyDescent="0.25">
      <c r="A474" s="41" t="s">
        <v>435</v>
      </c>
      <c r="B474" s="1">
        <v>1</v>
      </c>
      <c r="C474" s="8">
        <v>46065</v>
      </c>
      <c r="D474" s="1" t="s">
        <v>797</v>
      </c>
      <c r="E474" s="7" t="s">
        <v>16</v>
      </c>
      <c r="F474" s="1" t="s">
        <v>24</v>
      </c>
      <c r="G474" s="9" t="s">
        <v>35</v>
      </c>
      <c r="H474" s="7">
        <v>2783112</v>
      </c>
      <c r="I474" s="18">
        <v>16600000</v>
      </c>
      <c r="J474" s="10">
        <v>1243.5999999999999</v>
      </c>
      <c r="K474" s="7" t="s">
        <v>12</v>
      </c>
      <c r="L474" s="7" t="s">
        <v>53</v>
      </c>
      <c r="M474" s="34">
        <v>46072</v>
      </c>
      <c r="N474" s="7" t="s">
        <v>774</v>
      </c>
    </row>
    <row r="475" spans="1:14" x14ac:dyDescent="0.25">
      <c r="A475" s="41" t="s">
        <v>435</v>
      </c>
      <c r="B475" s="1">
        <v>1</v>
      </c>
      <c r="C475" s="8">
        <v>46065</v>
      </c>
      <c r="D475" s="1" t="s">
        <v>798</v>
      </c>
      <c r="E475" s="7" t="s">
        <v>16</v>
      </c>
      <c r="F475" s="1" t="s">
        <v>24</v>
      </c>
      <c r="G475" s="9" t="s">
        <v>35</v>
      </c>
      <c r="H475" s="7">
        <v>2782381</v>
      </c>
      <c r="I475" s="18">
        <v>16600000</v>
      </c>
      <c r="J475" s="10">
        <v>4534.6499999999996</v>
      </c>
      <c r="K475" s="7" t="s">
        <v>12</v>
      </c>
      <c r="L475" s="7" t="s">
        <v>53</v>
      </c>
      <c r="M475" s="34">
        <v>46072</v>
      </c>
      <c r="N475" s="7" t="s">
        <v>774</v>
      </c>
    </row>
    <row r="476" spans="1:14" x14ac:dyDescent="0.25">
      <c r="A476" s="41" t="s">
        <v>435</v>
      </c>
      <c r="B476" s="1">
        <v>1</v>
      </c>
      <c r="C476" s="8">
        <v>46065</v>
      </c>
      <c r="D476" s="1" t="s">
        <v>799</v>
      </c>
      <c r="E476" s="7" t="s">
        <v>16</v>
      </c>
      <c r="F476" s="1" t="s">
        <v>24</v>
      </c>
      <c r="G476" s="9" t="s">
        <v>35</v>
      </c>
      <c r="H476" s="7">
        <v>2782383</v>
      </c>
      <c r="I476" s="18">
        <v>16610000</v>
      </c>
      <c r="J476" s="10">
        <v>1534.6</v>
      </c>
      <c r="K476" s="7" t="s">
        <v>12</v>
      </c>
      <c r="L476" s="7" t="s">
        <v>53</v>
      </c>
      <c r="M476" s="34">
        <v>46072</v>
      </c>
      <c r="N476" s="7" t="s">
        <v>62</v>
      </c>
    </row>
    <row r="477" spans="1:14" x14ac:dyDescent="0.25">
      <c r="A477" s="41" t="s">
        <v>435</v>
      </c>
      <c r="B477" s="1">
        <v>1</v>
      </c>
      <c r="C477" s="8">
        <v>46065</v>
      </c>
      <c r="D477" s="1" t="s">
        <v>800</v>
      </c>
      <c r="E477" s="7" t="s">
        <v>16</v>
      </c>
      <c r="F477" s="1" t="s">
        <v>24</v>
      </c>
      <c r="G477" s="9" t="s">
        <v>35</v>
      </c>
      <c r="H477" s="7">
        <v>2782379</v>
      </c>
      <c r="I477" s="18">
        <v>15000000</v>
      </c>
      <c r="J477" s="10">
        <v>4521.01</v>
      </c>
      <c r="K477" s="7" t="s">
        <v>12</v>
      </c>
      <c r="L477" s="7" t="s">
        <v>53</v>
      </c>
      <c r="M477" s="34">
        <v>46072</v>
      </c>
      <c r="N477" s="7" t="s">
        <v>62</v>
      </c>
    </row>
    <row r="478" spans="1:14" x14ac:dyDescent="0.25">
      <c r="A478" s="41" t="s">
        <v>435</v>
      </c>
      <c r="B478" s="1">
        <v>1</v>
      </c>
      <c r="C478" s="8">
        <v>46065</v>
      </c>
      <c r="D478" s="1" t="s">
        <v>801</v>
      </c>
      <c r="E478" s="7" t="s">
        <v>16</v>
      </c>
      <c r="F478" s="1" t="s">
        <v>24</v>
      </c>
      <c r="G478" s="9" t="s">
        <v>35</v>
      </c>
      <c r="H478" s="7">
        <v>2782380</v>
      </c>
      <c r="I478" s="18">
        <v>16600000</v>
      </c>
      <c r="J478" s="10">
        <v>217.73</v>
      </c>
      <c r="K478" s="7" t="s">
        <v>12</v>
      </c>
      <c r="L478" s="7" t="s">
        <v>53</v>
      </c>
      <c r="M478" s="34">
        <v>46072</v>
      </c>
      <c r="N478" s="7" t="s">
        <v>774</v>
      </c>
    </row>
    <row r="479" spans="1:14" x14ac:dyDescent="0.25">
      <c r="A479" s="41" t="s">
        <v>210</v>
      </c>
      <c r="B479" s="1">
        <v>1</v>
      </c>
      <c r="C479" s="8">
        <v>46065</v>
      </c>
      <c r="D479" s="1" t="s">
        <v>802</v>
      </c>
      <c r="E479" s="7" t="s">
        <v>16</v>
      </c>
      <c r="F479" s="1" t="s">
        <v>24</v>
      </c>
      <c r="G479" s="9" t="s">
        <v>35</v>
      </c>
      <c r="H479" s="7" t="s">
        <v>74</v>
      </c>
      <c r="I479" s="18">
        <v>15000000</v>
      </c>
      <c r="J479" s="10">
        <v>344.06</v>
      </c>
      <c r="K479" s="7" t="s">
        <v>58</v>
      </c>
      <c r="L479" s="7" t="s">
        <v>59</v>
      </c>
    </row>
    <row r="480" spans="1:14" x14ac:dyDescent="0.25">
      <c r="A480" s="41" t="s">
        <v>199</v>
      </c>
      <c r="B480" s="1">
        <v>1</v>
      </c>
      <c r="C480" s="8">
        <v>46065</v>
      </c>
      <c r="D480" s="1" t="s">
        <v>803</v>
      </c>
      <c r="E480" s="7" t="s">
        <v>16</v>
      </c>
      <c r="F480" s="1" t="s">
        <v>24</v>
      </c>
      <c r="G480" s="9" t="s">
        <v>35</v>
      </c>
      <c r="H480" s="7">
        <v>471</v>
      </c>
      <c r="I480" s="18">
        <v>15000000</v>
      </c>
      <c r="J480" s="10">
        <v>3000</v>
      </c>
      <c r="K480" s="7" t="s">
        <v>12</v>
      </c>
      <c r="L480" s="7" t="s">
        <v>53</v>
      </c>
      <c r="M480" s="34">
        <v>46072</v>
      </c>
      <c r="N480" s="7" t="s">
        <v>91</v>
      </c>
    </row>
    <row r="481" spans="1:14" x14ac:dyDescent="0.25">
      <c r="A481" s="41" t="s">
        <v>220</v>
      </c>
      <c r="B481" s="1">
        <v>2</v>
      </c>
      <c r="C481" s="8">
        <v>46079</v>
      </c>
      <c r="D481" s="1" t="s">
        <v>804</v>
      </c>
      <c r="E481" s="7" t="s">
        <v>11</v>
      </c>
      <c r="F481" s="1" t="s">
        <v>24</v>
      </c>
      <c r="G481" s="9" t="s">
        <v>35</v>
      </c>
      <c r="H481" s="7">
        <v>2203</v>
      </c>
      <c r="I481" s="18">
        <v>15000000</v>
      </c>
      <c r="J481" s="10">
        <v>4000</v>
      </c>
      <c r="K481" s="7" t="s">
        <v>12</v>
      </c>
      <c r="L481" s="7" t="s">
        <v>53</v>
      </c>
      <c r="M481" s="34">
        <v>46080</v>
      </c>
      <c r="N481" s="7" t="s">
        <v>92</v>
      </c>
    </row>
    <row r="482" spans="1:14" x14ac:dyDescent="0.25">
      <c r="A482" s="41" t="s">
        <v>220</v>
      </c>
      <c r="B482" s="1">
        <v>1</v>
      </c>
      <c r="C482" s="8">
        <v>46066</v>
      </c>
      <c r="D482" s="1" t="s">
        <v>805</v>
      </c>
      <c r="E482" s="7" t="s">
        <v>11</v>
      </c>
      <c r="F482" s="1" t="s">
        <v>24</v>
      </c>
      <c r="G482" s="9" t="s">
        <v>35</v>
      </c>
      <c r="H482" s="7">
        <v>2200</v>
      </c>
      <c r="I482" s="18">
        <v>15000000</v>
      </c>
      <c r="J482" s="10">
        <v>5000</v>
      </c>
      <c r="K482" s="7" t="s">
        <v>12</v>
      </c>
      <c r="L482" s="7" t="s">
        <v>53</v>
      </c>
      <c r="M482" s="34">
        <v>46080</v>
      </c>
      <c r="N482" s="7" t="s">
        <v>92</v>
      </c>
    </row>
    <row r="483" spans="1:14" x14ac:dyDescent="0.25">
      <c r="A483" s="41" t="s">
        <v>385</v>
      </c>
      <c r="B483" s="1">
        <v>1</v>
      </c>
      <c r="C483" s="8">
        <v>46066</v>
      </c>
      <c r="D483" s="1" t="s">
        <v>806</v>
      </c>
      <c r="E483" s="7" t="s">
        <v>14</v>
      </c>
      <c r="F483" s="1" t="s">
        <v>24</v>
      </c>
      <c r="G483" s="9" t="s">
        <v>35</v>
      </c>
      <c r="H483" s="7" t="s">
        <v>74</v>
      </c>
      <c r="I483" s="18">
        <v>15000000</v>
      </c>
      <c r="J483" s="10">
        <v>104895</v>
      </c>
      <c r="K483" s="7" t="s">
        <v>58</v>
      </c>
      <c r="L483" s="7" t="s">
        <v>59</v>
      </c>
    </row>
    <row r="484" spans="1:14" x14ac:dyDescent="0.25">
      <c r="A484" s="41" t="s">
        <v>385</v>
      </c>
      <c r="B484" s="1">
        <v>3</v>
      </c>
      <c r="C484" s="8">
        <v>46091</v>
      </c>
      <c r="D484" s="1" t="s">
        <v>808</v>
      </c>
      <c r="E484" s="7" t="s">
        <v>13</v>
      </c>
      <c r="F484" s="1" t="s">
        <v>24</v>
      </c>
      <c r="G484" s="9" t="s">
        <v>35</v>
      </c>
      <c r="H484" s="7">
        <v>4454</v>
      </c>
      <c r="I484" s="18">
        <v>16000000</v>
      </c>
      <c r="J484" s="10">
        <v>20976.35</v>
      </c>
      <c r="K484" s="7" t="s">
        <v>13</v>
      </c>
      <c r="L484" s="7" t="s">
        <v>54</v>
      </c>
      <c r="M484" s="34">
        <v>46091</v>
      </c>
      <c r="N484" s="7" t="s">
        <v>41</v>
      </c>
    </row>
    <row r="485" spans="1:14" x14ac:dyDescent="0.25">
      <c r="A485" s="41" t="s">
        <v>385</v>
      </c>
      <c r="B485" s="1">
        <v>1</v>
      </c>
      <c r="C485" s="8">
        <v>46072</v>
      </c>
      <c r="D485" s="1" t="s">
        <v>809</v>
      </c>
      <c r="E485" s="7" t="s">
        <v>13</v>
      </c>
      <c r="F485" s="1" t="s">
        <v>24</v>
      </c>
      <c r="G485" s="9" t="s">
        <v>35</v>
      </c>
      <c r="H485" s="7">
        <v>4453</v>
      </c>
      <c r="I485" s="18">
        <v>15001002</v>
      </c>
      <c r="J485" s="10">
        <v>71125.67</v>
      </c>
      <c r="K485" s="7" t="s">
        <v>13</v>
      </c>
      <c r="L485" s="7" t="s">
        <v>54</v>
      </c>
      <c r="M485" s="34">
        <v>46073</v>
      </c>
      <c r="N485" s="7" t="s">
        <v>41</v>
      </c>
    </row>
    <row r="486" spans="1:14" x14ac:dyDescent="0.25">
      <c r="A486" s="41" t="s">
        <v>385</v>
      </c>
      <c r="B486" s="1">
        <v>3</v>
      </c>
      <c r="C486" s="8">
        <v>46083</v>
      </c>
      <c r="D486" s="1" t="s">
        <v>810</v>
      </c>
      <c r="E486" s="7" t="s">
        <v>13</v>
      </c>
      <c r="F486" s="1" t="s">
        <v>24</v>
      </c>
      <c r="G486" s="9" t="s">
        <v>35</v>
      </c>
      <c r="H486" s="7">
        <v>4454</v>
      </c>
      <c r="I486" s="18">
        <v>15001002</v>
      </c>
      <c r="J486" s="10">
        <v>24802.3</v>
      </c>
      <c r="K486" s="7" t="s">
        <v>58</v>
      </c>
      <c r="L486" s="7" t="s">
        <v>59</v>
      </c>
      <c r="M486" s="34">
        <v>46080</v>
      </c>
      <c r="N486" s="7" t="s">
        <v>41</v>
      </c>
    </row>
    <row r="487" spans="1:14" x14ac:dyDescent="0.25">
      <c r="A487" s="41" t="s">
        <v>265</v>
      </c>
      <c r="B487" s="1">
        <v>1</v>
      </c>
      <c r="C487" s="8">
        <v>46072</v>
      </c>
      <c r="D487" s="1" t="s">
        <v>811</v>
      </c>
      <c r="E487" s="7" t="s">
        <v>13</v>
      </c>
      <c r="F487" s="1" t="s">
        <v>24</v>
      </c>
      <c r="G487" s="9" t="s">
        <v>35</v>
      </c>
      <c r="H487" s="7">
        <v>178858</v>
      </c>
      <c r="I487" s="18">
        <v>15001002</v>
      </c>
      <c r="J487" s="10">
        <v>1805.5</v>
      </c>
      <c r="K487" s="7" t="s">
        <v>13</v>
      </c>
      <c r="L487" s="7" t="s">
        <v>54</v>
      </c>
      <c r="M487" s="34">
        <v>46077</v>
      </c>
      <c r="N487" s="7" t="s">
        <v>92</v>
      </c>
    </row>
    <row r="488" spans="1:14" x14ac:dyDescent="0.25">
      <c r="A488" s="41" t="s">
        <v>457</v>
      </c>
      <c r="B488" s="1">
        <v>3</v>
      </c>
      <c r="C488" s="8">
        <v>46076</v>
      </c>
      <c r="D488" s="1" t="s">
        <v>812</v>
      </c>
      <c r="E488" s="7" t="s">
        <v>16</v>
      </c>
      <c r="F488" s="1" t="s">
        <v>24</v>
      </c>
      <c r="G488" s="9" t="s">
        <v>35</v>
      </c>
      <c r="H488" s="7">
        <v>122</v>
      </c>
      <c r="I488" s="18">
        <v>15000000</v>
      </c>
      <c r="J488" s="10">
        <v>17956.46</v>
      </c>
      <c r="K488" s="7" t="s">
        <v>12</v>
      </c>
      <c r="L488" s="7" t="s">
        <v>53</v>
      </c>
      <c r="M488" s="34">
        <v>46076</v>
      </c>
      <c r="N488" s="7" t="s">
        <v>774</v>
      </c>
    </row>
    <row r="489" spans="1:14" x14ac:dyDescent="0.25">
      <c r="A489" s="41" t="s">
        <v>577</v>
      </c>
      <c r="B489" s="1">
        <v>2</v>
      </c>
      <c r="C489" s="8">
        <v>46073</v>
      </c>
      <c r="D489" s="1" t="s">
        <v>813</v>
      </c>
      <c r="E489" s="7" t="s">
        <v>14</v>
      </c>
      <c r="F489" s="1" t="s">
        <v>24</v>
      </c>
      <c r="G489" s="9" t="s">
        <v>35</v>
      </c>
      <c r="H489" s="7">
        <v>42263</v>
      </c>
      <c r="I489" s="18">
        <v>15000000</v>
      </c>
      <c r="J489" s="10">
        <v>406</v>
      </c>
      <c r="K489" s="7" t="s">
        <v>12</v>
      </c>
      <c r="L489" s="7" t="s">
        <v>53</v>
      </c>
      <c r="M489" s="34">
        <v>46073</v>
      </c>
      <c r="N489" s="7" t="s">
        <v>41</v>
      </c>
    </row>
    <row r="490" spans="1:14" x14ac:dyDescent="0.25">
      <c r="A490" s="41" t="s">
        <v>470</v>
      </c>
      <c r="B490" s="1">
        <v>1</v>
      </c>
      <c r="C490" s="8">
        <v>46072</v>
      </c>
      <c r="D490" s="1" t="s">
        <v>768</v>
      </c>
      <c r="E490" s="7" t="s">
        <v>11</v>
      </c>
      <c r="F490" s="1" t="s">
        <v>24</v>
      </c>
      <c r="G490" s="9" t="s">
        <v>35</v>
      </c>
      <c r="H490" s="7">
        <v>20262334</v>
      </c>
      <c r="I490" s="18">
        <v>15000000</v>
      </c>
      <c r="J490" s="10">
        <v>20367</v>
      </c>
      <c r="K490" s="7" t="s">
        <v>12</v>
      </c>
      <c r="L490" s="7" t="s">
        <v>53</v>
      </c>
      <c r="M490" s="34">
        <v>46072</v>
      </c>
      <c r="N490" s="7" t="s">
        <v>91</v>
      </c>
    </row>
    <row r="491" spans="1:14" x14ac:dyDescent="0.25">
      <c r="A491" s="41" t="s">
        <v>629</v>
      </c>
      <c r="B491" s="1">
        <v>1</v>
      </c>
      <c r="C491" s="8">
        <v>46072</v>
      </c>
      <c r="D491" s="1" t="s">
        <v>814</v>
      </c>
      <c r="E491" s="7" t="s">
        <v>2</v>
      </c>
      <c r="F491" s="1" t="s">
        <v>24</v>
      </c>
      <c r="G491" s="9" t="s">
        <v>35</v>
      </c>
      <c r="H491" s="7">
        <v>70</v>
      </c>
      <c r="I491" s="18">
        <v>15500000</v>
      </c>
      <c r="J491" s="10">
        <v>83793.8</v>
      </c>
      <c r="K491" s="7" t="s">
        <v>12</v>
      </c>
      <c r="L491" s="7" t="s">
        <v>53</v>
      </c>
      <c r="M491" s="34">
        <v>46076</v>
      </c>
      <c r="N491" s="7" t="s">
        <v>62</v>
      </c>
    </row>
    <row r="492" spans="1:14" x14ac:dyDescent="0.25">
      <c r="A492" s="41" t="s">
        <v>815</v>
      </c>
      <c r="B492" s="1">
        <v>2</v>
      </c>
      <c r="C492" s="8">
        <v>46072</v>
      </c>
      <c r="D492" s="1" t="s">
        <v>816</v>
      </c>
      <c r="E492" s="7" t="s">
        <v>14</v>
      </c>
      <c r="F492" s="1" t="s">
        <v>24</v>
      </c>
      <c r="G492" s="9" t="s">
        <v>63</v>
      </c>
      <c r="H492" s="7" t="s">
        <v>74</v>
      </c>
      <c r="I492" s="18" t="s">
        <v>0</v>
      </c>
      <c r="J492" s="10" t="s">
        <v>61</v>
      </c>
      <c r="K492" s="7" t="s">
        <v>17</v>
      </c>
      <c r="L492" s="7" t="s">
        <v>55</v>
      </c>
      <c r="M492" s="34">
        <v>46100</v>
      </c>
      <c r="N492" s="7" t="s">
        <v>91</v>
      </c>
    </row>
    <row r="493" spans="1:14" x14ac:dyDescent="0.25">
      <c r="A493" s="41" t="s">
        <v>161</v>
      </c>
      <c r="B493" s="1">
        <v>2</v>
      </c>
      <c r="C493" s="8">
        <v>46080</v>
      </c>
      <c r="D493" s="1" t="s">
        <v>817</v>
      </c>
      <c r="E493" s="7" t="s">
        <v>13</v>
      </c>
      <c r="F493" s="1" t="s">
        <v>24</v>
      </c>
      <c r="G493" s="9" t="s">
        <v>63</v>
      </c>
      <c r="H493" s="7" t="s">
        <v>74</v>
      </c>
      <c r="I493" s="18" t="s">
        <v>818</v>
      </c>
      <c r="J493" s="10" t="s">
        <v>61</v>
      </c>
      <c r="K493" s="7" t="s">
        <v>17</v>
      </c>
      <c r="L493" s="7" t="s">
        <v>55</v>
      </c>
      <c r="M493" s="34">
        <v>46083</v>
      </c>
      <c r="N493" s="7" t="s">
        <v>91</v>
      </c>
    </row>
    <row r="494" spans="1:14" x14ac:dyDescent="0.25">
      <c r="A494" s="41" t="s">
        <v>534</v>
      </c>
      <c r="B494" s="1">
        <v>2</v>
      </c>
      <c r="C494" s="8">
        <v>46080</v>
      </c>
      <c r="D494" s="1" t="s">
        <v>820</v>
      </c>
      <c r="E494" s="7" t="s">
        <v>13</v>
      </c>
      <c r="F494" s="1" t="s">
        <v>24</v>
      </c>
      <c r="G494" s="9" t="s">
        <v>63</v>
      </c>
      <c r="H494" s="7" t="s">
        <v>74</v>
      </c>
      <c r="I494" s="18" t="s">
        <v>819</v>
      </c>
      <c r="J494" s="10" t="s">
        <v>61</v>
      </c>
      <c r="K494" s="7" t="s">
        <v>58</v>
      </c>
      <c r="L494" s="7" t="s">
        <v>59</v>
      </c>
      <c r="M494" s="34">
        <v>46077</v>
      </c>
      <c r="N494" s="7" t="s">
        <v>46</v>
      </c>
    </row>
    <row r="495" spans="1:14" x14ac:dyDescent="0.25">
      <c r="A495" s="41" t="s">
        <v>758</v>
      </c>
      <c r="B495" s="1">
        <v>2</v>
      </c>
      <c r="C495" s="8">
        <v>46077</v>
      </c>
      <c r="D495" s="1" t="s">
        <v>821</v>
      </c>
      <c r="E495" s="7" t="s">
        <v>14</v>
      </c>
      <c r="F495" s="1" t="s">
        <v>24</v>
      </c>
      <c r="G495" s="9" t="s">
        <v>63</v>
      </c>
      <c r="H495" s="7" t="s">
        <v>74</v>
      </c>
      <c r="I495" s="18" t="s">
        <v>0</v>
      </c>
      <c r="J495" s="10" t="s">
        <v>61</v>
      </c>
      <c r="K495" s="7" t="s">
        <v>17</v>
      </c>
      <c r="L495" s="7" t="s">
        <v>40</v>
      </c>
      <c r="M495" s="34">
        <v>46077</v>
      </c>
      <c r="N495" s="7" t="s">
        <v>91</v>
      </c>
    </row>
    <row r="496" spans="1:14" x14ac:dyDescent="0.25">
      <c r="A496" s="41" t="s">
        <v>236</v>
      </c>
      <c r="B496" s="1">
        <v>1</v>
      </c>
      <c r="C496" s="8">
        <v>46072</v>
      </c>
      <c r="D496" s="1" t="s">
        <v>824</v>
      </c>
      <c r="E496" s="7" t="s">
        <v>13</v>
      </c>
      <c r="F496" s="1" t="s">
        <v>24</v>
      </c>
      <c r="G496" s="9" t="s">
        <v>35</v>
      </c>
      <c r="H496" s="7" t="s">
        <v>74</v>
      </c>
      <c r="I496" s="18" t="s">
        <v>0</v>
      </c>
      <c r="J496" s="10">
        <v>212</v>
      </c>
      <c r="K496" s="7" t="s">
        <v>13</v>
      </c>
      <c r="L496" s="7" t="s">
        <v>54</v>
      </c>
      <c r="M496" s="34">
        <v>46076</v>
      </c>
      <c r="N496" s="7" t="s">
        <v>92</v>
      </c>
    </row>
    <row r="497" spans="1:14" x14ac:dyDescent="0.25">
      <c r="A497" s="41" t="s">
        <v>825</v>
      </c>
      <c r="B497" s="1">
        <v>3</v>
      </c>
      <c r="C497" s="8">
        <v>46076</v>
      </c>
      <c r="D497" s="1" t="s">
        <v>826</v>
      </c>
      <c r="E497" s="7" t="s">
        <v>2</v>
      </c>
      <c r="F497" s="1" t="s">
        <v>24</v>
      </c>
      <c r="G497" s="9" t="s">
        <v>35</v>
      </c>
      <c r="H497" s="7" t="s">
        <v>74</v>
      </c>
      <c r="I497" s="18">
        <v>15001001</v>
      </c>
      <c r="J497" s="10">
        <v>120890</v>
      </c>
      <c r="K497" s="7" t="s">
        <v>12</v>
      </c>
      <c r="L497" s="7" t="s">
        <v>53</v>
      </c>
      <c r="M497" s="34">
        <v>46076</v>
      </c>
      <c r="N497" s="7" t="s">
        <v>41</v>
      </c>
    </row>
    <row r="498" spans="1:14" x14ac:dyDescent="0.25">
      <c r="A498" s="41" t="s">
        <v>380</v>
      </c>
      <c r="B498" s="1">
        <v>2</v>
      </c>
      <c r="C498" s="8">
        <v>46077</v>
      </c>
      <c r="D498" s="1" t="s">
        <v>827</v>
      </c>
      <c r="E498" s="7" t="s">
        <v>12</v>
      </c>
      <c r="F498" s="1" t="s">
        <v>24</v>
      </c>
      <c r="G498" s="9" t="s">
        <v>35</v>
      </c>
      <c r="H498" s="7">
        <v>2025909</v>
      </c>
      <c r="I498" s="18">
        <v>15000000</v>
      </c>
      <c r="J498" s="10">
        <v>33000</v>
      </c>
      <c r="K498" s="7" t="s">
        <v>12</v>
      </c>
      <c r="L498" s="7" t="s">
        <v>53</v>
      </c>
      <c r="M498" s="34">
        <v>46077</v>
      </c>
      <c r="N498" s="7" t="s">
        <v>41</v>
      </c>
    </row>
    <row r="499" spans="1:14" x14ac:dyDescent="0.25">
      <c r="A499" s="41" t="s">
        <v>486</v>
      </c>
      <c r="B499" s="1">
        <v>2</v>
      </c>
      <c r="C499" s="8">
        <v>46077</v>
      </c>
      <c r="D499" s="1" t="s">
        <v>828</v>
      </c>
      <c r="E499" s="7" t="s">
        <v>12</v>
      </c>
      <c r="F499" s="1" t="s">
        <v>24</v>
      </c>
      <c r="G499" s="9" t="s">
        <v>35</v>
      </c>
      <c r="H499" s="7">
        <v>4995</v>
      </c>
      <c r="I499" s="18">
        <v>15000000</v>
      </c>
      <c r="J499" s="10">
        <v>20000</v>
      </c>
      <c r="K499" s="7" t="s">
        <v>12</v>
      </c>
      <c r="L499" s="7" t="s">
        <v>53</v>
      </c>
      <c r="M499" s="34">
        <v>46077</v>
      </c>
      <c r="N499" s="7" t="s">
        <v>41</v>
      </c>
    </row>
    <row r="500" spans="1:14" x14ac:dyDescent="0.25">
      <c r="A500" s="41" t="s">
        <v>486</v>
      </c>
      <c r="B500" s="1">
        <v>1</v>
      </c>
      <c r="C500" s="8">
        <v>46073</v>
      </c>
      <c r="D500" s="1" t="s">
        <v>829</v>
      </c>
      <c r="E500" s="7" t="s">
        <v>12</v>
      </c>
      <c r="F500" s="1" t="s">
        <v>24</v>
      </c>
      <c r="G500" s="9" t="s">
        <v>35</v>
      </c>
      <c r="H500" s="7">
        <v>4888</v>
      </c>
      <c r="I500" s="18">
        <v>15000000</v>
      </c>
      <c r="J500" s="10">
        <v>20000</v>
      </c>
      <c r="K500" s="7" t="s">
        <v>12</v>
      </c>
      <c r="L500" s="7" t="s">
        <v>53</v>
      </c>
      <c r="M500" s="34">
        <v>46073</v>
      </c>
      <c r="N500" s="7" t="s">
        <v>41</v>
      </c>
    </row>
    <row r="501" spans="1:14" x14ac:dyDescent="0.25">
      <c r="A501" s="41" t="s">
        <v>830</v>
      </c>
      <c r="B501" s="1">
        <v>1</v>
      </c>
      <c r="C501" s="8">
        <v>46073</v>
      </c>
      <c r="D501" s="13" t="s">
        <v>883</v>
      </c>
      <c r="E501" s="7" t="s">
        <v>12</v>
      </c>
      <c r="F501" s="1" t="s">
        <v>24</v>
      </c>
      <c r="H501" s="7" t="s">
        <v>74</v>
      </c>
      <c r="I501" s="18" t="s">
        <v>0</v>
      </c>
      <c r="J501" s="10" t="s">
        <v>61</v>
      </c>
      <c r="K501" s="7" t="s">
        <v>22</v>
      </c>
      <c r="L501" s="7" t="s">
        <v>55</v>
      </c>
      <c r="M501" s="34">
        <v>46077</v>
      </c>
      <c r="N501" s="7" t="s">
        <v>46</v>
      </c>
    </row>
    <row r="502" spans="1:14" x14ac:dyDescent="0.25">
      <c r="A502" s="41" t="s">
        <v>831</v>
      </c>
      <c r="B502" s="1">
        <v>1</v>
      </c>
      <c r="C502" s="8">
        <v>46073</v>
      </c>
      <c r="D502" s="33" t="s">
        <v>855</v>
      </c>
      <c r="E502" s="7" t="s">
        <v>12</v>
      </c>
      <c r="F502" s="1" t="s">
        <v>24</v>
      </c>
      <c r="G502" s="9" t="s">
        <v>35</v>
      </c>
      <c r="H502" s="7">
        <v>750</v>
      </c>
      <c r="I502" s="18">
        <v>15000000</v>
      </c>
      <c r="J502" s="10">
        <v>32250</v>
      </c>
      <c r="K502" s="7" t="s">
        <v>12</v>
      </c>
      <c r="L502" s="7" t="s">
        <v>53</v>
      </c>
      <c r="M502" s="34">
        <v>46076</v>
      </c>
      <c r="N502" s="7" t="s">
        <v>41</v>
      </c>
    </row>
    <row r="503" spans="1:14" x14ac:dyDescent="0.25">
      <c r="A503" s="41" t="s">
        <v>370</v>
      </c>
      <c r="B503" s="1">
        <v>1</v>
      </c>
      <c r="C503" s="8">
        <v>46073</v>
      </c>
      <c r="D503" s="33" t="s">
        <v>834</v>
      </c>
      <c r="E503" s="7" t="s">
        <v>13</v>
      </c>
      <c r="F503" s="1" t="s">
        <v>24</v>
      </c>
      <c r="G503" s="9" t="s">
        <v>35</v>
      </c>
      <c r="H503" s="7">
        <v>573</v>
      </c>
      <c r="I503" s="18">
        <v>15001002</v>
      </c>
      <c r="J503" s="10">
        <v>2889</v>
      </c>
      <c r="K503" s="7" t="s">
        <v>13</v>
      </c>
      <c r="L503" s="7" t="s">
        <v>54</v>
      </c>
      <c r="M503" s="34">
        <v>46076</v>
      </c>
      <c r="N503" s="7" t="s">
        <v>774</v>
      </c>
    </row>
    <row r="504" spans="1:14" x14ac:dyDescent="0.25">
      <c r="A504" s="41" t="s">
        <v>574</v>
      </c>
      <c r="B504" s="1">
        <v>1</v>
      </c>
      <c r="C504" s="8">
        <v>46073</v>
      </c>
      <c r="D504" s="33" t="s">
        <v>835</v>
      </c>
      <c r="E504" s="7" t="s">
        <v>20</v>
      </c>
      <c r="F504" s="1" t="s">
        <v>24</v>
      </c>
      <c r="G504" s="9" t="s">
        <v>35</v>
      </c>
      <c r="H504" s="7">
        <v>63</v>
      </c>
      <c r="I504" s="18">
        <v>17080000</v>
      </c>
      <c r="J504" s="10">
        <v>135905</v>
      </c>
      <c r="K504" s="7" t="s">
        <v>12</v>
      </c>
      <c r="L504" s="7" t="s">
        <v>53</v>
      </c>
      <c r="M504" s="34">
        <v>46076</v>
      </c>
      <c r="N504" s="7" t="s">
        <v>774</v>
      </c>
    </row>
    <row r="505" spans="1:14" x14ac:dyDescent="0.25">
      <c r="A505" s="41" t="s">
        <v>569</v>
      </c>
      <c r="B505" s="1">
        <v>2</v>
      </c>
      <c r="C505" s="8">
        <v>46076</v>
      </c>
      <c r="D505" s="1" t="s">
        <v>836</v>
      </c>
      <c r="E505" s="7" t="s">
        <v>82</v>
      </c>
      <c r="F505" s="1" t="s">
        <v>24</v>
      </c>
      <c r="G505" s="9" t="s">
        <v>35</v>
      </c>
      <c r="H505" s="7">
        <v>73604364</v>
      </c>
      <c r="I505" s="18">
        <v>15000000</v>
      </c>
      <c r="J505" s="10">
        <v>1251.6199999999999</v>
      </c>
      <c r="K505" s="7" t="s">
        <v>12</v>
      </c>
      <c r="L505" s="7" t="s">
        <v>53</v>
      </c>
      <c r="M505" s="34">
        <v>46076</v>
      </c>
      <c r="N505" s="7" t="s">
        <v>774</v>
      </c>
    </row>
    <row r="506" spans="1:14" x14ac:dyDescent="0.25">
      <c r="A506" s="41" t="s">
        <v>751</v>
      </c>
      <c r="B506" s="1">
        <v>3</v>
      </c>
      <c r="C506" s="8">
        <v>46076</v>
      </c>
      <c r="D506" s="1" t="s">
        <v>837</v>
      </c>
      <c r="E506" s="7" t="s">
        <v>2</v>
      </c>
      <c r="F506" s="1" t="s">
        <v>24</v>
      </c>
      <c r="G506" s="9" t="s">
        <v>35</v>
      </c>
      <c r="H506" s="7">
        <v>352</v>
      </c>
      <c r="I506" s="18">
        <v>15500000</v>
      </c>
      <c r="J506" s="10">
        <v>9144</v>
      </c>
      <c r="K506" s="7" t="s">
        <v>12</v>
      </c>
      <c r="L506" s="7" t="s">
        <v>53</v>
      </c>
      <c r="M506" s="34">
        <v>46076</v>
      </c>
      <c r="N506" s="7" t="s">
        <v>41</v>
      </c>
    </row>
    <row r="507" spans="1:14" x14ac:dyDescent="0.25">
      <c r="A507" s="41" t="s">
        <v>569</v>
      </c>
      <c r="B507" s="1">
        <v>2</v>
      </c>
      <c r="C507" s="8">
        <v>46076</v>
      </c>
      <c r="D507" s="1" t="s">
        <v>838</v>
      </c>
      <c r="E507" s="7" t="s">
        <v>14</v>
      </c>
      <c r="F507" s="1" t="s">
        <v>24</v>
      </c>
      <c r="G507" s="9" t="s">
        <v>35</v>
      </c>
      <c r="H507" s="7" t="s">
        <v>581</v>
      </c>
      <c r="I507" s="18">
        <v>15000000</v>
      </c>
      <c r="J507" s="10">
        <v>2227.61</v>
      </c>
      <c r="K507" s="7" t="s">
        <v>12</v>
      </c>
      <c r="L507" s="7" t="s">
        <v>53</v>
      </c>
      <c r="M507" s="34">
        <v>46077</v>
      </c>
      <c r="N507" s="7" t="s">
        <v>774</v>
      </c>
    </row>
    <row r="508" spans="1:14" x14ac:dyDescent="0.25">
      <c r="A508" s="41" t="s">
        <v>569</v>
      </c>
      <c r="B508" s="1">
        <v>2</v>
      </c>
      <c r="C508" s="8">
        <v>46076</v>
      </c>
      <c r="D508" s="1" t="s">
        <v>839</v>
      </c>
      <c r="E508" s="7" t="s">
        <v>83</v>
      </c>
      <c r="F508" s="1" t="s">
        <v>24</v>
      </c>
      <c r="G508" s="9" t="s">
        <v>35</v>
      </c>
      <c r="H508" s="7">
        <v>7346060</v>
      </c>
      <c r="I508" s="18">
        <v>15000000</v>
      </c>
      <c r="J508" s="10">
        <v>5745.27</v>
      </c>
      <c r="K508" s="7" t="s">
        <v>12</v>
      </c>
      <c r="L508" s="7" t="s">
        <v>53</v>
      </c>
      <c r="M508" s="34">
        <v>46076</v>
      </c>
      <c r="N508" s="7" t="s">
        <v>774</v>
      </c>
    </row>
    <row r="509" spans="1:14" x14ac:dyDescent="0.25">
      <c r="A509" s="41" t="s">
        <v>448</v>
      </c>
      <c r="B509" s="1">
        <v>3</v>
      </c>
      <c r="C509" s="8">
        <v>46080</v>
      </c>
      <c r="D509" s="1" t="s">
        <v>840</v>
      </c>
      <c r="E509" s="7" t="s">
        <v>13</v>
      </c>
      <c r="F509" s="1" t="s">
        <v>24</v>
      </c>
      <c r="G509" s="9" t="s">
        <v>35</v>
      </c>
      <c r="H509" s="7">
        <v>44948</v>
      </c>
      <c r="I509" s="18">
        <v>15001002</v>
      </c>
      <c r="J509" s="10">
        <v>916</v>
      </c>
      <c r="K509" s="7" t="s">
        <v>13</v>
      </c>
      <c r="L509" s="7" t="s">
        <v>54</v>
      </c>
      <c r="M509" s="34">
        <v>46076</v>
      </c>
      <c r="N509" s="7" t="s">
        <v>41</v>
      </c>
    </row>
    <row r="510" spans="1:14" x14ac:dyDescent="0.25">
      <c r="A510" s="41" t="s">
        <v>367</v>
      </c>
      <c r="B510" s="1">
        <v>1</v>
      </c>
      <c r="C510" s="8">
        <v>46073</v>
      </c>
      <c r="D510" s="1" t="s">
        <v>841</v>
      </c>
      <c r="E510" s="7" t="s">
        <v>13</v>
      </c>
      <c r="F510" s="1" t="s">
        <v>24</v>
      </c>
      <c r="G510" s="9" t="s">
        <v>35</v>
      </c>
      <c r="H510" s="7">
        <v>17469</v>
      </c>
      <c r="I510" s="18">
        <v>15001002</v>
      </c>
      <c r="J510" s="10">
        <v>1917.39</v>
      </c>
      <c r="K510" s="7" t="s">
        <v>13</v>
      </c>
      <c r="L510" s="7" t="s">
        <v>54</v>
      </c>
      <c r="M510" s="34">
        <v>46076</v>
      </c>
      <c r="N510" s="7" t="s">
        <v>774</v>
      </c>
    </row>
    <row r="511" spans="1:14" x14ac:dyDescent="0.25">
      <c r="A511" s="41" t="s">
        <v>371</v>
      </c>
      <c r="B511" s="1">
        <v>3</v>
      </c>
      <c r="C511" s="8">
        <v>46087</v>
      </c>
      <c r="D511" s="1" t="s">
        <v>842</v>
      </c>
      <c r="E511" s="7" t="s">
        <v>13</v>
      </c>
      <c r="F511" s="1" t="s">
        <v>24</v>
      </c>
      <c r="G511" s="9" t="s">
        <v>35</v>
      </c>
      <c r="H511" s="7" t="s">
        <v>74</v>
      </c>
      <c r="I511" s="18">
        <v>15001002</v>
      </c>
      <c r="J511" s="10">
        <v>24414.43</v>
      </c>
      <c r="K511" s="7" t="s">
        <v>13</v>
      </c>
      <c r="L511" s="7" t="s">
        <v>54</v>
      </c>
      <c r="M511" s="34">
        <v>46090</v>
      </c>
      <c r="N511" s="7" t="s">
        <v>41</v>
      </c>
    </row>
    <row r="512" spans="1:14" x14ac:dyDescent="0.25">
      <c r="A512" s="41" t="s">
        <v>844</v>
      </c>
      <c r="B512" s="1">
        <v>2</v>
      </c>
      <c r="C512" s="8">
        <v>46073</v>
      </c>
      <c r="D512" s="1" t="s">
        <v>843</v>
      </c>
      <c r="E512" s="7" t="s">
        <v>17</v>
      </c>
      <c r="F512" s="1" t="s">
        <v>24</v>
      </c>
      <c r="G512" s="9" t="s">
        <v>35</v>
      </c>
      <c r="H512" s="7">
        <v>11</v>
      </c>
      <c r="I512" s="18">
        <v>15000000</v>
      </c>
      <c r="J512" s="10">
        <v>34252</v>
      </c>
      <c r="K512" s="7" t="s">
        <v>12</v>
      </c>
      <c r="L512" s="7" t="s">
        <v>53</v>
      </c>
      <c r="M512" s="34">
        <v>46077</v>
      </c>
      <c r="N512" s="7" t="s">
        <v>41</v>
      </c>
    </row>
    <row r="513" spans="1:14" x14ac:dyDescent="0.25">
      <c r="A513" s="41" t="s">
        <v>385</v>
      </c>
      <c r="B513" s="1">
        <v>2</v>
      </c>
      <c r="C513" s="8">
        <v>46073</v>
      </c>
      <c r="D513" s="1" t="s">
        <v>845</v>
      </c>
      <c r="E513" s="7" t="s">
        <v>14</v>
      </c>
      <c r="F513" s="1" t="s">
        <v>24</v>
      </c>
      <c r="G513" s="9" t="s">
        <v>63</v>
      </c>
      <c r="H513" s="7" t="s">
        <v>74</v>
      </c>
      <c r="I513" s="18" t="s">
        <v>846</v>
      </c>
      <c r="J513" s="12" t="s">
        <v>61</v>
      </c>
      <c r="K513" s="7" t="s">
        <v>17</v>
      </c>
      <c r="L513" s="7" t="s">
        <v>55</v>
      </c>
      <c r="M513" s="34">
        <v>46100</v>
      </c>
      <c r="N513" s="8" t="s">
        <v>91</v>
      </c>
    </row>
    <row r="514" spans="1:14" x14ac:dyDescent="0.25">
      <c r="A514" s="41" t="s">
        <v>590</v>
      </c>
      <c r="B514" s="1">
        <v>1</v>
      </c>
      <c r="C514" s="8">
        <v>46073</v>
      </c>
      <c r="D514" s="1" t="s">
        <v>856</v>
      </c>
      <c r="E514" s="7" t="s">
        <v>14</v>
      </c>
      <c r="F514" s="1" t="s">
        <v>24</v>
      </c>
      <c r="G514" s="9" t="s">
        <v>35</v>
      </c>
      <c r="H514" s="7" t="s">
        <v>74</v>
      </c>
      <c r="I514" s="18">
        <v>15000000</v>
      </c>
      <c r="J514" s="10">
        <v>170.68</v>
      </c>
      <c r="K514" s="7" t="s">
        <v>12</v>
      </c>
      <c r="L514" s="7" t="s">
        <v>53</v>
      </c>
      <c r="M514" s="34">
        <v>46076</v>
      </c>
      <c r="N514" s="8" t="s">
        <v>41</v>
      </c>
    </row>
    <row r="515" spans="1:14" x14ac:dyDescent="0.25">
      <c r="A515" s="41" t="s">
        <v>225</v>
      </c>
      <c r="B515" s="1">
        <v>2</v>
      </c>
      <c r="C515" s="8">
        <v>46080</v>
      </c>
      <c r="D515" s="1" t="s">
        <v>847</v>
      </c>
      <c r="E515" s="7" t="s">
        <v>13</v>
      </c>
      <c r="F515" s="1" t="s">
        <v>24</v>
      </c>
      <c r="G515" s="9" t="s">
        <v>63</v>
      </c>
      <c r="H515" s="7" t="s">
        <v>74</v>
      </c>
      <c r="I515" s="18">
        <v>16000000</v>
      </c>
      <c r="J515" s="10" t="s">
        <v>61</v>
      </c>
      <c r="K515" s="7" t="s">
        <v>17</v>
      </c>
      <c r="L515" s="7" t="s">
        <v>55</v>
      </c>
      <c r="M515" s="34">
        <v>46083</v>
      </c>
      <c r="N515" s="7" t="s">
        <v>91</v>
      </c>
    </row>
    <row r="516" spans="1:14" x14ac:dyDescent="0.25">
      <c r="A516" s="41" t="s">
        <v>848</v>
      </c>
      <c r="B516" s="1">
        <v>2</v>
      </c>
      <c r="C516" s="8">
        <v>46080</v>
      </c>
      <c r="D516" s="1" t="s">
        <v>849</v>
      </c>
      <c r="E516" s="7" t="s">
        <v>13</v>
      </c>
      <c r="F516" s="1" t="s">
        <v>24</v>
      </c>
      <c r="G516" s="9" t="s">
        <v>63</v>
      </c>
      <c r="H516" s="7" t="s">
        <v>74</v>
      </c>
      <c r="I516" s="18">
        <v>16000000</v>
      </c>
      <c r="J516" s="12" t="s">
        <v>61</v>
      </c>
      <c r="K516" s="7" t="s">
        <v>17</v>
      </c>
      <c r="L516" s="7" t="s">
        <v>55</v>
      </c>
      <c r="M516" s="34">
        <v>46083</v>
      </c>
      <c r="N516" s="7" t="s">
        <v>91</v>
      </c>
    </row>
    <row r="517" spans="1:14" x14ac:dyDescent="0.25">
      <c r="A517" s="41" t="s">
        <v>181</v>
      </c>
      <c r="B517" s="1">
        <v>1</v>
      </c>
      <c r="C517" s="8">
        <v>46076</v>
      </c>
      <c r="D517" s="1" t="s">
        <v>850</v>
      </c>
      <c r="E517" s="7" t="s">
        <v>16</v>
      </c>
      <c r="F517" s="1" t="s">
        <v>24</v>
      </c>
      <c r="G517" s="9" t="s">
        <v>35</v>
      </c>
      <c r="H517" s="7">
        <v>935250262</v>
      </c>
      <c r="I517" s="18">
        <v>15000000</v>
      </c>
      <c r="J517" s="10">
        <v>76.75</v>
      </c>
      <c r="K517" s="7" t="s">
        <v>12</v>
      </c>
      <c r="L517" s="7" t="s">
        <v>53</v>
      </c>
      <c r="M517" s="34">
        <v>46076</v>
      </c>
      <c r="N517" s="7" t="s">
        <v>45</v>
      </c>
    </row>
    <row r="518" spans="1:14" x14ac:dyDescent="0.25">
      <c r="A518" s="41" t="s">
        <v>181</v>
      </c>
      <c r="B518" s="1">
        <v>1</v>
      </c>
      <c r="C518" s="8">
        <v>46076</v>
      </c>
      <c r="D518" s="1" t="s">
        <v>851</v>
      </c>
      <c r="E518" s="7" t="s">
        <v>16</v>
      </c>
      <c r="F518" s="1" t="s">
        <v>24</v>
      </c>
      <c r="G518" s="9" t="s">
        <v>35</v>
      </c>
      <c r="H518" s="7">
        <v>935250263</v>
      </c>
      <c r="I518" s="18">
        <v>16600000</v>
      </c>
      <c r="J518" s="10">
        <v>2262.31</v>
      </c>
      <c r="K518" s="7" t="s">
        <v>12</v>
      </c>
      <c r="L518" s="7" t="s">
        <v>53</v>
      </c>
      <c r="M518" s="34">
        <v>46076</v>
      </c>
      <c r="N518" s="7" t="s">
        <v>45</v>
      </c>
    </row>
    <row r="519" spans="1:14" x14ac:dyDescent="0.25">
      <c r="A519" s="41" t="s">
        <v>181</v>
      </c>
      <c r="B519" s="1">
        <v>1</v>
      </c>
      <c r="C519" s="8">
        <v>46076</v>
      </c>
      <c r="D519" s="1" t="s">
        <v>852</v>
      </c>
      <c r="E519" s="7" t="s">
        <v>16</v>
      </c>
      <c r="F519" s="1" t="s">
        <v>24</v>
      </c>
      <c r="G519" s="9" t="s">
        <v>35</v>
      </c>
      <c r="H519" s="7">
        <v>935250261</v>
      </c>
      <c r="I519" s="18">
        <v>16610000</v>
      </c>
      <c r="J519" s="10">
        <v>1024.01</v>
      </c>
      <c r="K519" s="7" t="s">
        <v>12</v>
      </c>
      <c r="L519" s="7" t="s">
        <v>53</v>
      </c>
      <c r="M519" s="34">
        <v>46076</v>
      </c>
      <c r="N519" s="7" t="s">
        <v>45</v>
      </c>
    </row>
    <row r="520" spans="1:14" x14ac:dyDescent="0.25">
      <c r="A520" s="41" t="s">
        <v>181</v>
      </c>
      <c r="B520" s="1">
        <v>1</v>
      </c>
      <c r="C520" s="8">
        <v>46076</v>
      </c>
      <c r="D520" s="1" t="s">
        <v>853</v>
      </c>
      <c r="E520" s="7" t="s">
        <v>16</v>
      </c>
      <c r="F520" s="1" t="s">
        <v>24</v>
      </c>
      <c r="G520" s="9" t="s">
        <v>35</v>
      </c>
      <c r="H520" s="7">
        <v>935250308</v>
      </c>
      <c r="I520" s="18">
        <v>15010000</v>
      </c>
      <c r="J520" s="10">
        <v>1094.72</v>
      </c>
      <c r="K520" s="7" t="s">
        <v>12</v>
      </c>
      <c r="L520" s="7" t="s">
        <v>53</v>
      </c>
      <c r="M520" s="34">
        <v>46076</v>
      </c>
      <c r="N520" s="7" t="s">
        <v>45</v>
      </c>
    </row>
    <row r="521" spans="1:14" x14ac:dyDescent="0.25">
      <c r="A521" s="41" t="s">
        <v>181</v>
      </c>
      <c r="B521" s="1">
        <v>1</v>
      </c>
      <c r="C521" s="8">
        <v>46076</v>
      </c>
      <c r="D521" s="1" t="s">
        <v>854</v>
      </c>
      <c r="E521" s="7" t="s">
        <v>16</v>
      </c>
      <c r="F521" s="1" t="s">
        <v>24</v>
      </c>
      <c r="G521" s="9" t="s">
        <v>35</v>
      </c>
      <c r="H521" s="7">
        <v>935369313</v>
      </c>
      <c r="I521" s="18">
        <v>16600000</v>
      </c>
      <c r="J521" s="10">
        <v>398.73</v>
      </c>
      <c r="K521" s="7" t="s">
        <v>12</v>
      </c>
      <c r="L521" s="7" t="s">
        <v>53</v>
      </c>
      <c r="M521" s="34">
        <v>46076</v>
      </c>
      <c r="N521" s="7" t="s">
        <v>45</v>
      </c>
    </row>
    <row r="522" spans="1:14" x14ac:dyDescent="0.25">
      <c r="A522" s="41" t="s">
        <v>367</v>
      </c>
      <c r="B522" s="1">
        <v>2</v>
      </c>
      <c r="C522" s="8">
        <v>46079</v>
      </c>
      <c r="D522" s="1" t="s">
        <v>857</v>
      </c>
      <c r="E522" s="7" t="s">
        <v>12</v>
      </c>
      <c r="F522" s="1" t="s">
        <v>24</v>
      </c>
      <c r="G522" s="9" t="s">
        <v>35</v>
      </c>
      <c r="H522" s="7">
        <v>17467</v>
      </c>
      <c r="I522" s="18">
        <v>15000000</v>
      </c>
      <c r="J522" s="10">
        <v>482.4</v>
      </c>
      <c r="K522" s="7" t="s">
        <v>12</v>
      </c>
      <c r="L522" s="7" t="s">
        <v>53</v>
      </c>
      <c r="M522" s="34">
        <v>46085</v>
      </c>
      <c r="N522" s="7" t="s">
        <v>91</v>
      </c>
    </row>
    <row r="523" spans="1:14" x14ac:dyDescent="0.25">
      <c r="A523" s="41" t="s">
        <v>629</v>
      </c>
      <c r="B523" s="1">
        <v>1</v>
      </c>
      <c r="C523" s="8">
        <v>46076</v>
      </c>
      <c r="D523" s="1" t="s">
        <v>858</v>
      </c>
      <c r="E523" s="7" t="s">
        <v>2</v>
      </c>
      <c r="F523" s="1" t="s">
        <v>24</v>
      </c>
      <c r="G523" s="9" t="s">
        <v>35</v>
      </c>
      <c r="H523" s="7">
        <v>72</v>
      </c>
      <c r="I523" s="18">
        <v>15500000</v>
      </c>
      <c r="J523" s="10">
        <v>25530</v>
      </c>
      <c r="K523" s="7" t="s">
        <v>12</v>
      </c>
      <c r="L523" s="7" t="s">
        <v>53</v>
      </c>
      <c r="M523" s="34">
        <v>46076</v>
      </c>
      <c r="N523" s="7" t="s">
        <v>41</v>
      </c>
    </row>
    <row r="524" spans="1:14" x14ac:dyDescent="0.25">
      <c r="A524" s="41" t="s">
        <v>112</v>
      </c>
      <c r="B524" s="1">
        <v>3</v>
      </c>
      <c r="C524" s="8">
        <v>46098</v>
      </c>
      <c r="D524" s="1" t="s">
        <v>859</v>
      </c>
      <c r="E524" s="7" t="s">
        <v>13</v>
      </c>
      <c r="F524" s="1" t="s">
        <v>24</v>
      </c>
      <c r="G524" s="9" t="s">
        <v>35</v>
      </c>
      <c r="H524" s="7">
        <v>105</v>
      </c>
      <c r="I524" s="18">
        <v>15001002</v>
      </c>
      <c r="J524" s="10">
        <v>100158.25</v>
      </c>
      <c r="K524" s="7" t="s">
        <v>13</v>
      </c>
      <c r="L524" s="7" t="s">
        <v>54</v>
      </c>
      <c r="M524" s="34">
        <v>46099</v>
      </c>
      <c r="N524" s="7" t="s">
        <v>41</v>
      </c>
    </row>
    <row r="525" spans="1:14" x14ac:dyDescent="0.25">
      <c r="A525" s="41" t="s">
        <v>232</v>
      </c>
      <c r="B525" s="1">
        <v>1</v>
      </c>
      <c r="C525" s="8">
        <v>46076</v>
      </c>
      <c r="D525" s="1" t="s">
        <v>860</v>
      </c>
      <c r="E525" s="7" t="s">
        <v>13</v>
      </c>
      <c r="F525" s="1" t="s">
        <v>24</v>
      </c>
      <c r="G525" s="9" t="s">
        <v>35</v>
      </c>
      <c r="H525" s="7">
        <v>527441</v>
      </c>
      <c r="I525" s="18">
        <v>26010000</v>
      </c>
      <c r="J525" s="10">
        <v>71.5</v>
      </c>
      <c r="K525" s="7" t="s">
        <v>13</v>
      </c>
      <c r="L525" s="7" t="s">
        <v>54</v>
      </c>
      <c r="M525" s="34">
        <v>46079</v>
      </c>
      <c r="N525" s="7" t="s">
        <v>91</v>
      </c>
    </row>
    <row r="526" spans="1:14" x14ac:dyDescent="0.25">
      <c r="A526" s="41" t="s">
        <v>236</v>
      </c>
      <c r="B526" s="1">
        <v>1</v>
      </c>
      <c r="C526" s="8">
        <v>46076</v>
      </c>
      <c r="D526" s="1" t="s">
        <v>861</v>
      </c>
      <c r="E526" s="7" t="s">
        <v>13</v>
      </c>
      <c r="F526" s="1" t="s">
        <v>24</v>
      </c>
      <c r="G526" s="9" t="s">
        <v>35</v>
      </c>
      <c r="H526" s="7">
        <v>187445</v>
      </c>
      <c r="I526" s="18">
        <v>16000000</v>
      </c>
      <c r="J526" s="10">
        <v>147.6</v>
      </c>
      <c r="K526" s="7" t="s">
        <v>13</v>
      </c>
      <c r="L526" s="7" t="s">
        <v>54</v>
      </c>
      <c r="M526" s="34">
        <v>46079</v>
      </c>
      <c r="N526" s="7" t="s">
        <v>91</v>
      </c>
    </row>
    <row r="527" spans="1:14" x14ac:dyDescent="0.25">
      <c r="A527" s="41" t="s">
        <v>355</v>
      </c>
      <c r="B527" s="1">
        <v>2</v>
      </c>
      <c r="C527" s="8">
        <v>46080</v>
      </c>
      <c r="D527" s="1" t="s">
        <v>862</v>
      </c>
      <c r="E527" s="7" t="s">
        <v>13</v>
      </c>
      <c r="F527" s="1" t="s">
        <v>24</v>
      </c>
      <c r="G527" s="9" t="s">
        <v>35</v>
      </c>
      <c r="H527" s="7">
        <v>5368</v>
      </c>
      <c r="I527" s="18">
        <v>15001002</v>
      </c>
      <c r="J527" s="10">
        <v>2366</v>
      </c>
      <c r="K527" s="7" t="s">
        <v>13</v>
      </c>
      <c r="L527" s="7" t="s">
        <v>54</v>
      </c>
      <c r="M527" s="34">
        <v>46083</v>
      </c>
      <c r="N527" s="7" t="s">
        <v>91</v>
      </c>
    </row>
    <row r="528" spans="1:14" x14ac:dyDescent="0.25">
      <c r="A528" s="41" t="s">
        <v>863</v>
      </c>
      <c r="B528" s="1">
        <v>2</v>
      </c>
      <c r="C528" s="8">
        <v>46080</v>
      </c>
      <c r="D528" s="1" t="s">
        <v>864</v>
      </c>
      <c r="E528" s="7" t="s">
        <v>18</v>
      </c>
      <c r="F528" s="1" t="s">
        <v>24</v>
      </c>
      <c r="G528" s="9" t="s">
        <v>35</v>
      </c>
      <c r="H528" s="7">
        <v>157</v>
      </c>
      <c r="I528" s="18">
        <v>15000000</v>
      </c>
      <c r="J528" s="10">
        <v>5000</v>
      </c>
      <c r="K528" s="7" t="s">
        <v>12</v>
      </c>
      <c r="L528" s="7" t="s">
        <v>53</v>
      </c>
      <c r="M528" s="34">
        <v>46085</v>
      </c>
      <c r="N528" s="7" t="s">
        <v>91</v>
      </c>
    </row>
    <row r="529" spans="1:14" x14ac:dyDescent="0.25">
      <c r="A529" s="41" t="s">
        <v>249</v>
      </c>
      <c r="B529" s="1">
        <v>2</v>
      </c>
      <c r="C529" s="8">
        <v>46080</v>
      </c>
      <c r="D529" s="1" t="s">
        <v>865</v>
      </c>
      <c r="E529" s="7" t="s">
        <v>13</v>
      </c>
      <c r="F529" s="1" t="s">
        <v>24</v>
      </c>
      <c r="G529" s="9" t="s">
        <v>35</v>
      </c>
      <c r="H529" s="7">
        <v>352319</v>
      </c>
      <c r="I529" s="18">
        <v>16000000</v>
      </c>
      <c r="J529" s="10">
        <v>161</v>
      </c>
      <c r="K529" s="7" t="s">
        <v>13</v>
      </c>
      <c r="L529" s="7" t="s">
        <v>54</v>
      </c>
      <c r="M529" s="34">
        <v>46083</v>
      </c>
      <c r="N529" s="7" t="s">
        <v>91</v>
      </c>
    </row>
    <row r="530" spans="1:14" x14ac:dyDescent="0.25">
      <c r="A530" s="41" t="s">
        <v>200</v>
      </c>
      <c r="B530" s="1">
        <v>2</v>
      </c>
      <c r="C530" s="8">
        <v>46080</v>
      </c>
      <c r="D530" s="1" t="s">
        <v>866</v>
      </c>
      <c r="E530" s="7" t="s">
        <v>13</v>
      </c>
      <c r="F530" s="1" t="s">
        <v>24</v>
      </c>
      <c r="G530" s="9" t="s">
        <v>35</v>
      </c>
      <c r="H530" s="7">
        <v>875</v>
      </c>
      <c r="I530" s="18">
        <v>16000000</v>
      </c>
      <c r="J530" s="10">
        <v>2351.73</v>
      </c>
      <c r="K530" s="7" t="s">
        <v>13</v>
      </c>
      <c r="L530" s="7" t="s">
        <v>54</v>
      </c>
      <c r="M530" s="34">
        <v>46080</v>
      </c>
      <c r="N530" s="7" t="s">
        <v>91</v>
      </c>
    </row>
    <row r="531" spans="1:14" x14ac:dyDescent="0.25">
      <c r="A531" s="41" t="s">
        <v>867</v>
      </c>
      <c r="B531" s="1">
        <v>2</v>
      </c>
      <c r="C531" s="8">
        <v>46079</v>
      </c>
      <c r="D531" s="1" t="s">
        <v>868</v>
      </c>
      <c r="E531" s="7" t="s">
        <v>20</v>
      </c>
      <c r="F531" s="1" t="s">
        <v>24</v>
      </c>
      <c r="G531" s="9" t="s">
        <v>35</v>
      </c>
      <c r="H531" s="7">
        <v>791</v>
      </c>
      <c r="I531" s="18">
        <v>27000000</v>
      </c>
      <c r="J531" s="10">
        <v>184068.17</v>
      </c>
      <c r="K531" s="7" t="s">
        <v>12</v>
      </c>
      <c r="L531" s="7" t="s">
        <v>53</v>
      </c>
      <c r="M531" s="34">
        <v>46079</v>
      </c>
      <c r="N531" s="7" t="s">
        <v>774</v>
      </c>
    </row>
    <row r="532" spans="1:14" x14ac:dyDescent="0.25">
      <c r="A532" s="41" t="s">
        <v>867</v>
      </c>
      <c r="B532" s="1">
        <v>1</v>
      </c>
      <c r="C532" s="8">
        <v>46076</v>
      </c>
      <c r="D532" s="1" t="s">
        <v>869</v>
      </c>
      <c r="E532" s="7" t="s">
        <v>20</v>
      </c>
      <c r="F532" s="1" t="s">
        <v>24</v>
      </c>
      <c r="G532" s="9" t="s">
        <v>35</v>
      </c>
      <c r="H532" s="7">
        <v>792</v>
      </c>
      <c r="I532" s="18">
        <v>27000000</v>
      </c>
      <c r="J532" s="10">
        <v>11785.83</v>
      </c>
      <c r="K532" s="7" t="s">
        <v>12</v>
      </c>
      <c r="L532" s="7" t="s">
        <v>53</v>
      </c>
      <c r="M532" s="34">
        <v>46079</v>
      </c>
      <c r="N532" s="7" t="s">
        <v>774</v>
      </c>
    </row>
    <row r="533" spans="1:14" x14ac:dyDescent="0.25">
      <c r="A533" s="41" t="s">
        <v>385</v>
      </c>
      <c r="B533" s="1">
        <v>1</v>
      </c>
      <c r="C533" s="8">
        <v>46076</v>
      </c>
      <c r="D533" s="1" t="s">
        <v>870</v>
      </c>
      <c r="E533" s="7" t="s">
        <v>16</v>
      </c>
      <c r="F533" s="1" t="s">
        <v>24</v>
      </c>
      <c r="G533" s="9" t="s">
        <v>35</v>
      </c>
      <c r="H533" s="7">
        <v>4461</v>
      </c>
      <c r="I533" s="18">
        <v>15000000</v>
      </c>
      <c r="J533" s="10">
        <v>9437.31</v>
      </c>
      <c r="K533" s="7" t="s">
        <v>12</v>
      </c>
      <c r="L533" s="7" t="s">
        <v>53</v>
      </c>
      <c r="M533" s="34">
        <v>46077</v>
      </c>
      <c r="N533" s="7" t="s">
        <v>92</v>
      </c>
    </row>
    <row r="534" spans="1:14" x14ac:dyDescent="0.25">
      <c r="A534" s="41" t="s">
        <v>385</v>
      </c>
      <c r="B534" s="1">
        <v>1</v>
      </c>
      <c r="C534" s="8">
        <v>46076</v>
      </c>
      <c r="D534" s="1" t="s">
        <v>871</v>
      </c>
      <c r="E534" s="7" t="s">
        <v>16</v>
      </c>
      <c r="F534" s="1" t="s">
        <v>24</v>
      </c>
      <c r="G534" s="9" t="s">
        <v>35</v>
      </c>
      <c r="H534" s="7">
        <v>4462</v>
      </c>
      <c r="I534" s="18">
        <v>16600000</v>
      </c>
      <c r="J534" s="10">
        <v>12768.68</v>
      </c>
      <c r="K534" s="7" t="s">
        <v>12</v>
      </c>
      <c r="L534" s="7" t="s">
        <v>53</v>
      </c>
      <c r="M534" s="34">
        <v>46077</v>
      </c>
      <c r="N534" s="7" t="s">
        <v>92</v>
      </c>
    </row>
    <row r="535" spans="1:14" x14ac:dyDescent="0.25">
      <c r="A535" s="41" t="s">
        <v>385</v>
      </c>
      <c r="B535" s="1">
        <v>1</v>
      </c>
      <c r="C535" s="8">
        <v>46076</v>
      </c>
      <c r="D535" s="1" t="s">
        <v>872</v>
      </c>
      <c r="E535" s="7" t="s">
        <v>16</v>
      </c>
      <c r="F535" s="1" t="s">
        <v>24</v>
      </c>
      <c r="G535" s="9" t="s">
        <v>35</v>
      </c>
      <c r="H535" s="7">
        <v>4463</v>
      </c>
      <c r="I535" s="18">
        <v>16600000</v>
      </c>
      <c r="J535" s="10">
        <v>4629.01</v>
      </c>
      <c r="K535" s="7" t="s">
        <v>12</v>
      </c>
      <c r="L535" s="7" t="s">
        <v>53</v>
      </c>
      <c r="M535" s="34">
        <v>46077</v>
      </c>
      <c r="N535" s="7" t="s">
        <v>92</v>
      </c>
    </row>
    <row r="536" spans="1:14" x14ac:dyDescent="0.25">
      <c r="A536" s="41" t="s">
        <v>435</v>
      </c>
      <c r="B536" s="1">
        <v>1</v>
      </c>
      <c r="C536" s="8">
        <v>46076</v>
      </c>
      <c r="D536" s="1" t="s">
        <v>926</v>
      </c>
      <c r="E536" s="7" t="s">
        <v>16</v>
      </c>
      <c r="F536" s="1" t="s">
        <v>24</v>
      </c>
      <c r="G536" s="9" t="s">
        <v>35</v>
      </c>
      <c r="H536" s="7">
        <v>2782382</v>
      </c>
      <c r="I536" s="18">
        <v>16610000</v>
      </c>
      <c r="J536" s="10">
        <v>995.76</v>
      </c>
      <c r="K536" s="7" t="s">
        <v>12</v>
      </c>
      <c r="L536" s="7" t="s">
        <v>53</v>
      </c>
      <c r="M536" s="34">
        <v>46079</v>
      </c>
      <c r="N536" s="7" t="s">
        <v>774</v>
      </c>
    </row>
    <row r="537" spans="1:14" x14ac:dyDescent="0.25">
      <c r="A537" s="41" t="s">
        <v>873</v>
      </c>
      <c r="B537" s="1">
        <v>2</v>
      </c>
      <c r="C537" s="8">
        <v>46080</v>
      </c>
      <c r="D537" s="1" t="s">
        <v>874</v>
      </c>
      <c r="E537" s="7" t="s">
        <v>2</v>
      </c>
      <c r="F537" s="1" t="s">
        <v>24</v>
      </c>
      <c r="G537" s="9" t="s">
        <v>35</v>
      </c>
      <c r="H537" s="7" t="s">
        <v>74</v>
      </c>
      <c r="I537" s="18">
        <v>15001001</v>
      </c>
      <c r="J537" s="10">
        <v>5393.5</v>
      </c>
      <c r="K537" s="7" t="s">
        <v>12</v>
      </c>
      <c r="L537" s="7" t="s">
        <v>53</v>
      </c>
      <c r="M537" s="34">
        <v>46080</v>
      </c>
      <c r="N537" s="7" t="s">
        <v>91</v>
      </c>
    </row>
    <row r="538" spans="1:14" x14ac:dyDescent="0.25">
      <c r="A538" s="41" t="s">
        <v>876</v>
      </c>
      <c r="B538" s="1">
        <v>2</v>
      </c>
      <c r="C538" s="8">
        <v>46077</v>
      </c>
      <c r="D538" s="1" t="s">
        <v>875</v>
      </c>
      <c r="E538" s="7" t="s">
        <v>2</v>
      </c>
      <c r="F538" s="1" t="s">
        <v>24</v>
      </c>
      <c r="G538" s="9" t="s">
        <v>35</v>
      </c>
      <c r="H538" s="7" t="s">
        <v>74</v>
      </c>
      <c r="I538" s="18">
        <v>15001001</v>
      </c>
      <c r="J538" s="10">
        <v>13510</v>
      </c>
      <c r="K538" s="7" t="s">
        <v>12</v>
      </c>
      <c r="L538" s="7" t="s">
        <v>53</v>
      </c>
      <c r="M538" s="34">
        <v>46079</v>
      </c>
      <c r="N538" s="7" t="s">
        <v>41</v>
      </c>
    </row>
    <row r="539" spans="1:14" x14ac:dyDescent="0.25">
      <c r="A539" s="41" t="s">
        <v>876</v>
      </c>
      <c r="B539" s="1">
        <v>2</v>
      </c>
      <c r="C539" s="8">
        <v>46077</v>
      </c>
      <c r="D539" s="1" t="s">
        <v>877</v>
      </c>
      <c r="E539" s="7" t="s">
        <v>2</v>
      </c>
      <c r="F539" s="1" t="s">
        <v>24</v>
      </c>
      <c r="G539" s="9" t="s">
        <v>35</v>
      </c>
      <c r="H539" s="7" t="s">
        <v>74</v>
      </c>
      <c r="I539" s="18">
        <v>15001001</v>
      </c>
      <c r="J539" s="10">
        <v>6500</v>
      </c>
      <c r="K539" s="7" t="s">
        <v>12</v>
      </c>
      <c r="L539" s="7" t="s">
        <v>53</v>
      </c>
      <c r="M539" s="34">
        <v>46079</v>
      </c>
      <c r="N539" s="7" t="s">
        <v>41</v>
      </c>
    </row>
    <row r="540" spans="1:14" x14ac:dyDescent="0.25">
      <c r="A540" s="41" t="s">
        <v>371</v>
      </c>
      <c r="B540" s="1">
        <v>1</v>
      </c>
      <c r="C540" s="8">
        <v>46077</v>
      </c>
      <c r="D540" s="1" t="s">
        <v>878</v>
      </c>
      <c r="E540" s="7" t="s">
        <v>16</v>
      </c>
      <c r="F540" s="1" t="s">
        <v>24</v>
      </c>
      <c r="G540" s="9" t="s">
        <v>35</v>
      </c>
      <c r="H540" s="7">
        <v>366</v>
      </c>
      <c r="I540" s="18">
        <v>16600000</v>
      </c>
      <c r="J540" s="10">
        <v>1284.97</v>
      </c>
      <c r="K540" s="7" t="s">
        <v>12</v>
      </c>
      <c r="L540" s="7" t="s">
        <v>53</v>
      </c>
      <c r="M540" s="34">
        <v>46079</v>
      </c>
      <c r="N540" s="7" t="s">
        <v>41</v>
      </c>
    </row>
    <row r="541" spans="1:14" x14ac:dyDescent="0.25">
      <c r="A541" s="41" t="s">
        <v>371</v>
      </c>
      <c r="B541" s="1">
        <v>1</v>
      </c>
      <c r="C541" s="8">
        <v>46077</v>
      </c>
      <c r="D541" s="1" t="s">
        <v>879</v>
      </c>
      <c r="E541" s="7" t="s">
        <v>16</v>
      </c>
      <c r="F541" s="1" t="s">
        <v>24</v>
      </c>
      <c r="G541" s="9" t="s">
        <v>35</v>
      </c>
      <c r="H541" s="7">
        <v>366</v>
      </c>
      <c r="I541" s="18">
        <v>16600000</v>
      </c>
      <c r="J541" s="10">
        <v>1284.97</v>
      </c>
      <c r="K541" s="7" t="s">
        <v>12</v>
      </c>
      <c r="L541" s="7" t="s">
        <v>53</v>
      </c>
      <c r="M541" s="34">
        <v>46079</v>
      </c>
      <c r="N541" s="7" t="s">
        <v>41</v>
      </c>
    </row>
    <row r="542" spans="1:14" x14ac:dyDescent="0.25">
      <c r="A542" s="41" t="s">
        <v>371</v>
      </c>
      <c r="B542" s="1">
        <v>1</v>
      </c>
      <c r="C542" s="8">
        <v>46077</v>
      </c>
      <c r="D542" s="1" t="s">
        <v>880</v>
      </c>
      <c r="E542" s="7" t="s">
        <v>16</v>
      </c>
      <c r="F542" s="1" t="s">
        <v>24</v>
      </c>
      <c r="G542" s="9" t="s">
        <v>35</v>
      </c>
      <c r="H542" s="7">
        <v>366</v>
      </c>
      <c r="I542" s="18">
        <v>15000000</v>
      </c>
      <c r="J542" s="10">
        <v>1284.97</v>
      </c>
      <c r="K542" s="7" t="s">
        <v>12</v>
      </c>
      <c r="L542" s="7" t="s">
        <v>53</v>
      </c>
      <c r="M542" s="34">
        <v>46079</v>
      </c>
      <c r="N542" s="7" t="s">
        <v>41</v>
      </c>
    </row>
    <row r="543" spans="1:14" x14ac:dyDescent="0.25">
      <c r="A543" s="41" t="s">
        <v>882</v>
      </c>
      <c r="B543" s="1">
        <v>1</v>
      </c>
      <c r="C543" s="8">
        <v>46077</v>
      </c>
      <c r="D543" s="1" t="s">
        <v>881</v>
      </c>
      <c r="E543" s="7" t="s">
        <v>13</v>
      </c>
      <c r="F543" s="1" t="s">
        <v>24</v>
      </c>
      <c r="G543" s="9" t="s">
        <v>37</v>
      </c>
      <c r="H543" s="7" t="s">
        <v>74</v>
      </c>
      <c r="I543" s="18">
        <v>15000001</v>
      </c>
      <c r="J543" s="10" t="s">
        <v>61</v>
      </c>
      <c r="K543" s="7" t="s">
        <v>58</v>
      </c>
      <c r="L543" s="7" t="s">
        <v>59</v>
      </c>
    </row>
    <row r="544" spans="1:14" x14ac:dyDescent="0.25">
      <c r="A544" s="41" t="s">
        <v>884</v>
      </c>
      <c r="B544" s="1">
        <v>2</v>
      </c>
      <c r="C544" s="8">
        <v>46083</v>
      </c>
      <c r="D544" s="1" t="s">
        <v>885</v>
      </c>
      <c r="E544" s="7" t="s">
        <v>16</v>
      </c>
      <c r="F544" s="1" t="s">
        <v>24</v>
      </c>
      <c r="G544" s="9" t="s">
        <v>35</v>
      </c>
      <c r="H544" s="7">
        <v>540500</v>
      </c>
      <c r="I544" s="18">
        <v>15000000</v>
      </c>
      <c r="J544" s="10">
        <v>239370</v>
      </c>
      <c r="K544" s="7" t="s">
        <v>12</v>
      </c>
      <c r="L544" s="7" t="s">
        <v>53</v>
      </c>
      <c r="M544" s="34">
        <v>46083</v>
      </c>
      <c r="N544" s="7" t="s">
        <v>774</v>
      </c>
    </row>
    <row r="545" spans="1:15" x14ac:dyDescent="0.25">
      <c r="A545" s="41" t="s">
        <v>886</v>
      </c>
      <c r="B545" s="1">
        <v>1</v>
      </c>
      <c r="C545" s="8">
        <v>46077</v>
      </c>
      <c r="D545" s="1" t="s">
        <v>887</v>
      </c>
      <c r="E545" s="7" t="s">
        <v>13</v>
      </c>
      <c r="F545" s="1" t="s">
        <v>24</v>
      </c>
      <c r="G545" s="9" t="s">
        <v>35</v>
      </c>
      <c r="H545" s="7">
        <v>30409</v>
      </c>
      <c r="I545" s="18">
        <v>16000000</v>
      </c>
      <c r="J545" s="10">
        <v>801.6</v>
      </c>
      <c r="K545" s="7" t="s">
        <v>13</v>
      </c>
      <c r="L545" s="7" t="s">
        <v>54</v>
      </c>
      <c r="M545" s="34">
        <v>46083</v>
      </c>
      <c r="N545" s="7" t="s">
        <v>774</v>
      </c>
    </row>
    <row r="546" spans="1:15" x14ac:dyDescent="0.25">
      <c r="A546" s="41" t="s">
        <v>370</v>
      </c>
      <c r="B546" s="1">
        <v>2</v>
      </c>
      <c r="C546" s="8">
        <v>46083</v>
      </c>
      <c r="D546" s="1" t="s">
        <v>888</v>
      </c>
      <c r="E546" s="7" t="s">
        <v>2</v>
      </c>
      <c r="F546" s="1" t="s">
        <v>24</v>
      </c>
      <c r="G546" s="9" t="s">
        <v>35</v>
      </c>
      <c r="H546" s="7">
        <v>572</v>
      </c>
      <c r="I546" s="18">
        <v>15001001</v>
      </c>
      <c r="J546" s="10">
        <v>4466</v>
      </c>
      <c r="K546" s="7" t="s">
        <v>12</v>
      </c>
      <c r="L546" s="7" t="s">
        <v>53</v>
      </c>
      <c r="M546" s="34">
        <v>46085</v>
      </c>
      <c r="N546" s="7" t="s">
        <v>41</v>
      </c>
    </row>
    <row r="547" spans="1:15" x14ac:dyDescent="0.25">
      <c r="A547" s="41" t="s">
        <v>371</v>
      </c>
      <c r="B547" s="1">
        <v>1</v>
      </c>
      <c r="C547" s="8">
        <v>46077</v>
      </c>
      <c r="D547" s="1" t="s">
        <v>889</v>
      </c>
      <c r="E547" s="7" t="s">
        <v>2</v>
      </c>
      <c r="F547" s="1" t="s">
        <v>24</v>
      </c>
      <c r="G547" s="9" t="s">
        <v>35</v>
      </c>
      <c r="H547" s="7" t="s">
        <v>890</v>
      </c>
      <c r="I547" s="18">
        <v>15001001</v>
      </c>
      <c r="J547" s="10">
        <v>84880.94</v>
      </c>
      <c r="K547" s="7" t="s">
        <v>12</v>
      </c>
      <c r="L547" s="7" t="s">
        <v>53</v>
      </c>
      <c r="M547" s="34">
        <v>46080</v>
      </c>
      <c r="N547" s="7" t="s">
        <v>41</v>
      </c>
    </row>
    <row r="548" spans="1:15" x14ac:dyDescent="0.25">
      <c r="A548" s="41" t="s">
        <v>891</v>
      </c>
      <c r="B548" s="1">
        <v>1</v>
      </c>
      <c r="C548" s="8">
        <v>46077</v>
      </c>
      <c r="D548" s="1" t="s">
        <v>892</v>
      </c>
      <c r="E548" s="7" t="s">
        <v>2</v>
      </c>
      <c r="F548" s="1" t="s">
        <v>24</v>
      </c>
      <c r="G548" s="9" t="s">
        <v>35</v>
      </c>
      <c r="H548" s="7">
        <v>4509</v>
      </c>
      <c r="I548" s="18">
        <v>15001001</v>
      </c>
      <c r="J548" s="10">
        <v>9941.77</v>
      </c>
      <c r="K548" s="7" t="s">
        <v>12</v>
      </c>
      <c r="L548" s="7" t="s">
        <v>53</v>
      </c>
      <c r="M548" s="34">
        <v>46079</v>
      </c>
      <c r="N548" s="7" t="s">
        <v>774</v>
      </c>
    </row>
    <row r="549" spans="1:15" x14ac:dyDescent="0.25">
      <c r="A549" s="41" t="s">
        <v>448</v>
      </c>
      <c r="B549" s="1">
        <v>2</v>
      </c>
      <c r="C549" s="8">
        <v>46077</v>
      </c>
      <c r="D549" s="1" t="s">
        <v>893</v>
      </c>
      <c r="E549" s="7" t="s">
        <v>2</v>
      </c>
      <c r="F549" s="1" t="s">
        <v>24</v>
      </c>
      <c r="G549" s="9" t="s">
        <v>35</v>
      </c>
      <c r="H549" s="7">
        <v>44943</v>
      </c>
      <c r="I549" s="18">
        <v>15001001</v>
      </c>
      <c r="J549" s="10">
        <v>10188</v>
      </c>
      <c r="K549" s="7" t="s">
        <v>12</v>
      </c>
      <c r="L549" s="7" t="s">
        <v>53</v>
      </c>
      <c r="M549" s="34">
        <v>46085</v>
      </c>
      <c r="N549" s="7" t="s">
        <v>41</v>
      </c>
    </row>
    <row r="550" spans="1:15" x14ac:dyDescent="0.25">
      <c r="A550" s="41" t="s">
        <v>364</v>
      </c>
      <c r="B550" s="1">
        <v>1</v>
      </c>
      <c r="C550" s="8">
        <v>46077</v>
      </c>
      <c r="D550" s="1" t="s">
        <v>894</v>
      </c>
      <c r="E550" s="7" t="s">
        <v>2</v>
      </c>
      <c r="F550" s="1" t="s">
        <v>24</v>
      </c>
      <c r="G550" s="9" t="s">
        <v>35</v>
      </c>
      <c r="H550" s="7">
        <v>2496</v>
      </c>
      <c r="I550" s="18">
        <v>15001001</v>
      </c>
      <c r="J550" s="10">
        <v>44640</v>
      </c>
      <c r="K550" s="7" t="s">
        <v>12</v>
      </c>
      <c r="L550" s="7" t="s">
        <v>53</v>
      </c>
      <c r="M550" s="34">
        <v>46080</v>
      </c>
      <c r="N550" s="7" t="s">
        <v>92</v>
      </c>
    </row>
    <row r="551" spans="1:15" x14ac:dyDescent="0.25">
      <c r="A551" s="41" t="s">
        <v>364</v>
      </c>
      <c r="B551" s="1">
        <v>1</v>
      </c>
      <c r="C551" s="8">
        <v>46077</v>
      </c>
      <c r="D551" s="1" t="s">
        <v>895</v>
      </c>
      <c r="E551" s="7" t="s">
        <v>2</v>
      </c>
      <c r="F551" s="1" t="s">
        <v>24</v>
      </c>
      <c r="G551" s="9" t="s">
        <v>35</v>
      </c>
      <c r="H551" s="7">
        <v>2497</v>
      </c>
      <c r="I551" s="18">
        <v>15000000</v>
      </c>
      <c r="J551" s="10">
        <v>27360</v>
      </c>
      <c r="K551" s="7" t="s">
        <v>12</v>
      </c>
      <c r="L551" s="7" t="s">
        <v>53</v>
      </c>
      <c r="M551" s="34">
        <v>46080</v>
      </c>
      <c r="N551" s="7" t="s">
        <v>92</v>
      </c>
    </row>
    <row r="552" spans="1:15" x14ac:dyDescent="0.25">
      <c r="A552" s="41" t="s">
        <v>896</v>
      </c>
      <c r="B552" s="1">
        <v>2</v>
      </c>
      <c r="C552" s="8">
        <v>46083</v>
      </c>
      <c r="D552" s="1" t="s">
        <v>897</v>
      </c>
      <c r="E552" s="7" t="s">
        <v>2</v>
      </c>
      <c r="F552" s="1" t="s">
        <v>24</v>
      </c>
      <c r="G552" s="9" t="s">
        <v>35</v>
      </c>
      <c r="H552" s="7" t="s">
        <v>898</v>
      </c>
      <c r="I552" s="18">
        <v>15001001</v>
      </c>
      <c r="J552" s="10">
        <v>12320.18</v>
      </c>
      <c r="K552" s="7" t="s">
        <v>12</v>
      </c>
      <c r="L552" s="7" t="s">
        <v>53</v>
      </c>
      <c r="M552" s="34">
        <v>46084</v>
      </c>
      <c r="N552" s="7" t="s">
        <v>91</v>
      </c>
    </row>
    <row r="553" spans="1:15" x14ac:dyDescent="0.25">
      <c r="A553" s="41" t="s">
        <v>900</v>
      </c>
      <c r="B553" s="1">
        <v>1</v>
      </c>
      <c r="C553" s="8">
        <v>46077</v>
      </c>
      <c r="D553" s="1" t="s">
        <v>899</v>
      </c>
      <c r="E553" s="7" t="s">
        <v>16</v>
      </c>
      <c r="F553" s="1" t="s">
        <v>24</v>
      </c>
      <c r="G553" s="9" t="s">
        <v>37</v>
      </c>
      <c r="H553" s="7" t="s">
        <v>74</v>
      </c>
      <c r="I553" s="18" t="s">
        <v>0</v>
      </c>
      <c r="J553" s="10" t="s">
        <v>61</v>
      </c>
      <c r="K553" s="7" t="s">
        <v>58</v>
      </c>
      <c r="L553" s="7" t="s">
        <v>59</v>
      </c>
      <c r="M553" s="34">
        <v>46079</v>
      </c>
      <c r="N553" s="7" t="s">
        <v>46</v>
      </c>
    </row>
    <row r="554" spans="1:15" x14ac:dyDescent="0.25">
      <c r="A554" s="41" t="s">
        <v>371</v>
      </c>
      <c r="B554" s="1">
        <v>1</v>
      </c>
      <c r="C554" s="8">
        <v>46077</v>
      </c>
      <c r="D554" s="1" t="s">
        <v>902</v>
      </c>
      <c r="E554" s="7" t="s">
        <v>83</v>
      </c>
      <c r="F554" s="1" t="s">
        <v>24</v>
      </c>
      <c r="G554" s="9" t="s">
        <v>35</v>
      </c>
      <c r="H554" s="7">
        <v>367</v>
      </c>
      <c r="I554" s="18">
        <v>15000000</v>
      </c>
      <c r="J554" s="10">
        <v>1284.97</v>
      </c>
      <c r="K554" s="7" t="s">
        <v>12</v>
      </c>
      <c r="L554" s="7" t="s">
        <v>53</v>
      </c>
      <c r="M554" s="34">
        <v>46079</v>
      </c>
      <c r="N554" s="7" t="s">
        <v>46</v>
      </c>
    </row>
    <row r="555" spans="1:15" x14ac:dyDescent="0.25">
      <c r="A555" s="41" t="s">
        <v>227</v>
      </c>
      <c r="B555" s="1">
        <v>2</v>
      </c>
      <c r="C555" s="8">
        <v>46083</v>
      </c>
      <c r="D555" s="1" t="s">
        <v>903</v>
      </c>
      <c r="E555" s="7" t="s">
        <v>14</v>
      </c>
      <c r="F555" s="1" t="s">
        <v>24</v>
      </c>
      <c r="G555" s="9" t="s">
        <v>35</v>
      </c>
      <c r="H555" s="7">
        <v>729</v>
      </c>
      <c r="I555" s="18">
        <v>15000000</v>
      </c>
      <c r="J555" s="10">
        <v>12221.88</v>
      </c>
      <c r="K555" s="7" t="s">
        <v>12</v>
      </c>
      <c r="L555" s="7" t="s">
        <v>53</v>
      </c>
      <c r="M555" s="34">
        <v>46083</v>
      </c>
      <c r="N555" s="7" t="s">
        <v>91</v>
      </c>
    </row>
    <row r="556" spans="1:15" x14ac:dyDescent="0.25">
      <c r="A556" s="41" t="s">
        <v>844</v>
      </c>
      <c r="B556" s="1">
        <v>2</v>
      </c>
      <c r="C556" s="8">
        <v>46079</v>
      </c>
      <c r="D556" s="1" t="s">
        <v>904</v>
      </c>
      <c r="E556" s="7" t="s">
        <v>17</v>
      </c>
      <c r="F556" s="1" t="s">
        <v>24</v>
      </c>
      <c r="G556" s="9" t="s">
        <v>35</v>
      </c>
      <c r="H556" s="7" t="s">
        <v>898</v>
      </c>
      <c r="I556" s="18">
        <v>15000000</v>
      </c>
      <c r="J556" s="10">
        <v>34252</v>
      </c>
      <c r="K556" s="7" t="s">
        <v>12</v>
      </c>
      <c r="L556" s="7" t="s">
        <v>53</v>
      </c>
      <c r="M556" s="34">
        <v>46079</v>
      </c>
      <c r="N556" s="7" t="s">
        <v>41</v>
      </c>
    </row>
    <row r="557" spans="1:15" x14ac:dyDescent="0.25">
      <c r="A557" s="41" t="s">
        <v>906</v>
      </c>
      <c r="B557" s="1">
        <v>1</v>
      </c>
      <c r="C557" s="8">
        <v>46077</v>
      </c>
      <c r="D557" s="1" t="s">
        <v>905</v>
      </c>
      <c r="E557" s="7" t="s">
        <v>2</v>
      </c>
      <c r="F557" s="1" t="s">
        <v>24</v>
      </c>
      <c r="G557" s="9" t="s">
        <v>35</v>
      </c>
      <c r="H557" s="7">
        <v>703</v>
      </c>
      <c r="I557" s="18">
        <v>15500000</v>
      </c>
      <c r="J557" s="10">
        <v>430872.21</v>
      </c>
      <c r="K557" s="7" t="s">
        <v>2</v>
      </c>
      <c r="L557" s="7" t="s">
        <v>40</v>
      </c>
      <c r="M557" s="34">
        <v>46079</v>
      </c>
      <c r="N557" s="7" t="s">
        <v>41</v>
      </c>
    </row>
    <row r="558" spans="1:15" x14ac:dyDescent="0.25">
      <c r="A558" s="41" t="s">
        <v>907</v>
      </c>
      <c r="B558" s="1">
        <v>1</v>
      </c>
      <c r="C558" s="8">
        <v>46077</v>
      </c>
      <c r="D558" s="1" t="s">
        <v>908</v>
      </c>
      <c r="E558" s="7" t="s">
        <v>2</v>
      </c>
      <c r="F558" s="1" t="s">
        <v>24</v>
      </c>
      <c r="G558" s="9" t="s">
        <v>35</v>
      </c>
      <c r="H558" s="7">
        <v>5624</v>
      </c>
      <c r="I558" s="18">
        <v>15500000</v>
      </c>
      <c r="J558" s="10">
        <v>58520.81</v>
      </c>
      <c r="K558" s="7" t="s">
        <v>12</v>
      </c>
      <c r="L558" s="7" t="s">
        <v>53</v>
      </c>
      <c r="M558" s="34">
        <v>46079</v>
      </c>
      <c r="N558" s="7" t="s">
        <v>41</v>
      </c>
    </row>
    <row r="559" spans="1:15" x14ac:dyDescent="0.25">
      <c r="A559" s="41" t="s">
        <v>435</v>
      </c>
      <c r="B559" s="1">
        <v>2</v>
      </c>
      <c r="C559" s="8">
        <v>46084</v>
      </c>
      <c r="D559" s="1" t="s">
        <v>1019</v>
      </c>
      <c r="E559" s="7" t="s">
        <v>13</v>
      </c>
      <c r="F559" s="1" t="s">
        <v>24</v>
      </c>
      <c r="G559" s="9" t="s">
        <v>35</v>
      </c>
      <c r="H559" s="7">
        <v>278287</v>
      </c>
      <c r="I559" s="18">
        <v>15001002</v>
      </c>
      <c r="J559" s="10">
        <v>22322.35</v>
      </c>
      <c r="K559" s="7" t="s">
        <v>13</v>
      </c>
      <c r="L559" s="7" t="s">
        <v>54</v>
      </c>
      <c r="M559" s="34">
        <v>46084</v>
      </c>
      <c r="N559" s="7" t="s">
        <v>774</v>
      </c>
      <c r="O559" s="7" t="s">
        <v>1020</v>
      </c>
    </row>
    <row r="560" spans="1:15" x14ac:dyDescent="0.25">
      <c r="A560" s="41" t="s">
        <v>569</v>
      </c>
      <c r="B560" s="1">
        <v>1</v>
      </c>
      <c r="C560" s="8">
        <v>46079</v>
      </c>
      <c r="D560" s="1" t="s">
        <v>910</v>
      </c>
      <c r="E560" s="7" t="s">
        <v>13</v>
      </c>
      <c r="F560" s="1" t="s">
        <v>24</v>
      </c>
      <c r="G560" s="9" t="s">
        <v>35</v>
      </c>
      <c r="H560" s="7" t="s">
        <v>581</v>
      </c>
      <c r="I560" s="18">
        <v>16000000</v>
      </c>
      <c r="J560" s="10">
        <v>557.53</v>
      </c>
      <c r="K560" s="7" t="s">
        <v>13</v>
      </c>
      <c r="L560" s="7" t="s">
        <v>54</v>
      </c>
      <c r="M560" s="34">
        <v>46080</v>
      </c>
      <c r="N560" s="7" t="s">
        <v>41</v>
      </c>
    </row>
    <row r="561" spans="1:15" x14ac:dyDescent="0.25">
      <c r="A561" s="41" t="s">
        <v>569</v>
      </c>
      <c r="B561" s="1">
        <v>1</v>
      </c>
      <c r="C561" s="8">
        <v>46079</v>
      </c>
      <c r="D561" s="1" t="s">
        <v>909</v>
      </c>
      <c r="E561" s="7" t="s">
        <v>13</v>
      </c>
      <c r="F561" s="1" t="s">
        <v>24</v>
      </c>
      <c r="G561" s="9" t="s">
        <v>35</v>
      </c>
      <c r="H561" s="7" t="s">
        <v>581</v>
      </c>
      <c r="I561" s="18">
        <v>15001001</v>
      </c>
      <c r="J561" s="10">
        <v>82355.83</v>
      </c>
      <c r="K561" s="7" t="s">
        <v>13</v>
      </c>
      <c r="L561" s="7" t="s">
        <v>54</v>
      </c>
      <c r="M561" s="34">
        <v>46080</v>
      </c>
      <c r="N561" s="7" t="s">
        <v>41</v>
      </c>
    </row>
    <row r="562" spans="1:15" x14ac:dyDescent="0.25">
      <c r="A562" s="41" t="s">
        <v>210</v>
      </c>
      <c r="B562" s="1">
        <v>1</v>
      </c>
      <c r="C562" s="8">
        <v>46079</v>
      </c>
      <c r="D562" s="1" t="s">
        <v>911</v>
      </c>
      <c r="E562" s="7" t="s">
        <v>13</v>
      </c>
      <c r="F562" s="1" t="s">
        <v>24</v>
      </c>
      <c r="G562" s="9" t="s">
        <v>35</v>
      </c>
      <c r="H562" s="7">
        <v>22300</v>
      </c>
      <c r="I562" s="18">
        <v>15001002</v>
      </c>
      <c r="J562" s="10">
        <v>897.47</v>
      </c>
      <c r="K562" s="7" t="s">
        <v>13</v>
      </c>
      <c r="L562" s="7" t="s">
        <v>54</v>
      </c>
      <c r="M562" s="34">
        <v>46080</v>
      </c>
      <c r="N562" s="7" t="s">
        <v>41</v>
      </c>
    </row>
    <row r="563" spans="1:15" x14ac:dyDescent="0.25">
      <c r="A563" s="41" t="s">
        <v>435</v>
      </c>
      <c r="B563" s="1">
        <v>1</v>
      </c>
      <c r="C563" s="8">
        <v>46079</v>
      </c>
      <c r="D563" s="1" t="s">
        <v>912</v>
      </c>
      <c r="E563" s="7" t="s">
        <v>13</v>
      </c>
      <c r="F563" s="1" t="s">
        <v>24</v>
      </c>
      <c r="G563" s="9" t="s">
        <v>35</v>
      </c>
      <c r="H563" s="7">
        <v>2783648</v>
      </c>
      <c r="I563" s="18">
        <v>15001002</v>
      </c>
      <c r="J563" s="10">
        <v>1671.44</v>
      </c>
      <c r="K563" s="7" t="s">
        <v>13</v>
      </c>
      <c r="L563" s="7" t="s">
        <v>54</v>
      </c>
      <c r="M563" s="34">
        <v>46080</v>
      </c>
      <c r="N563" s="7" t="s">
        <v>41</v>
      </c>
    </row>
    <row r="564" spans="1:15" x14ac:dyDescent="0.25">
      <c r="A564" s="41" t="s">
        <v>914</v>
      </c>
      <c r="B564" s="1">
        <v>1</v>
      </c>
      <c r="C564" s="8">
        <v>46079</v>
      </c>
      <c r="D564" s="1" t="s">
        <v>913</v>
      </c>
      <c r="E564" s="7" t="s">
        <v>13</v>
      </c>
      <c r="F564" s="1" t="s">
        <v>24</v>
      </c>
      <c r="G564" s="9" t="s">
        <v>35</v>
      </c>
      <c r="H564" s="7">
        <v>1</v>
      </c>
      <c r="I564" s="18">
        <v>16590000</v>
      </c>
      <c r="J564" s="10">
        <v>3987</v>
      </c>
      <c r="K564" s="7" t="s">
        <v>13</v>
      </c>
      <c r="L564" s="7" t="s">
        <v>54</v>
      </c>
      <c r="M564" s="34">
        <v>46084</v>
      </c>
      <c r="N564" s="7" t="s">
        <v>774</v>
      </c>
    </row>
    <row r="565" spans="1:15" x14ac:dyDescent="0.25">
      <c r="A565" s="41" t="s">
        <v>435</v>
      </c>
      <c r="B565" s="1">
        <v>2</v>
      </c>
      <c r="C565" s="8">
        <v>46084</v>
      </c>
      <c r="D565" s="1" t="s">
        <v>1017</v>
      </c>
      <c r="E565" s="7" t="s">
        <v>13</v>
      </c>
      <c r="F565" s="1" t="s">
        <v>24</v>
      </c>
      <c r="G565" s="9" t="s">
        <v>35</v>
      </c>
      <c r="H565" s="7">
        <v>2782392</v>
      </c>
      <c r="I565" s="18">
        <v>16000000</v>
      </c>
      <c r="J565" s="10">
        <v>717.22</v>
      </c>
      <c r="K565" s="7" t="s">
        <v>13</v>
      </c>
      <c r="L565" s="7" t="s">
        <v>54</v>
      </c>
      <c r="M565" s="34">
        <v>46084</v>
      </c>
      <c r="N565" s="7" t="s">
        <v>41</v>
      </c>
      <c r="O565" s="7" t="s">
        <v>1018</v>
      </c>
    </row>
    <row r="566" spans="1:15" x14ac:dyDescent="0.25">
      <c r="A566" s="41" t="s">
        <v>435</v>
      </c>
      <c r="B566" s="1">
        <v>1</v>
      </c>
      <c r="C566" s="8">
        <v>46079</v>
      </c>
      <c r="D566" s="1" t="s">
        <v>915</v>
      </c>
      <c r="E566" s="7" t="s">
        <v>13</v>
      </c>
      <c r="F566" s="1" t="s">
        <v>24</v>
      </c>
      <c r="G566" s="9" t="s">
        <v>35</v>
      </c>
      <c r="H566" s="7">
        <v>2782390</v>
      </c>
      <c r="I566" s="18">
        <v>15001002</v>
      </c>
      <c r="J566" s="10">
        <v>1914.87</v>
      </c>
      <c r="K566" s="7" t="s">
        <v>13</v>
      </c>
      <c r="L566" s="7" t="s">
        <v>54</v>
      </c>
      <c r="M566" s="34">
        <v>46083</v>
      </c>
      <c r="N566" s="7" t="s">
        <v>41</v>
      </c>
    </row>
    <row r="567" spans="1:15" x14ac:dyDescent="0.25">
      <c r="A567" s="41" t="s">
        <v>435</v>
      </c>
      <c r="B567" s="1">
        <v>2</v>
      </c>
      <c r="C567" s="8">
        <v>46084</v>
      </c>
      <c r="D567" s="1" t="s">
        <v>951</v>
      </c>
      <c r="E567" s="7" t="s">
        <v>13</v>
      </c>
      <c r="F567" s="1" t="s">
        <v>24</v>
      </c>
      <c r="G567" s="9" t="s">
        <v>35</v>
      </c>
      <c r="H567" s="7" t="s">
        <v>74</v>
      </c>
      <c r="I567" s="18">
        <v>16000000</v>
      </c>
      <c r="J567" s="10">
        <v>143.01</v>
      </c>
      <c r="K567" s="7" t="s">
        <v>13</v>
      </c>
      <c r="L567" s="7" t="s">
        <v>54</v>
      </c>
      <c r="M567" s="34">
        <v>46084</v>
      </c>
      <c r="N567" s="7" t="s">
        <v>41</v>
      </c>
    </row>
    <row r="568" spans="1:15" x14ac:dyDescent="0.25">
      <c r="A568" s="41" t="s">
        <v>435</v>
      </c>
      <c r="B568" s="1">
        <v>1</v>
      </c>
      <c r="C568" s="8">
        <v>46079</v>
      </c>
      <c r="D568" s="1" t="s">
        <v>916</v>
      </c>
      <c r="E568" s="7" t="s">
        <v>13</v>
      </c>
      <c r="F568" s="1" t="s">
        <v>24</v>
      </c>
      <c r="G568" s="9" t="s">
        <v>35</v>
      </c>
      <c r="H568" s="7">
        <v>2782389</v>
      </c>
      <c r="I568" s="18">
        <v>15001002</v>
      </c>
      <c r="J568" s="10">
        <v>8184.59</v>
      </c>
      <c r="K568" s="7" t="s">
        <v>13</v>
      </c>
      <c r="L568" s="7" t="s">
        <v>54</v>
      </c>
      <c r="M568" s="34">
        <v>46080</v>
      </c>
      <c r="N568" s="7" t="s">
        <v>91</v>
      </c>
    </row>
    <row r="569" spans="1:15" x14ac:dyDescent="0.25">
      <c r="A569" s="41" t="s">
        <v>435</v>
      </c>
      <c r="B569" s="1">
        <v>1</v>
      </c>
      <c r="C569" s="8">
        <v>46079</v>
      </c>
      <c r="D569" s="1" t="s">
        <v>917</v>
      </c>
      <c r="E569" s="7" t="s">
        <v>13</v>
      </c>
      <c r="F569" s="1" t="s">
        <v>24</v>
      </c>
      <c r="G569" s="9" t="s">
        <v>35</v>
      </c>
      <c r="H569" s="7">
        <v>2782389</v>
      </c>
      <c r="I569" s="18">
        <v>16000000</v>
      </c>
      <c r="J569" s="10">
        <v>2803.47</v>
      </c>
      <c r="K569" s="7" t="s">
        <v>13</v>
      </c>
      <c r="L569" s="7" t="s">
        <v>54</v>
      </c>
      <c r="M569" s="34">
        <v>46080</v>
      </c>
      <c r="N569" s="7" t="s">
        <v>91</v>
      </c>
    </row>
    <row r="570" spans="1:15" x14ac:dyDescent="0.25">
      <c r="A570" s="41" t="s">
        <v>435</v>
      </c>
      <c r="B570" s="1">
        <v>1</v>
      </c>
      <c r="C570" s="8">
        <v>46079</v>
      </c>
      <c r="D570" s="1" t="s">
        <v>918</v>
      </c>
      <c r="E570" s="7" t="s">
        <v>13</v>
      </c>
      <c r="F570" s="1" t="s">
        <v>24</v>
      </c>
      <c r="G570" s="9" t="s">
        <v>35</v>
      </c>
      <c r="H570" s="7">
        <v>2782385</v>
      </c>
      <c r="I570" s="18">
        <v>15001002</v>
      </c>
      <c r="J570" s="10">
        <v>10812.88</v>
      </c>
      <c r="K570" s="7" t="s">
        <v>13</v>
      </c>
      <c r="L570" s="7" t="s">
        <v>54</v>
      </c>
      <c r="M570" s="34">
        <v>46080</v>
      </c>
      <c r="N570" s="7" t="s">
        <v>91</v>
      </c>
    </row>
    <row r="571" spans="1:15" x14ac:dyDescent="0.25">
      <c r="A571" s="41" t="s">
        <v>435</v>
      </c>
      <c r="B571" s="1">
        <v>1</v>
      </c>
      <c r="C571" s="8">
        <v>46079</v>
      </c>
      <c r="D571" s="1" t="s">
        <v>919</v>
      </c>
      <c r="E571" s="7" t="s">
        <v>13</v>
      </c>
      <c r="F571" s="1" t="s">
        <v>24</v>
      </c>
      <c r="G571" s="9" t="s">
        <v>35</v>
      </c>
      <c r="H571" s="7">
        <v>2782391</v>
      </c>
      <c r="I571" s="18">
        <v>16000000</v>
      </c>
      <c r="J571" s="10">
        <v>1959.77</v>
      </c>
      <c r="K571" s="7" t="s">
        <v>13</v>
      </c>
      <c r="L571" s="7" t="s">
        <v>54</v>
      </c>
      <c r="M571" s="34">
        <v>46080</v>
      </c>
      <c r="N571" s="7" t="s">
        <v>91</v>
      </c>
    </row>
    <row r="572" spans="1:15" x14ac:dyDescent="0.25">
      <c r="A572" s="41" t="s">
        <v>435</v>
      </c>
      <c r="B572" s="1">
        <v>1</v>
      </c>
      <c r="C572" s="8">
        <v>46079</v>
      </c>
      <c r="D572" s="1" t="s">
        <v>920</v>
      </c>
      <c r="E572" s="7" t="s">
        <v>13</v>
      </c>
      <c r="F572" s="1" t="s">
        <v>24</v>
      </c>
      <c r="G572" s="9" t="s">
        <v>35</v>
      </c>
      <c r="H572" s="7">
        <v>2782388</v>
      </c>
      <c r="I572" s="18">
        <v>16000000</v>
      </c>
      <c r="J572" s="10">
        <v>11280.77</v>
      </c>
      <c r="K572" s="7" t="s">
        <v>13</v>
      </c>
      <c r="L572" s="7" t="s">
        <v>54</v>
      </c>
      <c r="M572" s="34">
        <v>46083</v>
      </c>
      <c r="N572" s="7" t="s">
        <v>774</v>
      </c>
    </row>
    <row r="573" spans="1:15" x14ac:dyDescent="0.25">
      <c r="A573" s="41" t="s">
        <v>181</v>
      </c>
      <c r="B573" s="1">
        <v>1</v>
      </c>
      <c r="C573" s="8">
        <v>46079</v>
      </c>
      <c r="D573" s="1" t="s">
        <v>921</v>
      </c>
      <c r="E573" s="7" t="s">
        <v>14</v>
      </c>
      <c r="F573" s="1" t="s">
        <v>24</v>
      </c>
      <c r="G573" s="9" t="s">
        <v>35</v>
      </c>
      <c r="H573" s="7">
        <v>941177315</v>
      </c>
      <c r="I573" s="18">
        <v>15000000</v>
      </c>
      <c r="J573" s="10">
        <v>61.75</v>
      </c>
      <c r="K573" s="7" t="s">
        <v>12</v>
      </c>
      <c r="L573" s="7" t="s">
        <v>53</v>
      </c>
      <c r="M573" s="34">
        <v>46080</v>
      </c>
      <c r="N573" s="7" t="s">
        <v>774</v>
      </c>
    </row>
    <row r="574" spans="1:15" ht="30" x14ac:dyDescent="0.25">
      <c r="A574" s="41" t="s">
        <v>924</v>
      </c>
      <c r="B574" s="1">
        <v>1</v>
      </c>
      <c r="C574" s="8">
        <v>46079</v>
      </c>
      <c r="D574" s="1" t="s">
        <v>923</v>
      </c>
      <c r="E574" s="7" t="s">
        <v>20</v>
      </c>
      <c r="F574" s="1" t="s">
        <v>24</v>
      </c>
      <c r="G574" s="9" t="s">
        <v>48</v>
      </c>
      <c r="H574" s="7" t="s">
        <v>74</v>
      </c>
      <c r="I574" s="18">
        <v>15000000</v>
      </c>
      <c r="J574" s="10" t="s">
        <v>61</v>
      </c>
      <c r="K574" s="7" t="s">
        <v>22</v>
      </c>
      <c r="L574" s="7" t="s">
        <v>55</v>
      </c>
      <c r="M574" s="34">
        <v>46084</v>
      </c>
      <c r="N574" s="7" t="s">
        <v>46</v>
      </c>
      <c r="O574" s="7" t="s">
        <v>922</v>
      </c>
    </row>
    <row r="575" spans="1:15" x14ac:dyDescent="0.25">
      <c r="A575" s="41" t="s">
        <v>424</v>
      </c>
      <c r="B575" s="1">
        <v>1</v>
      </c>
      <c r="C575" s="8">
        <v>46079</v>
      </c>
      <c r="D575" s="1" t="s">
        <v>925</v>
      </c>
      <c r="E575" s="7" t="s">
        <v>14</v>
      </c>
      <c r="F575" s="1" t="s">
        <v>24</v>
      </c>
      <c r="G575" s="9" t="s">
        <v>35</v>
      </c>
      <c r="H575" s="7">
        <v>197</v>
      </c>
      <c r="I575" s="18">
        <v>15000000</v>
      </c>
      <c r="J575" s="10">
        <v>122183.82</v>
      </c>
      <c r="K575" s="7" t="s">
        <v>12</v>
      </c>
      <c r="L575" s="7" t="s">
        <v>53</v>
      </c>
      <c r="M575" s="34">
        <v>46080</v>
      </c>
      <c r="N575" s="7" t="s">
        <v>41</v>
      </c>
    </row>
    <row r="576" spans="1:15" x14ac:dyDescent="0.25">
      <c r="A576" s="41" t="s">
        <v>424</v>
      </c>
      <c r="B576" s="1">
        <v>2</v>
      </c>
      <c r="C576" s="8">
        <v>46083</v>
      </c>
      <c r="D576" s="1" t="s">
        <v>927</v>
      </c>
      <c r="E576" s="7" t="s">
        <v>14</v>
      </c>
      <c r="F576" s="1" t="s">
        <v>24</v>
      </c>
      <c r="G576" s="9" t="s">
        <v>35</v>
      </c>
      <c r="H576" s="7">
        <v>192</v>
      </c>
      <c r="I576" s="18">
        <v>15000000</v>
      </c>
      <c r="J576" s="10">
        <v>37186.379999999997</v>
      </c>
      <c r="K576" s="7" t="s">
        <v>12</v>
      </c>
      <c r="L576" s="7" t="s">
        <v>53</v>
      </c>
      <c r="M576" s="34">
        <v>46083</v>
      </c>
      <c r="N576" s="7" t="s">
        <v>41</v>
      </c>
    </row>
    <row r="577" spans="1:14" x14ac:dyDescent="0.25">
      <c r="A577" s="41" t="s">
        <v>424</v>
      </c>
      <c r="B577" s="1">
        <v>1</v>
      </c>
      <c r="C577" s="8">
        <v>46079</v>
      </c>
      <c r="D577" s="1" t="s">
        <v>928</v>
      </c>
      <c r="E577" s="7" t="s">
        <v>14</v>
      </c>
      <c r="F577" s="1" t="s">
        <v>24</v>
      </c>
      <c r="G577" s="9" t="s">
        <v>35</v>
      </c>
      <c r="H577" s="7">
        <v>196</v>
      </c>
      <c r="I577" s="18">
        <v>15000000</v>
      </c>
      <c r="J577" s="10">
        <v>30979.39</v>
      </c>
      <c r="K577" s="7" t="s">
        <v>12</v>
      </c>
      <c r="L577" s="7" t="s">
        <v>53</v>
      </c>
      <c r="M577" s="34">
        <v>46080</v>
      </c>
      <c r="N577" s="7" t="s">
        <v>41</v>
      </c>
    </row>
    <row r="578" spans="1:14" x14ac:dyDescent="0.25">
      <c r="A578" s="41" t="s">
        <v>417</v>
      </c>
      <c r="B578" s="1">
        <v>2</v>
      </c>
      <c r="C578" s="8">
        <v>46083</v>
      </c>
      <c r="D578" s="1" t="s">
        <v>984</v>
      </c>
      <c r="E578" s="7" t="s">
        <v>14</v>
      </c>
      <c r="F578" s="1" t="s">
        <v>24</v>
      </c>
      <c r="G578" s="9" t="s">
        <v>35</v>
      </c>
      <c r="H578" s="7">
        <v>1322</v>
      </c>
      <c r="I578" s="18">
        <v>15000000</v>
      </c>
      <c r="J578" s="10">
        <v>106861.71</v>
      </c>
      <c r="K578" s="7" t="s">
        <v>12</v>
      </c>
      <c r="L578" s="7" t="s">
        <v>53</v>
      </c>
      <c r="M578" s="34">
        <v>46083</v>
      </c>
      <c r="N578" s="7" t="s">
        <v>41</v>
      </c>
    </row>
    <row r="579" spans="1:14" x14ac:dyDescent="0.25">
      <c r="A579" s="41" t="s">
        <v>603</v>
      </c>
      <c r="B579" s="1">
        <v>1</v>
      </c>
      <c r="C579" s="8">
        <v>46079</v>
      </c>
      <c r="D579" s="1" t="s">
        <v>929</v>
      </c>
      <c r="E579" s="7" t="s">
        <v>14</v>
      </c>
      <c r="F579" s="1" t="s">
        <v>24</v>
      </c>
      <c r="G579" s="9" t="s">
        <v>35</v>
      </c>
      <c r="H579" s="7" t="s">
        <v>74</v>
      </c>
      <c r="I579" s="18">
        <v>15000000</v>
      </c>
      <c r="J579" s="10">
        <v>12399.43</v>
      </c>
      <c r="K579" s="7" t="s">
        <v>12</v>
      </c>
      <c r="L579" s="7" t="s">
        <v>53</v>
      </c>
      <c r="M579" s="34">
        <v>46079</v>
      </c>
      <c r="N579" s="7" t="s">
        <v>41</v>
      </c>
    </row>
    <row r="580" spans="1:14" x14ac:dyDescent="0.25">
      <c r="A580" s="41" t="s">
        <v>932</v>
      </c>
      <c r="B580" s="1">
        <v>1</v>
      </c>
      <c r="C580" s="8">
        <v>46079</v>
      </c>
      <c r="F580" s="1" t="s">
        <v>24</v>
      </c>
      <c r="G580" s="9" t="s">
        <v>35</v>
      </c>
      <c r="K580" s="7" t="s">
        <v>58</v>
      </c>
      <c r="L580" s="7" t="s">
        <v>59</v>
      </c>
    </row>
    <row r="581" spans="1:14" x14ac:dyDescent="0.25">
      <c r="A581" s="41" t="s">
        <v>932</v>
      </c>
      <c r="B581" s="1">
        <v>1</v>
      </c>
      <c r="C581" s="8">
        <v>46079</v>
      </c>
      <c r="F581" s="1" t="s">
        <v>24</v>
      </c>
      <c r="G581" s="9" t="s">
        <v>35</v>
      </c>
      <c r="K581" s="7" t="s">
        <v>58</v>
      </c>
      <c r="L581" s="7" t="s">
        <v>59</v>
      </c>
    </row>
    <row r="582" spans="1:14" x14ac:dyDescent="0.25">
      <c r="A582" s="41" t="s">
        <v>448</v>
      </c>
      <c r="B582" s="1">
        <v>1</v>
      </c>
      <c r="C582" s="8">
        <v>46080</v>
      </c>
      <c r="D582" s="1" t="s">
        <v>933</v>
      </c>
      <c r="E582" s="7" t="s">
        <v>14</v>
      </c>
      <c r="F582" s="1" t="s">
        <v>24</v>
      </c>
      <c r="G582" s="9" t="s">
        <v>35</v>
      </c>
      <c r="H582" s="7">
        <v>44944</v>
      </c>
      <c r="I582" s="18">
        <v>15000000</v>
      </c>
      <c r="J582" s="10">
        <v>1336</v>
      </c>
      <c r="K582" s="7" t="s">
        <v>12</v>
      </c>
      <c r="L582" s="7" t="s">
        <v>53</v>
      </c>
      <c r="M582" s="34">
        <v>46085</v>
      </c>
      <c r="N582" s="7" t="s">
        <v>41</v>
      </c>
    </row>
    <row r="583" spans="1:14" x14ac:dyDescent="0.25">
      <c r="A583" s="41" t="s">
        <v>740</v>
      </c>
      <c r="B583" s="1">
        <v>2</v>
      </c>
      <c r="C583" s="8">
        <v>46084</v>
      </c>
      <c r="D583" s="1" t="s">
        <v>934</v>
      </c>
      <c r="E583" s="7" t="s">
        <v>2</v>
      </c>
      <c r="F583" s="1" t="s">
        <v>24</v>
      </c>
      <c r="G583" s="9" t="s">
        <v>35</v>
      </c>
      <c r="H583" s="7" t="s">
        <v>551</v>
      </c>
      <c r="I583" s="18">
        <v>15001001</v>
      </c>
      <c r="J583" s="10">
        <v>2100</v>
      </c>
      <c r="K583" s="7" t="s">
        <v>12</v>
      </c>
      <c r="L583" s="7" t="s">
        <v>53</v>
      </c>
      <c r="M583" s="34">
        <v>46084</v>
      </c>
      <c r="N583" s="7" t="s">
        <v>774</v>
      </c>
    </row>
    <row r="584" spans="1:14" x14ac:dyDescent="0.25">
      <c r="A584" s="41" t="s">
        <v>489</v>
      </c>
      <c r="B584" s="1">
        <v>2</v>
      </c>
      <c r="C584" s="8">
        <v>46085</v>
      </c>
      <c r="D584" s="1" t="s">
        <v>935</v>
      </c>
      <c r="E584" s="7" t="s">
        <v>14</v>
      </c>
      <c r="F584" s="1" t="s">
        <v>24</v>
      </c>
      <c r="G584" s="9" t="s">
        <v>35</v>
      </c>
      <c r="H584" s="7">
        <v>91833</v>
      </c>
      <c r="I584" s="18">
        <v>15000000</v>
      </c>
      <c r="J584" s="10">
        <v>1299.82</v>
      </c>
      <c r="K584" s="7" t="s">
        <v>12</v>
      </c>
      <c r="L584" s="7" t="s">
        <v>53</v>
      </c>
      <c r="M584" s="34">
        <v>46085</v>
      </c>
      <c r="N584" s="7" t="s">
        <v>41</v>
      </c>
    </row>
    <row r="585" spans="1:14" x14ac:dyDescent="0.25">
      <c r="A585" s="41" t="s">
        <v>432</v>
      </c>
      <c r="B585" s="1">
        <v>1</v>
      </c>
      <c r="C585" s="8">
        <v>46080</v>
      </c>
      <c r="D585" s="1" t="s">
        <v>936</v>
      </c>
      <c r="E585" s="7" t="s">
        <v>14</v>
      </c>
      <c r="F585" s="1" t="s">
        <v>24</v>
      </c>
      <c r="G585" s="9" t="s">
        <v>35</v>
      </c>
      <c r="H585" s="7">
        <v>119015</v>
      </c>
      <c r="I585" s="18">
        <v>15000000</v>
      </c>
      <c r="J585" s="10">
        <v>1800</v>
      </c>
      <c r="K585" s="7" t="s">
        <v>12</v>
      </c>
      <c r="L585" s="7" t="s">
        <v>53</v>
      </c>
      <c r="M585" s="34">
        <v>46085</v>
      </c>
      <c r="N585" s="7" t="s">
        <v>91</v>
      </c>
    </row>
    <row r="586" spans="1:14" x14ac:dyDescent="0.25">
      <c r="A586" s="41" t="s">
        <v>371</v>
      </c>
      <c r="B586" s="1">
        <v>1</v>
      </c>
      <c r="C586" s="8">
        <v>46080</v>
      </c>
      <c r="D586" s="1" t="s">
        <v>937</v>
      </c>
      <c r="E586" s="7" t="s">
        <v>14</v>
      </c>
      <c r="F586" s="1" t="s">
        <v>24</v>
      </c>
      <c r="G586" s="9" t="s">
        <v>35</v>
      </c>
      <c r="H586" s="7">
        <v>365</v>
      </c>
      <c r="I586" s="18">
        <v>15000000</v>
      </c>
      <c r="J586" s="10">
        <v>2569.94</v>
      </c>
      <c r="K586" s="7" t="s">
        <v>12</v>
      </c>
      <c r="L586" s="7" t="s">
        <v>53</v>
      </c>
      <c r="M586" s="34">
        <v>46080</v>
      </c>
      <c r="N586" s="7" t="s">
        <v>41</v>
      </c>
    </row>
    <row r="587" spans="1:14" x14ac:dyDescent="0.25">
      <c r="A587" s="41" t="s">
        <v>112</v>
      </c>
      <c r="B587" s="1">
        <v>1</v>
      </c>
      <c r="C587" s="8">
        <v>46080</v>
      </c>
      <c r="D587" s="1" t="s">
        <v>938</v>
      </c>
      <c r="E587" s="7" t="s">
        <v>13</v>
      </c>
      <c r="F587" s="1" t="s">
        <v>24</v>
      </c>
      <c r="G587" s="9" t="s">
        <v>35</v>
      </c>
      <c r="H587" s="7">
        <v>26</v>
      </c>
      <c r="I587" s="18">
        <v>16000000</v>
      </c>
      <c r="J587" s="10">
        <v>235000</v>
      </c>
      <c r="K587" s="7" t="s">
        <v>13</v>
      </c>
      <c r="L587" s="7" t="s">
        <v>54</v>
      </c>
      <c r="M587" s="34">
        <v>46080</v>
      </c>
      <c r="N587" s="7" t="s">
        <v>41</v>
      </c>
    </row>
    <row r="588" spans="1:14" x14ac:dyDescent="0.25">
      <c r="A588" s="41" t="s">
        <v>939</v>
      </c>
      <c r="B588" s="1">
        <v>1</v>
      </c>
      <c r="C588" s="8">
        <v>46080</v>
      </c>
      <c r="D588" s="1" t="s">
        <v>940</v>
      </c>
      <c r="E588" s="7" t="s">
        <v>13</v>
      </c>
      <c r="F588" s="1" t="s">
        <v>24</v>
      </c>
      <c r="G588" s="9" t="s">
        <v>35</v>
      </c>
      <c r="H588" s="7">
        <v>7739</v>
      </c>
      <c r="I588" s="18">
        <v>16210000</v>
      </c>
      <c r="J588" s="10">
        <v>1092</v>
      </c>
      <c r="K588" s="7" t="s">
        <v>13</v>
      </c>
      <c r="L588" s="7" t="s">
        <v>54</v>
      </c>
      <c r="M588" s="34">
        <v>46083</v>
      </c>
      <c r="N588" s="7" t="s">
        <v>774</v>
      </c>
    </row>
    <row r="589" spans="1:14" x14ac:dyDescent="0.25">
      <c r="A589" s="41" t="s">
        <v>942</v>
      </c>
      <c r="B589" s="1">
        <v>2</v>
      </c>
      <c r="C589" s="8">
        <v>46083</v>
      </c>
      <c r="D589" s="1" t="s">
        <v>941</v>
      </c>
      <c r="E589" s="7" t="s">
        <v>16</v>
      </c>
      <c r="F589" s="1" t="s">
        <v>24</v>
      </c>
      <c r="G589" s="9" t="s">
        <v>35</v>
      </c>
      <c r="H589" s="7" t="s">
        <v>74</v>
      </c>
      <c r="I589" s="18">
        <v>15000000</v>
      </c>
      <c r="J589" s="10">
        <v>125428.8</v>
      </c>
      <c r="K589" s="7" t="s">
        <v>12</v>
      </c>
      <c r="L589" s="7" t="s">
        <v>53</v>
      </c>
      <c r="M589" s="34">
        <v>46083</v>
      </c>
      <c r="N589" s="7" t="s">
        <v>41</v>
      </c>
    </row>
    <row r="590" spans="1:14" x14ac:dyDescent="0.25">
      <c r="A590" s="41" t="s">
        <v>943</v>
      </c>
      <c r="B590" s="1">
        <v>1</v>
      </c>
      <c r="C590" s="8">
        <v>46080</v>
      </c>
      <c r="D590" s="1" t="s">
        <v>944</v>
      </c>
      <c r="E590" s="7" t="s">
        <v>13</v>
      </c>
      <c r="F590" s="1" t="s">
        <v>24</v>
      </c>
      <c r="G590" s="9" t="s">
        <v>35</v>
      </c>
      <c r="H590" s="7">
        <v>5610</v>
      </c>
      <c r="I590" s="18">
        <v>15001002</v>
      </c>
      <c r="J590" s="10">
        <v>46571.5</v>
      </c>
      <c r="K590" s="7" t="s">
        <v>13</v>
      </c>
      <c r="L590" s="7" t="s">
        <v>54</v>
      </c>
      <c r="M590" s="34">
        <v>46083</v>
      </c>
      <c r="N590" s="7" t="s">
        <v>774</v>
      </c>
    </row>
    <row r="591" spans="1:14" x14ac:dyDescent="0.25">
      <c r="A591" s="41" t="s">
        <v>943</v>
      </c>
      <c r="B591" s="1">
        <v>1</v>
      </c>
      <c r="C591" s="8">
        <v>46080</v>
      </c>
      <c r="D591" s="1" t="s">
        <v>945</v>
      </c>
      <c r="E591" s="7" t="s">
        <v>13</v>
      </c>
      <c r="F591" s="1" t="s">
        <v>24</v>
      </c>
      <c r="G591" s="9" t="s">
        <v>35</v>
      </c>
      <c r="H591" s="7">
        <v>5609</v>
      </c>
      <c r="I591" s="18">
        <v>15001002</v>
      </c>
      <c r="J591" s="10">
        <v>17861.400000000001</v>
      </c>
      <c r="K591" s="7" t="s">
        <v>13</v>
      </c>
      <c r="L591" s="7" t="s">
        <v>54</v>
      </c>
      <c r="M591" s="34">
        <v>46083</v>
      </c>
      <c r="N591" s="7" t="s">
        <v>774</v>
      </c>
    </row>
    <row r="592" spans="1:14" x14ac:dyDescent="0.25">
      <c r="A592" s="41" t="s">
        <v>112</v>
      </c>
      <c r="B592" s="1">
        <v>2</v>
      </c>
      <c r="C592" s="8">
        <v>46080</v>
      </c>
      <c r="D592" s="1" t="s">
        <v>950</v>
      </c>
      <c r="E592" s="7" t="s">
        <v>13</v>
      </c>
      <c r="F592" s="1" t="s">
        <v>24</v>
      </c>
      <c r="G592" s="9" t="s">
        <v>35</v>
      </c>
      <c r="H592" s="7">
        <v>26</v>
      </c>
      <c r="I592" s="18">
        <v>15001002</v>
      </c>
      <c r="J592" s="10">
        <v>1255667.42</v>
      </c>
      <c r="K592" s="7" t="s">
        <v>13</v>
      </c>
      <c r="L592" s="7" t="s">
        <v>54</v>
      </c>
      <c r="M592" s="34">
        <v>46080</v>
      </c>
      <c r="N592" s="7" t="s">
        <v>41</v>
      </c>
    </row>
    <row r="593" spans="1:14" x14ac:dyDescent="0.25">
      <c r="A593" s="41" t="s">
        <v>210</v>
      </c>
      <c r="B593" s="1">
        <v>2</v>
      </c>
      <c r="C593" s="8">
        <v>46083</v>
      </c>
      <c r="D593" s="1" t="s">
        <v>946</v>
      </c>
      <c r="E593" s="7" t="s">
        <v>13</v>
      </c>
      <c r="F593" s="1" t="s">
        <v>24</v>
      </c>
      <c r="G593" s="9" t="s">
        <v>35</v>
      </c>
      <c r="H593" s="7">
        <v>925940</v>
      </c>
      <c r="I593" s="18">
        <v>15001002</v>
      </c>
      <c r="J593" s="10">
        <v>897.47</v>
      </c>
      <c r="K593" s="7" t="s">
        <v>13</v>
      </c>
      <c r="L593" s="7" t="s">
        <v>54</v>
      </c>
      <c r="M593" s="34">
        <v>46084</v>
      </c>
      <c r="N593" s="7" t="s">
        <v>41</v>
      </c>
    </row>
    <row r="594" spans="1:14" x14ac:dyDescent="0.25">
      <c r="A594" s="41" t="s">
        <v>563</v>
      </c>
      <c r="B594" s="1">
        <v>1</v>
      </c>
      <c r="C594" s="8">
        <v>46080</v>
      </c>
      <c r="D594" s="1" t="s">
        <v>947</v>
      </c>
      <c r="E594" s="7" t="s">
        <v>16</v>
      </c>
      <c r="F594" s="1" t="s">
        <v>24</v>
      </c>
      <c r="G594" s="9" t="s">
        <v>35</v>
      </c>
      <c r="H594" s="7" t="s">
        <v>898</v>
      </c>
      <c r="I594" s="18">
        <v>16600000</v>
      </c>
      <c r="J594" s="10">
        <v>2638.75</v>
      </c>
      <c r="K594" s="7" t="s">
        <v>12</v>
      </c>
      <c r="L594" s="7" t="s">
        <v>53</v>
      </c>
      <c r="M594" s="34">
        <v>46084</v>
      </c>
      <c r="N594" s="7" t="s">
        <v>774</v>
      </c>
    </row>
    <row r="595" spans="1:14" x14ac:dyDescent="0.25">
      <c r="A595" s="41" t="s">
        <v>446</v>
      </c>
      <c r="B595" s="1">
        <v>1</v>
      </c>
      <c r="C595" s="8">
        <v>46080</v>
      </c>
      <c r="D595" s="1" t="s">
        <v>948</v>
      </c>
      <c r="E595" s="7" t="s">
        <v>14</v>
      </c>
      <c r="F595" s="1" t="s">
        <v>24</v>
      </c>
      <c r="G595" s="9" t="s">
        <v>35</v>
      </c>
      <c r="H595" s="7">
        <v>1872</v>
      </c>
      <c r="I595" s="18" t="s">
        <v>0</v>
      </c>
      <c r="J595" s="10">
        <v>2926.13</v>
      </c>
      <c r="K595" s="7" t="s">
        <v>12</v>
      </c>
      <c r="L595" s="7" t="s">
        <v>53</v>
      </c>
      <c r="M595" s="34">
        <v>46084</v>
      </c>
      <c r="N595" s="7" t="s">
        <v>91</v>
      </c>
    </row>
    <row r="596" spans="1:14" x14ac:dyDescent="0.25">
      <c r="A596" s="41" t="s">
        <v>367</v>
      </c>
      <c r="B596" s="1">
        <v>1</v>
      </c>
      <c r="C596" s="8">
        <v>46080</v>
      </c>
      <c r="D596" s="1" t="s">
        <v>949</v>
      </c>
      <c r="E596" s="7" t="s">
        <v>14</v>
      </c>
      <c r="F596" s="1" t="s">
        <v>24</v>
      </c>
      <c r="G596" s="9" t="s">
        <v>35</v>
      </c>
      <c r="H596" s="7">
        <v>17466</v>
      </c>
      <c r="I596" s="18">
        <v>15000000</v>
      </c>
      <c r="J596" s="10">
        <v>2327.6799999999998</v>
      </c>
      <c r="K596" s="7" t="s">
        <v>12</v>
      </c>
      <c r="L596" s="7" t="s">
        <v>53</v>
      </c>
      <c r="M596" s="34">
        <v>46086</v>
      </c>
      <c r="N596" s="7" t="s">
        <v>91</v>
      </c>
    </row>
    <row r="597" spans="1:14" x14ac:dyDescent="0.25">
      <c r="A597" s="41" t="s">
        <v>687</v>
      </c>
      <c r="B597" s="1">
        <v>1</v>
      </c>
      <c r="C597" s="8">
        <v>46080</v>
      </c>
      <c r="D597" s="1" t="s">
        <v>952</v>
      </c>
      <c r="E597" s="7" t="s">
        <v>13</v>
      </c>
      <c r="F597" s="1" t="s">
        <v>24</v>
      </c>
      <c r="G597" s="9" t="s">
        <v>63</v>
      </c>
      <c r="I597" s="18" t="s">
        <v>0</v>
      </c>
      <c r="K597" s="7" t="s">
        <v>17</v>
      </c>
      <c r="L597" s="7" t="s">
        <v>55</v>
      </c>
      <c r="M597" s="34">
        <v>46093</v>
      </c>
      <c r="N597" s="7" t="s">
        <v>46</v>
      </c>
    </row>
    <row r="598" spans="1:14" x14ac:dyDescent="0.25">
      <c r="A598" s="41" t="s">
        <v>953</v>
      </c>
      <c r="B598" s="1">
        <v>1</v>
      </c>
      <c r="C598" s="8">
        <v>46080</v>
      </c>
      <c r="D598" s="1" t="s">
        <v>954</v>
      </c>
      <c r="E598" s="7" t="s">
        <v>13</v>
      </c>
      <c r="F598" s="1" t="s">
        <v>24</v>
      </c>
      <c r="G598" s="9" t="s">
        <v>35</v>
      </c>
      <c r="H598" s="7">
        <v>2796</v>
      </c>
      <c r="I598" s="18">
        <v>16210000</v>
      </c>
      <c r="J598" s="10">
        <v>984</v>
      </c>
      <c r="K598" s="7" t="s">
        <v>13</v>
      </c>
      <c r="L598" s="7" t="s">
        <v>54</v>
      </c>
      <c r="M598" s="34">
        <v>46085</v>
      </c>
      <c r="N598" s="7" t="s">
        <v>91</v>
      </c>
    </row>
    <row r="599" spans="1:14" x14ac:dyDescent="0.25">
      <c r="A599" s="41" t="s">
        <v>292</v>
      </c>
      <c r="B599" s="1">
        <v>1</v>
      </c>
      <c r="C599" s="8">
        <v>46080</v>
      </c>
      <c r="D599" s="1" t="s">
        <v>955</v>
      </c>
      <c r="E599" s="7" t="s">
        <v>13</v>
      </c>
      <c r="F599" s="1" t="s">
        <v>24</v>
      </c>
      <c r="G599" s="9" t="s">
        <v>35</v>
      </c>
      <c r="H599" s="7">
        <v>849</v>
      </c>
      <c r="I599" s="18">
        <v>15001002</v>
      </c>
      <c r="J599" s="10">
        <v>4895</v>
      </c>
      <c r="K599" s="7" t="s">
        <v>13</v>
      </c>
      <c r="L599" s="7" t="s">
        <v>54</v>
      </c>
      <c r="M599" s="34">
        <v>46084</v>
      </c>
      <c r="N599" s="7" t="s">
        <v>91</v>
      </c>
    </row>
    <row r="600" spans="1:14" x14ac:dyDescent="0.25">
      <c r="A600" s="41" t="s">
        <v>943</v>
      </c>
      <c r="B600" s="1">
        <v>1</v>
      </c>
      <c r="C600" s="8">
        <v>46080</v>
      </c>
      <c r="D600" s="1" t="s">
        <v>956</v>
      </c>
      <c r="E600" s="7" t="s">
        <v>13</v>
      </c>
      <c r="F600" s="1" t="s">
        <v>24</v>
      </c>
      <c r="G600" s="9" t="s">
        <v>35</v>
      </c>
      <c r="H600" s="7">
        <v>5607</v>
      </c>
      <c r="I600" s="18">
        <v>16000000</v>
      </c>
      <c r="J600" s="10">
        <v>241</v>
      </c>
      <c r="K600" s="7" t="s">
        <v>13</v>
      </c>
      <c r="L600" s="7" t="s">
        <v>54</v>
      </c>
      <c r="M600" s="34">
        <v>46084</v>
      </c>
      <c r="N600" s="7" t="s">
        <v>92</v>
      </c>
    </row>
    <row r="601" spans="1:14" x14ac:dyDescent="0.25">
      <c r="A601" s="41" t="s">
        <v>590</v>
      </c>
      <c r="B601" s="1">
        <v>1</v>
      </c>
      <c r="C601" s="8">
        <v>46080</v>
      </c>
      <c r="D601" s="1" t="s">
        <v>957</v>
      </c>
      <c r="E601" s="7" t="s">
        <v>14</v>
      </c>
      <c r="F601" s="1" t="s">
        <v>24</v>
      </c>
      <c r="G601" s="9" t="s">
        <v>35</v>
      </c>
      <c r="H601" s="7" t="s">
        <v>74</v>
      </c>
      <c r="I601" s="18">
        <v>15000000</v>
      </c>
      <c r="J601" s="10">
        <v>128.01</v>
      </c>
      <c r="K601" s="7" t="s">
        <v>12</v>
      </c>
      <c r="L601" s="7" t="s">
        <v>53</v>
      </c>
      <c r="M601" s="34">
        <v>46083</v>
      </c>
      <c r="N601" s="7" t="s">
        <v>92</v>
      </c>
    </row>
    <row r="602" spans="1:14" x14ac:dyDescent="0.25">
      <c r="A602" s="41" t="s">
        <v>943</v>
      </c>
      <c r="B602" s="1">
        <v>1</v>
      </c>
      <c r="C602" s="8">
        <v>46080</v>
      </c>
      <c r="D602" s="1" t="s">
        <v>958</v>
      </c>
      <c r="E602" s="7" t="s">
        <v>13</v>
      </c>
      <c r="F602" s="1" t="s">
        <v>24</v>
      </c>
      <c r="G602" s="9" t="s">
        <v>35</v>
      </c>
      <c r="H602" s="7">
        <v>5608</v>
      </c>
      <c r="I602" s="18">
        <v>16000000</v>
      </c>
      <c r="J602" s="10">
        <v>4502</v>
      </c>
      <c r="K602" s="7" t="s">
        <v>13</v>
      </c>
      <c r="L602" s="7" t="s">
        <v>54</v>
      </c>
      <c r="M602" s="34">
        <v>46085</v>
      </c>
      <c r="N602" s="7" t="s">
        <v>92</v>
      </c>
    </row>
    <row r="603" spans="1:14" x14ac:dyDescent="0.25">
      <c r="A603" s="41" t="s">
        <v>831</v>
      </c>
      <c r="B603" s="1">
        <v>1</v>
      </c>
      <c r="C603" s="8">
        <v>46080</v>
      </c>
      <c r="D603" s="1" t="s">
        <v>959</v>
      </c>
      <c r="E603" s="7" t="s">
        <v>12</v>
      </c>
      <c r="F603" s="1" t="s">
        <v>24</v>
      </c>
      <c r="G603" s="9" t="s">
        <v>35</v>
      </c>
      <c r="H603" s="7">
        <v>766</v>
      </c>
      <c r="I603" s="18">
        <v>15000000</v>
      </c>
      <c r="J603" s="10">
        <v>32250</v>
      </c>
      <c r="K603" s="7" t="s">
        <v>12</v>
      </c>
      <c r="L603" s="7" t="s">
        <v>53</v>
      </c>
      <c r="M603" s="34">
        <v>46085</v>
      </c>
      <c r="N603" s="8" t="s">
        <v>91</v>
      </c>
    </row>
    <row r="604" spans="1:14" x14ac:dyDescent="0.25">
      <c r="A604" s="41" t="s">
        <v>961</v>
      </c>
      <c r="B604" s="1">
        <v>1</v>
      </c>
      <c r="C604" s="8">
        <v>46080</v>
      </c>
      <c r="D604" s="1" t="s">
        <v>960</v>
      </c>
      <c r="E604" s="7" t="s">
        <v>16</v>
      </c>
      <c r="F604" s="1" t="s">
        <v>24</v>
      </c>
      <c r="G604" s="9" t="s">
        <v>35</v>
      </c>
      <c r="H604" s="7" t="s">
        <v>74</v>
      </c>
      <c r="I604" s="18">
        <v>15000000</v>
      </c>
      <c r="J604" s="10">
        <v>9000</v>
      </c>
      <c r="K604" s="7" t="s">
        <v>12</v>
      </c>
      <c r="L604" s="7" t="s">
        <v>53</v>
      </c>
      <c r="M604" s="34">
        <v>46085</v>
      </c>
      <c r="N604" s="7" t="s">
        <v>91</v>
      </c>
    </row>
    <row r="605" spans="1:14" x14ac:dyDescent="0.25">
      <c r="A605" s="41" t="s">
        <v>943</v>
      </c>
      <c r="B605" s="1">
        <v>1</v>
      </c>
      <c r="C605" s="8">
        <v>46080</v>
      </c>
      <c r="D605" s="1" t="s">
        <v>962</v>
      </c>
      <c r="E605" s="7" t="s">
        <v>13</v>
      </c>
      <c r="F605" s="1" t="s">
        <v>24</v>
      </c>
      <c r="G605" s="9" t="s">
        <v>35</v>
      </c>
      <c r="H605" s="7">
        <v>5606</v>
      </c>
      <c r="I605" s="18">
        <v>16000000</v>
      </c>
      <c r="J605" s="10">
        <v>300</v>
      </c>
      <c r="K605" s="7" t="s">
        <v>13</v>
      </c>
      <c r="L605" s="7" t="s">
        <v>54</v>
      </c>
      <c r="M605" s="34">
        <v>46084</v>
      </c>
      <c r="N605" s="7" t="s">
        <v>92</v>
      </c>
    </row>
    <row r="606" spans="1:14" x14ac:dyDescent="0.25">
      <c r="A606" s="41" t="s">
        <v>205</v>
      </c>
      <c r="B606" s="1">
        <v>1</v>
      </c>
      <c r="C606" s="8">
        <v>46080</v>
      </c>
      <c r="D606" s="1" t="s">
        <v>963</v>
      </c>
      <c r="E606" s="7" t="s">
        <v>13</v>
      </c>
      <c r="F606" s="1" t="s">
        <v>24</v>
      </c>
      <c r="G606" s="9" t="s">
        <v>35</v>
      </c>
      <c r="H606" s="7">
        <v>36357</v>
      </c>
      <c r="I606" s="18">
        <v>15001002</v>
      </c>
      <c r="J606" s="10">
        <v>22062.12</v>
      </c>
      <c r="K606" s="7" t="s">
        <v>13</v>
      </c>
      <c r="L606" s="7" t="s">
        <v>54</v>
      </c>
      <c r="M606" s="34">
        <v>46085</v>
      </c>
      <c r="N606" s="7" t="s">
        <v>774</v>
      </c>
    </row>
    <row r="607" spans="1:14" x14ac:dyDescent="0.25">
      <c r="A607" s="41" t="s">
        <v>441</v>
      </c>
      <c r="B607" s="1">
        <v>1</v>
      </c>
      <c r="C607" s="8">
        <v>46080</v>
      </c>
      <c r="D607" s="1" t="s">
        <v>964</v>
      </c>
      <c r="E607" s="7" t="s">
        <v>2</v>
      </c>
      <c r="F607" s="1" t="s">
        <v>24</v>
      </c>
      <c r="G607" s="9" t="s">
        <v>35</v>
      </c>
      <c r="H607" s="7">
        <v>11599</v>
      </c>
      <c r="I607" s="18">
        <v>15001002</v>
      </c>
      <c r="J607" s="10">
        <v>5950.69</v>
      </c>
      <c r="K607" s="7" t="s">
        <v>12</v>
      </c>
      <c r="L607" s="7" t="s">
        <v>53</v>
      </c>
      <c r="M607" s="34">
        <v>46084</v>
      </c>
      <c r="N607" s="7" t="s">
        <v>91</v>
      </c>
    </row>
    <row r="608" spans="1:14" x14ac:dyDescent="0.25">
      <c r="A608" s="41" t="s">
        <v>477</v>
      </c>
      <c r="B608" s="1">
        <v>2</v>
      </c>
      <c r="C608" s="8">
        <v>46085</v>
      </c>
      <c r="D608" s="1" t="s">
        <v>1035</v>
      </c>
      <c r="E608" s="7" t="s">
        <v>11</v>
      </c>
      <c r="F608" s="1" t="s">
        <v>25</v>
      </c>
      <c r="G608" s="9" t="s">
        <v>35</v>
      </c>
      <c r="H608" s="7">
        <v>185</v>
      </c>
      <c r="I608" s="18">
        <v>15000000</v>
      </c>
      <c r="J608" s="10">
        <v>65500</v>
      </c>
      <c r="K608" s="7" t="s">
        <v>12</v>
      </c>
      <c r="L608" s="7" t="s">
        <v>53</v>
      </c>
      <c r="M608" s="34">
        <v>46085</v>
      </c>
      <c r="N608" s="7" t="s">
        <v>41</v>
      </c>
    </row>
    <row r="609" spans="1:14" x14ac:dyDescent="0.25">
      <c r="A609" s="41" t="s">
        <v>477</v>
      </c>
      <c r="B609" s="1">
        <v>2</v>
      </c>
      <c r="C609" s="8">
        <v>46085</v>
      </c>
      <c r="D609" s="1" t="s">
        <v>965</v>
      </c>
      <c r="E609" s="7" t="s">
        <v>11</v>
      </c>
      <c r="F609" s="1" t="s">
        <v>25</v>
      </c>
      <c r="G609" s="9" t="s">
        <v>35</v>
      </c>
      <c r="H609" s="7" t="s">
        <v>74</v>
      </c>
      <c r="I609" s="18">
        <v>15000000</v>
      </c>
      <c r="J609" s="10">
        <v>6272.54</v>
      </c>
      <c r="K609" s="7" t="s">
        <v>12</v>
      </c>
      <c r="L609" s="7" t="s">
        <v>53</v>
      </c>
      <c r="M609" s="34">
        <v>46085</v>
      </c>
      <c r="N609" s="7" t="s">
        <v>41</v>
      </c>
    </row>
    <row r="610" spans="1:14" x14ac:dyDescent="0.25">
      <c r="A610" s="41" t="s">
        <v>477</v>
      </c>
      <c r="B610" s="1">
        <v>3</v>
      </c>
      <c r="C610" s="8">
        <v>46085</v>
      </c>
      <c r="D610" s="1" t="s">
        <v>966</v>
      </c>
      <c r="E610" s="7" t="s">
        <v>11</v>
      </c>
      <c r="F610" s="1" t="s">
        <v>25</v>
      </c>
      <c r="G610" s="9" t="s">
        <v>35</v>
      </c>
      <c r="H610" s="7">
        <v>207</v>
      </c>
      <c r="I610" s="18">
        <v>15000000</v>
      </c>
      <c r="J610" s="10">
        <v>28400</v>
      </c>
      <c r="K610" s="7" t="s">
        <v>12</v>
      </c>
      <c r="L610" s="7" t="s">
        <v>53</v>
      </c>
      <c r="M610" s="34">
        <v>46085</v>
      </c>
      <c r="N610" s="7" t="s">
        <v>41</v>
      </c>
    </row>
    <row r="611" spans="1:14" x14ac:dyDescent="0.25">
      <c r="A611" s="41" t="s">
        <v>732</v>
      </c>
      <c r="B611" s="1">
        <v>2</v>
      </c>
      <c r="C611" s="8">
        <v>46084</v>
      </c>
      <c r="D611" s="1" t="s">
        <v>967</v>
      </c>
      <c r="E611" s="7" t="s">
        <v>11</v>
      </c>
      <c r="F611" s="1" t="s">
        <v>25</v>
      </c>
      <c r="G611" s="9" t="s">
        <v>35</v>
      </c>
      <c r="H611" s="7">
        <v>548</v>
      </c>
      <c r="I611" s="18">
        <v>15000000</v>
      </c>
      <c r="J611" s="10">
        <v>200000</v>
      </c>
      <c r="K611" s="7" t="s">
        <v>12</v>
      </c>
      <c r="L611" s="7" t="s">
        <v>53</v>
      </c>
      <c r="M611" s="34">
        <v>46084</v>
      </c>
      <c r="N611" s="7" t="s">
        <v>41</v>
      </c>
    </row>
    <row r="612" spans="1:14" x14ac:dyDescent="0.25">
      <c r="A612" s="41" t="s">
        <v>730</v>
      </c>
      <c r="B612" s="1">
        <v>2</v>
      </c>
      <c r="C612" s="8">
        <v>46084</v>
      </c>
      <c r="D612" s="1" t="s">
        <v>968</v>
      </c>
      <c r="E612" s="7" t="s">
        <v>11</v>
      </c>
      <c r="F612" s="1" t="s">
        <v>25</v>
      </c>
      <c r="G612" s="9" t="s">
        <v>35</v>
      </c>
      <c r="H612" s="7">
        <v>57</v>
      </c>
      <c r="I612" s="18">
        <v>15000000</v>
      </c>
      <c r="J612" s="10">
        <v>80000</v>
      </c>
      <c r="K612" s="7" t="s">
        <v>12</v>
      </c>
      <c r="L612" s="7" t="s">
        <v>53</v>
      </c>
      <c r="M612" s="34">
        <v>46084</v>
      </c>
      <c r="N612" s="7" t="s">
        <v>41</v>
      </c>
    </row>
    <row r="613" spans="1:14" x14ac:dyDescent="0.25">
      <c r="A613" s="41" t="s">
        <v>953</v>
      </c>
      <c r="B613" s="1">
        <v>1</v>
      </c>
      <c r="C613" s="8">
        <v>46083</v>
      </c>
      <c r="D613" s="1" t="s">
        <v>969</v>
      </c>
      <c r="E613" s="7" t="s">
        <v>13</v>
      </c>
      <c r="F613" s="1" t="s">
        <v>25</v>
      </c>
      <c r="G613" s="9" t="s">
        <v>35</v>
      </c>
      <c r="H613" s="7">
        <v>2797</v>
      </c>
      <c r="I613" s="18">
        <v>15001002</v>
      </c>
      <c r="J613" s="10">
        <v>984</v>
      </c>
      <c r="K613" s="7" t="s">
        <v>13</v>
      </c>
      <c r="L613" s="7" t="s">
        <v>54</v>
      </c>
      <c r="M613" s="34">
        <v>46093</v>
      </c>
      <c r="N613" s="7" t="s">
        <v>91</v>
      </c>
    </row>
    <row r="614" spans="1:14" x14ac:dyDescent="0.25">
      <c r="A614" s="41" t="s">
        <v>112</v>
      </c>
      <c r="B614" s="1">
        <v>1</v>
      </c>
      <c r="C614" s="8">
        <v>46083</v>
      </c>
      <c r="D614" s="1" t="s">
        <v>970</v>
      </c>
      <c r="E614" s="7" t="s">
        <v>13</v>
      </c>
      <c r="F614" s="1" t="s">
        <v>25</v>
      </c>
      <c r="G614" s="9" t="s">
        <v>35</v>
      </c>
      <c r="H614" s="7">
        <v>106</v>
      </c>
      <c r="I614" s="18">
        <v>15001002</v>
      </c>
      <c r="J614" s="10">
        <v>178283.95</v>
      </c>
      <c r="K614" s="7" t="s">
        <v>13</v>
      </c>
      <c r="L614" s="7" t="s">
        <v>54</v>
      </c>
      <c r="M614" s="34">
        <v>46084</v>
      </c>
      <c r="N614" s="7" t="s">
        <v>41</v>
      </c>
    </row>
    <row r="615" spans="1:14" x14ac:dyDescent="0.25">
      <c r="A615" s="41" t="s">
        <v>971</v>
      </c>
      <c r="B615" s="1">
        <v>2</v>
      </c>
      <c r="C615" s="8">
        <v>46091</v>
      </c>
      <c r="D615" s="1" t="s">
        <v>972</v>
      </c>
      <c r="E615" s="7" t="s">
        <v>13</v>
      </c>
      <c r="F615" s="1" t="s">
        <v>25</v>
      </c>
      <c r="G615" s="9" t="s">
        <v>35</v>
      </c>
      <c r="H615" s="7">
        <v>3410</v>
      </c>
      <c r="I615" s="18">
        <v>15001002</v>
      </c>
      <c r="J615" s="10">
        <v>14732.89</v>
      </c>
      <c r="K615" s="7" t="s">
        <v>13</v>
      </c>
      <c r="L615" s="7" t="s">
        <v>54</v>
      </c>
      <c r="M615" s="34">
        <v>46092</v>
      </c>
      <c r="N615" s="7" t="s">
        <v>91</v>
      </c>
    </row>
    <row r="616" spans="1:14" x14ac:dyDescent="0.25">
      <c r="A616" s="41" t="s">
        <v>939</v>
      </c>
      <c r="B616" s="1">
        <v>1</v>
      </c>
      <c r="C616" s="8">
        <v>46083</v>
      </c>
      <c r="D616" s="1" t="s">
        <v>974</v>
      </c>
      <c r="E616" s="7" t="s">
        <v>13</v>
      </c>
      <c r="F616" s="1" t="s">
        <v>25</v>
      </c>
      <c r="G616" s="9" t="s">
        <v>35</v>
      </c>
      <c r="H616" s="7" t="s">
        <v>973</v>
      </c>
      <c r="I616" s="18">
        <v>15001002</v>
      </c>
      <c r="J616" s="10">
        <v>1243.1600000000001</v>
      </c>
      <c r="K616" s="7" t="s">
        <v>13</v>
      </c>
      <c r="L616" s="7" t="s">
        <v>54</v>
      </c>
      <c r="M616" s="34">
        <v>46085</v>
      </c>
      <c r="N616" s="7" t="s">
        <v>91</v>
      </c>
    </row>
    <row r="617" spans="1:14" x14ac:dyDescent="0.25">
      <c r="A617" s="41" t="s">
        <v>441</v>
      </c>
      <c r="B617" s="1">
        <v>1</v>
      </c>
      <c r="C617" s="8">
        <v>46083</v>
      </c>
      <c r="D617" s="1" t="s">
        <v>975</v>
      </c>
      <c r="E617" s="7" t="s">
        <v>14</v>
      </c>
      <c r="F617" s="1" t="s">
        <v>25</v>
      </c>
      <c r="G617" s="9" t="s">
        <v>35</v>
      </c>
      <c r="H617" s="7">
        <v>11590</v>
      </c>
      <c r="I617" s="18">
        <v>15000000</v>
      </c>
      <c r="J617" s="10">
        <v>8088.53</v>
      </c>
      <c r="K617" s="7" t="s">
        <v>12</v>
      </c>
      <c r="L617" s="7" t="s">
        <v>53</v>
      </c>
      <c r="M617" s="34">
        <v>46084</v>
      </c>
      <c r="N617" s="7" t="s">
        <v>91</v>
      </c>
    </row>
    <row r="618" spans="1:14" x14ac:dyDescent="0.25">
      <c r="A618" s="41" t="s">
        <v>223</v>
      </c>
      <c r="B618" s="1">
        <v>1</v>
      </c>
      <c r="C618" s="8">
        <v>46083</v>
      </c>
      <c r="D618" s="1" t="s">
        <v>976</v>
      </c>
      <c r="E618" s="7" t="s">
        <v>14</v>
      </c>
      <c r="F618" s="1" t="s">
        <v>25</v>
      </c>
      <c r="G618" s="9" t="s">
        <v>35</v>
      </c>
      <c r="H618" s="7">
        <v>17896</v>
      </c>
      <c r="I618" s="18">
        <v>15000000</v>
      </c>
      <c r="J618" s="10">
        <v>20800</v>
      </c>
      <c r="K618" s="7" t="s">
        <v>12</v>
      </c>
      <c r="L618" s="7" t="s">
        <v>53</v>
      </c>
      <c r="M618" s="34">
        <v>46084</v>
      </c>
      <c r="N618" s="7" t="s">
        <v>774</v>
      </c>
    </row>
    <row r="619" spans="1:14" x14ac:dyDescent="0.25">
      <c r="A619" s="41" t="s">
        <v>943</v>
      </c>
      <c r="B619" s="1">
        <v>1</v>
      </c>
      <c r="C619" s="8">
        <v>46083</v>
      </c>
      <c r="D619" s="1" t="s">
        <v>958</v>
      </c>
      <c r="E619" s="7" t="s">
        <v>13</v>
      </c>
      <c r="F619" s="1" t="s">
        <v>25</v>
      </c>
      <c r="G619" s="9" t="s">
        <v>35</v>
      </c>
      <c r="H619" s="7">
        <v>5608</v>
      </c>
      <c r="I619" s="18">
        <v>16000000</v>
      </c>
      <c r="J619" s="10">
        <v>5775</v>
      </c>
      <c r="K619" s="7" t="s">
        <v>13</v>
      </c>
      <c r="L619" s="7" t="s">
        <v>40</v>
      </c>
      <c r="M619" s="34">
        <v>46085</v>
      </c>
      <c r="N619" s="7" t="s">
        <v>41</v>
      </c>
    </row>
    <row r="620" spans="1:14" x14ac:dyDescent="0.25">
      <c r="A620" s="41" t="s">
        <v>467</v>
      </c>
      <c r="B620" s="1">
        <v>2</v>
      </c>
      <c r="C620" s="8">
        <v>46085</v>
      </c>
      <c r="D620" s="1" t="s">
        <v>977</v>
      </c>
      <c r="E620" s="7" t="s">
        <v>11</v>
      </c>
      <c r="F620" s="1" t="s">
        <v>25</v>
      </c>
      <c r="G620" s="9" t="s">
        <v>35</v>
      </c>
      <c r="H620" s="7">
        <v>1258</v>
      </c>
      <c r="I620" s="18">
        <v>15000000</v>
      </c>
      <c r="J620" s="10">
        <v>13380</v>
      </c>
      <c r="K620" s="7" t="s">
        <v>12</v>
      </c>
      <c r="L620" s="7" t="s">
        <v>53</v>
      </c>
      <c r="M620" s="34">
        <v>46087</v>
      </c>
      <c r="N620" s="7" t="s">
        <v>92</v>
      </c>
    </row>
    <row r="621" spans="1:14" x14ac:dyDescent="0.25">
      <c r="A621" s="41" t="s">
        <v>467</v>
      </c>
      <c r="B621" s="1">
        <v>2</v>
      </c>
      <c r="C621" s="8">
        <v>46085</v>
      </c>
      <c r="D621" s="1" t="s">
        <v>978</v>
      </c>
      <c r="E621" s="7" t="s">
        <v>11</v>
      </c>
      <c r="F621" s="1" t="s">
        <v>25</v>
      </c>
      <c r="G621" s="9" t="s">
        <v>35</v>
      </c>
      <c r="H621" s="7">
        <v>1259</v>
      </c>
      <c r="I621" s="18">
        <v>15000000</v>
      </c>
      <c r="J621" s="10">
        <v>20920</v>
      </c>
      <c r="K621" s="7" t="s">
        <v>12</v>
      </c>
      <c r="L621" s="7" t="s">
        <v>53</v>
      </c>
      <c r="M621" s="34">
        <v>46087</v>
      </c>
      <c r="N621" s="7" t="s">
        <v>92</v>
      </c>
    </row>
    <row r="622" spans="1:14" x14ac:dyDescent="0.25">
      <c r="A622" s="41" t="s">
        <v>467</v>
      </c>
      <c r="B622" s="1">
        <v>2</v>
      </c>
      <c r="C622" s="8">
        <v>46085</v>
      </c>
      <c r="D622" s="1" t="s">
        <v>979</v>
      </c>
      <c r="E622" s="7" t="s">
        <v>11</v>
      </c>
      <c r="F622" s="1" t="s">
        <v>25</v>
      </c>
      <c r="G622" s="9" t="s">
        <v>35</v>
      </c>
      <c r="H622" s="7">
        <v>1257</v>
      </c>
      <c r="I622" s="18">
        <v>15000000</v>
      </c>
      <c r="J622" s="10">
        <v>34586.43</v>
      </c>
      <c r="K622" s="7" t="s">
        <v>12</v>
      </c>
      <c r="L622" s="7" t="s">
        <v>53</v>
      </c>
      <c r="M622" s="34">
        <v>46087</v>
      </c>
      <c r="N622" s="7" t="s">
        <v>92</v>
      </c>
    </row>
    <row r="623" spans="1:14" x14ac:dyDescent="0.25">
      <c r="A623" s="41" t="s">
        <v>982</v>
      </c>
      <c r="B623" s="1">
        <v>1</v>
      </c>
      <c r="C623" s="8">
        <v>46083</v>
      </c>
      <c r="D623" s="1" t="s">
        <v>981</v>
      </c>
      <c r="E623" s="7" t="s">
        <v>2</v>
      </c>
      <c r="F623" s="1" t="s">
        <v>25</v>
      </c>
      <c r="G623" s="9" t="s">
        <v>35</v>
      </c>
      <c r="H623" s="7">
        <v>8127</v>
      </c>
      <c r="I623" s="18" t="s">
        <v>980</v>
      </c>
      <c r="J623" s="10">
        <v>8760</v>
      </c>
      <c r="K623" s="7" t="s">
        <v>12</v>
      </c>
      <c r="L623" s="7" t="s">
        <v>53</v>
      </c>
      <c r="M623" s="34">
        <v>46085</v>
      </c>
      <c r="N623" s="7" t="s">
        <v>41</v>
      </c>
    </row>
    <row r="624" spans="1:14" x14ac:dyDescent="0.25">
      <c r="A624" s="41" t="s">
        <v>393</v>
      </c>
      <c r="B624" s="1">
        <v>1</v>
      </c>
      <c r="C624" s="8">
        <v>46083</v>
      </c>
      <c r="D624" s="1" t="s">
        <v>1040</v>
      </c>
      <c r="E624" s="7" t="s">
        <v>13</v>
      </c>
      <c r="F624" s="1" t="s">
        <v>25</v>
      </c>
      <c r="G624" s="9" t="s">
        <v>35</v>
      </c>
      <c r="H624" s="7" t="s">
        <v>74</v>
      </c>
      <c r="I624" s="18">
        <v>16210000</v>
      </c>
      <c r="J624" s="10">
        <v>0</v>
      </c>
      <c r="K624" s="7" t="s">
        <v>13</v>
      </c>
      <c r="L624" s="7" t="s">
        <v>54</v>
      </c>
      <c r="M624" s="34">
        <v>46085</v>
      </c>
      <c r="N624" s="7" t="s">
        <v>774</v>
      </c>
    </row>
    <row r="625" spans="1:14" x14ac:dyDescent="0.25">
      <c r="A625" s="41" t="s">
        <v>985</v>
      </c>
      <c r="B625" s="1">
        <v>1</v>
      </c>
      <c r="C625" s="8">
        <v>46083</v>
      </c>
      <c r="D625" s="1" t="s">
        <v>986</v>
      </c>
      <c r="E625" s="7" t="s">
        <v>14</v>
      </c>
      <c r="F625" s="1" t="s">
        <v>25</v>
      </c>
      <c r="G625" s="9" t="s">
        <v>35</v>
      </c>
      <c r="H625" s="7" t="s">
        <v>74</v>
      </c>
      <c r="I625" s="18" t="s">
        <v>0</v>
      </c>
      <c r="J625" s="10" t="s">
        <v>61</v>
      </c>
      <c r="K625" s="7" t="s">
        <v>22</v>
      </c>
      <c r="L625" s="7" t="s">
        <v>40</v>
      </c>
      <c r="M625" s="34">
        <v>46086</v>
      </c>
      <c r="N625" s="7" t="s">
        <v>46</v>
      </c>
    </row>
    <row r="626" spans="1:14" x14ac:dyDescent="0.25">
      <c r="A626" s="41" t="s">
        <v>987</v>
      </c>
      <c r="B626" s="1">
        <v>1</v>
      </c>
      <c r="C626" s="8">
        <v>46083</v>
      </c>
      <c r="D626" s="1" t="s">
        <v>619</v>
      </c>
      <c r="E626" s="7" t="s">
        <v>12</v>
      </c>
      <c r="F626" s="1" t="s">
        <v>25</v>
      </c>
      <c r="G626" s="9" t="s">
        <v>36</v>
      </c>
      <c r="H626" s="7" t="s">
        <v>74</v>
      </c>
      <c r="I626" s="18">
        <v>15000000</v>
      </c>
      <c r="J626" s="10" t="s">
        <v>61</v>
      </c>
      <c r="K626" s="7" t="s">
        <v>22</v>
      </c>
      <c r="L626" s="7" t="s">
        <v>55</v>
      </c>
      <c r="M626" s="34">
        <v>46084</v>
      </c>
      <c r="N626" s="7" t="s">
        <v>46</v>
      </c>
    </row>
    <row r="627" spans="1:14" x14ac:dyDescent="0.25">
      <c r="A627" s="41" t="s">
        <v>569</v>
      </c>
      <c r="B627" s="1">
        <v>1</v>
      </c>
      <c r="C627" s="8">
        <v>46083</v>
      </c>
      <c r="D627" s="1" t="s">
        <v>989</v>
      </c>
      <c r="E627" s="7" t="s">
        <v>2</v>
      </c>
      <c r="F627" s="1" t="s">
        <v>25</v>
      </c>
      <c r="G627" s="9" t="s">
        <v>35</v>
      </c>
      <c r="H627" s="7" t="s">
        <v>581</v>
      </c>
      <c r="I627" s="18">
        <v>15001001</v>
      </c>
      <c r="J627" s="10">
        <v>12031.38</v>
      </c>
      <c r="K627" s="7" t="s">
        <v>12</v>
      </c>
      <c r="L627" s="7" t="s">
        <v>53</v>
      </c>
      <c r="M627" s="34">
        <v>46085</v>
      </c>
      <c r="N627" s="7" t="s">
        <v>774</v>
      </c>
    </row>
    <row r="628" spans="1:14" x14ac:dyDescent="0.25">
      <c r="A628" s="41" t="s">
        <v>569</v>
      </c>
      <c r="B628" s="1">
        <v>1</v>
      </c>
      <c r="C628" s="8">
        <v>46083</v>
      </c>
      <c r="D628" s="1" t="s">
        <v>988</v>
      </c>
      <c r="E628" s="7" t="s">
        <v>2</v>
      </c>
      <c r="F628" s="1" t="s">
        <v>25</v>
      </c>
      <c r="G628" s="9" t="s">
        <v>35</v>
      </c>
      <c r="H628" s="7" t="s">
        <v>581</v>
      </c>
      <c r="I628" s="18">
        <v>15000000</v>
      </c>
      <c r="J628" s="10">
        <v>250.92</v>
      </c>
      <c r="K628" s="7" t="s">
        <v>12</v>
      </c>
      <c r="L628" s="7" t="s">
        <v>53</v>
      </c>
      <c r="M628" s="34">
        <v>46084</v>
      </c>
      <c r="N628" s="7" t="s">
        <v>774</v>
      </c>
    </row>
    <row r="629" spans="1:14" x14ac:dyDescent="0.25">
      <c r="A629" s="41" t="s">
        <v>569</v>
      </c>
      <c r="B629" s="1">
        <v>2</v>
      </c>
      <c r="C629" s="8">
        <v>46085</v>
      </c>
      <c r="D629" s="1" t="s">
        <v>990</v>
      </c>
      <c r="E629" s="7" t="s">
        <v>2</v>
      </c>
      <c r="F629" s="1" t="s">
        <v>25</v>
      </c>
      <c r="G629" s="9" t="s">
        <v>35</v>
      </c>
      <c r="H629" s="7" t="s">
        <v>581</v>
      </c>
      <c r="I629" s="18">
        <v>15400000</v>
      </c>
      <c r="J629" s="10">
        <v>39490.660000000003</v>
      </c>
      <c r="K629" s="7" t="s">
        <v>12</v>
      </c>
      <c r="L629" s="7" t="s">
        <v>53</v>
      </c>
      <c r="M629" s="34">
        <v>46085</v>
      </c>
      <c r="N629" s="7" t="s">
        <v>774</v>
      </c>
    </row>
    <row r="630" spans="1:14" x14ac:dyDescent="0.25">
      <c r="A630" s="41" t="s">
        <v>563</v>
      </c>
      <c r="B630" s="1">
        <v>1</v>
      </c>
      <c r="C630" s="8">
        <v>46084</v>
      </c>
      <c r="D630" s="1" t="s">
        <v>991</v>
      </c>
      <c r="E630" s="7" t="s">
        <v>16</v>
      </c>
      <c r="F630" s="1" t="s">
        <v>25</v>
      </c>
      <c r="G630" s="9" t="s">
        <v>35</v>
      </c>
      <c r="H630" s="7" t="s">
        <v>898</v>
      </c>
      <c r="I630" s="18">
        <v>16600000</v>
      </c>
      <c r="J630" s="10">
        <v>2638.75</v>
      </c>
      <c r="K630" s="7" t="s">
        <v>12</v>
      </c>
      <c r="L630" s="7" t="s">
        <v>53</v>
      </c>
      <c r="M630" s="34">
        <v>46084</v>
      </c>
      <c r="N630" s="7" t="s">
        <v>774</v>
      </c>
    </row>
    <row r="631" spans="1:14" x14ac:dyDescent="0.25">
      <c r="A631" s="41" t="s">
        <v>355</v>
      </c>
      <c r="B631" s="1">
        <v>1</v>
      </c>
      <c r="C631" s="8">
        <v>46085</v>
      </c>
      <c r="D631" s="1" t="s">
        <v>1039</v>
      </c>
      <c r="E631" s="7" t="s">
        <v>2</v>
      </c>
      <c r="F631" s="1" t="s">
        <v>25</v>
      </c>
      <c r="G631" s="9" t="s">
        <v>35</v>
      </c>
      <c r="H631" s="7">
        <v>5373</v>
      </c>
      <c r="I631" s="18">
        <v>15400000</v>
      </c>
      <c r="J631" s="10">
        <v>5775</v>
      </c>
      <c r="K631" s="7" t="s">
        <v>12</v>
      </c>
      <c r="L631" s="7" t="s">
        <v>53</v>
      </c>
      <c r="M631" s="34">
        <v>46085</v>
      </c>
      <c r="N631" s="7" t="s">
        <v>91</v>
      </c>
    </row>
    <row r="632" spans="1:14" x14ac:dyDescent="0.25">
      <c r="A632" s="41" t="s">
        <v>141</v>
      </c>
      <c r="B632" s="1">
        <v>1</v>
      </c>
      <c r="C632" s="8">
        <v>46084</v>
      </c>
      <c r="D632" s="1" t="s">
        <v>992</v>
      </c>
      <c r="E632" s="7" t="s">
        <v>13</v>
      </c>
      <c r="F632" s="1" t="s">
        <v>25</v>
      </c>
      <c r="G632" s="9" t="s">
        <v>35</v>
      </c>
      <c r="H632" s="7">
        <v>1675</v>
      </c>
      <c r="I632" s="18">
        <v>15001002</v>
      </c>
      <c r="J632" s="10">
        <v>10620</v>
      </c>
      <c r="K632" s="7" t="s">
        <v>13</v>
      </c>
      <c r="L632" s="7" t="s">
        <v>54</v>
      </c>
      <c r="M632" s="34">
        <v>46086</v>
      </c>
      <c r="N632" s="7" t="s">
        <v>46</v>
      </c>
    </row>
    <row r="633" spans="1:14" x14ac:dyDescent="0.25">
      <c r="A633" s="41" t="s">
        <v>138</v>
      </c>
      <c r="B633" s="1">
        <v>1</v>
      </c>
      <c r="C633" s="8">
        <v>46084</v>
      </c>
      <c r="D633" s="1" t="s">
        <v>993</v>
      </c>
      <c r="E633" s="7" t="s">
        <v>13</v>
      </c>
      <c r="F633" s="1" t="s">
        <v>25</v>
      </c>
      <c r="G633" s="9" t="s">
        <v>35</v>
      </c>
      <c r="H633" s="7">
        <v>841</v>
      </c>
      <c r="I633" s="18">
        <v>15001002</v>
      </c>
      <c r="J633" s="10">
        <v>23200</v>
      </c>
      <c r="K633" s="7" t="s">
        <v>13</v>
      </c>
      <c r="L633" s="7" t="s">
        <v>54</v>
      </c>
      <c r="M633" s="34">
        <v>46086</v>
      </c>
      <c r="N633" s="7" t="s">
        <v>46</v>
      </c>
    </row>
    <row r="634" spans="1:14" x14ac:dyDescent="0.25">
      <c r="A634" s="41" t="s">
        <v>169</v>
      </c>
      <c r="B634" s="1">
        <v>1</v>
      </c>
      <c r="C634" s="8">
        <v>46084</v>
      </c>
      <c r="D634" s="1" t="s">
        <v>994</v>
      </c>
      <c r="E634" s="7" t="s">
        <v>13</v>
      </c>
      <c r="F634" s="1" t="s">
        <v>25</v>
      </c>
      <c r="G634" s="9" t="s">
        <v>35</v>
      </c>
      <c r="H634" s="7">
        <v>294</v>
      </c>
      <c r="I634" s="18">
        <v>15001002</v>
      </c>
      <c r="J634" s="10">
        <v>13050</v>
      </c>
      <c r="K634" s="7" t="s">
        <v>13</v>
      </c>
      <c r="L634" s="7" t="s">
        <v>54</v>
      </c>
      <c r="M634" s="34">
        <v>46086</v>
      </c>
      <c r="N634" s="7" t="s">
        <v>46</v>
      </c>
    </row>
    <row r="635" spans="1:14" x14ac:dyDescent="0.25">
      <c r="A635" s="41" t="s">
        <v>213</v>
      </c>
      <c r="B635" s="1">
        <v>1</v>
      </c>
      <c r="C635" s="8">
        <v>46084</v>
      </c>
      <c r="D635" s="1" t="s">
        <v>995</v>
      </c>
      <c r="E635" s="7" t="s">
        <v>13</v>
      </c>
      <c r="F635" s="1" t="s">
        <v>25</v>
      </c>
      <c r="G635" s="9" t="s">
        <v>35</v>
      </c>
      <c r="H635" s="7">
        <v>10</v>
      </c>
      <c r="I635" s="18">
        <v>15001002</v>
      </c>
      <c r="J635" s="10">
        <v>9760</v>
      </c>
      <c r="K635" s="7" t="s">
        <v>13</v>
      </c>
      <c r="L635" s="7" t="s">
        <v>54</v>
      </c>
      <c r="M635" s="34">
        <v>46086</v>
      </c>
      <c r="N635" s="7" t="s">
        <v>46</v>
      </c>
    </row>
    <row r="636" spans="1:14" x14ac:dyDescent="0.25">
      <c r="A636" s="41" t="s">
        <v>701</v>
      </c>
      <c r="B636" s="1">
        <v>1</v>
      </c>
      <c r="C636" s="8">
        <v>46084</v>
      </c>
      <c r="D636" s="1" t="s">
        <v>996</v>
      </c>
      <c r="E636" s="7" t="s">
        <v>13</v>
      </c>
      <c r="F636" s="1" t="s">
        <v>25</v>
      </c>
      <c r="G636" s="9" t="s">
        <v>35</v>
      </c>
      <c r="H636" s="7">
        <v>634</v>
      </c>
      <c r="I636" s="18">
        <v>15001002</v>
      </c>
      <c r="J636" s="10">
        <v>16520</v>
      </c>
      <c r="K636" s="7" t="s">
        <v>13</v>
      </c>
      <c r="L636" s="7" t="s">
        <v>54</v>
      </c>
      <c r="M636" s="34">
        <v>46086</v>
      </c>
      <c r="N636" s="7" t="s">
        <v>46</v>
      </c>
    </row>
    <row r="637" spans="1:14" x14ac:dyDescent="0.25">
      <c r="A637" s="41" t="s">
        <v>629</v>
      </c>
      <c r="B637" s="1">
        <v>1</v>
      </c>
      <c r="C637" s="8">
        <v>46084</v>
      </c>
      <c r="D637" s="1" t="s">
        <v>997</v>
      </c>
      <c r="E637" s="7" t="s">
        <v>2</v>
      </c>
      <c r="F637" s="1" t="s">
        <v>25</v>
      </c>
      <c r="G637" s="9" t="s">
        <v>35</v>
      </c>
      <c r="H637" s="7">
        <v>73</v>
      </c>
      <c r="I637" s="18">
        <v>15500000</v>
      </c>
      <c r="J637" s="10">
        <v>1800</v>
      </c>
      <c r="K637" s="7" t="s">
        <v>12</v>
      </c>
      <c r="L637" s="7" t="s">
        <v>53</v>
      </c>
      <c r="M637" s="34">
        <v>46086</v>
      </c>
      <c r="N637" s="7" t="s">
        <v>774</v>
      </c>
    </row>
    <row r="638" spans="1:14" x14ac:dyDescent="0.25">
      <c r="A638" s="41" t="s">
        <v>162</v>
      </c>
      <c r="B638" s="1">
        <v>1</v>
      </c>
      <c r="C638" s="8">
        <v>46084</v>
      </c>
      <c r="D638" s="1" t="s">
        <v>998</v>
      </c>
      <c r="E638" s="7" t="s">
        <v>13</v>
      </c>
      <c r="F638" s="1" t="s">
        <v>25</v>
      </c>
      <c r="G638" s="9" t="s">
        <v>35</v>
      </c>
      <c r="H638" s="7">
        <v>241</v>
      </c>
      <c r="I638" s="18">
        <v>15001002</v>
      </c>
      <c r="J638" s="10">
        <v>10980</v>
      </c>
      <c r="K638" s="7" t="s">
        <v>13</v>
      </c>
      <c r="L638" s="7" t="s">
        <v>54</v>
      </c>
      <c r="M638" s="34">
        <v>46086</v>
      </c>
      <c r="N638" s="7" t="s">
        <v>91</v>
      </c>
    </row>
    <row r="639" spans="1:14" x14ac:dyDescent="0.25">
      <c r="A639" s="41" t="s">
        <v>176</v>
      </c>
      <c r="B639" s="1">
        <v>1</v>
      </c>
      <c r="C639" s="8">
        <v>46084</v>
      </c>
      <c r="D639" s="1" t="s">
        <v>999</v>
      </c>
      <c r="E639" s="7" t="s">
        <v>13</v>
      </c>
      <c r="F639" s="1" t="s">
        <v>25</v>
      </c>
      <c r="G639" s="9" t="s">
        <v>35</v>
      </c>
      <c r="H639" s="7">
        <v>732</v>
      </c>
      <c r="I639" s="18">
        <v>15001002</v>
      </c>
      <c r="J639" s="10">
        <v>9440</v>
      </c>
      <c r="K639" s="7" t="s">
        <v>13</v>
      </c>
      <c r="L639" s="7" t="s">
        <v>54</v>
      </c>
      <c r="M639" s="34">
        <v>46086</v>
      </c>
      <c r="N639" s="7" t="s">
        <v>52</v>
      </c>
    </row>
    <row r="640" spans="1:14" x14ac:dyDescent="0.25">
      <c r="A640" s="41" t="s">
        <v>128</v>
      </c>
      <c r="B640" s="1">
        <v>1</v>
      </c>
      <c r="C640" s="8">
        <v>46084</v>
      </c>
      <c r="D640" s="1" t="s">
        <v>1000</v>
      </c>
      <c r="E640" s="7" t="s">
        <v>13</v>
      </c>
      <c r="F640" s="1" t="s">
        <v>25</v>
      </c>
      <c r="G640" s="9" t="s">
        <v>35</v>
      </c>
      <c r="H640" s="7">
        <v>606</v>
      </c>
      <c r="I640" s="18">
        <v>15001002</v>
      </c>
      <c r="J640" s="10">
        <v>14160</v>
      </c>
      <c r="K640" s="7" t="s">
        <v>13</v>
      </c>
      <c r="L640" s="7" t="s">
        <v>54</v>
      </c>
      <c r="M640" s="34">
        <v>46085</v>
      </c>
      <c r="N640" s="7" t="s">
        <v>52</v>
      </c>
    </row>
    <row r="641" spans="1:14" x14ac:dyDescent="0.25">
      <c r="A641" s="41" t="s">
        <v>217</v>
      </c>
      <c r="B641" s="1">
        <v>1</v>
      </c>
      <c r="C641" s="8">
        <v>46084</v>
      </c>
      <c r="D641" s="1" t="s">
        <v>1001</v>
      </c>
      <c r="E641" s="7" t="s">
        <v>13</v>
      </c>
      <c r="F641" s="1" t="s">
        <v>25</v>
      </c>
      <c r="G641" s="9" t="s">
        <v>35</v>
      </c>
      <c r="H641" s="7">
        <v>171</v>
      </c>
      <c r="I641" s="18">
        <v>15001002</v>
      </c>
      <c r="J641" s="10">
        <v>40240</v>
      </c>
      <c r="K641" s="7" t="s">
        <v>13</v>
      </c>
      <c r="L641" s="7" t="s">
        <v>54</v>
      </c>
      <c r="M641" s="34">
        <v>46085</v>
      </c>
      <c r="N641" s="7" t="s">
        <v>52</v>
      </c>
    </row>
    <row r="642" spans="1:14" x14ac:dyDescent="0.25">
      <c r="A642" s="41" t="s">
        <v>214</v>
      </c>
      <c r="B642" s="1">
        <v>1</v>
      </c>
      <c r="C642" s="8">
        <v>46084</v>
      </c>
      <c r="D642" s="1" t="s">
        <v>1002</v>
      </c>
      <c r="E642" s="7" t="s">
        <v>13</v>
      </c>
      <c r="F642" s="1" t="s">
        <v>25</v>
      </c>
      <c r="G642" s="9" t="s">
        <v>35</v>
      </c>
      <c r="H642" s="7">
        <v>27</v>
      </c>
      <c r="I642" s="18">
        <v>15001002</v>
      </c>
      <c r="J642" s="10">
        <v>9440</v>
      </c>
      <c r="K642" s="7" t="s">
        <v>13</v>
      </c>
      <c r="L642" s="7" t="s">
        <v>54</v>
      </c>
      <c r="M642" s="34">
        <v>46085</v>
      </c>
      <c r="N642" s="7" t="s">
        <v>52</v>
      </c>
    </row>
    <row r="643" spans="1:14" x14ac:dyDescent="0.25">
      <c r="A643" s="41" t="s">
        <v>139</v>
      </c>
      <c r="B643" s="1">
        <v>1</v>
      </c>
      <c r="C643" s="8">
        <v>46084</v>
      </c>
      <c r="D643" s="1" t="s">
        <v>1003</v>
      </c>
      <c r="E643" s="7" t="s">
        <v>13</v>
      </c>
      <c r="F643" s="1" t="s">
        <v>25</v>
      </c>
      <c r="G643" s="9" t="s">
        <v>35</v>
      </c>
      <c r="H643" s="7">
        <v>3405</v>
      </c>
      <c r="I643" s="18">
        <v>15001002</v>
      </c>
      <c r="J643" s="10">
        <v>11600</v>
      </c>
      <c r="K643" s="7" t="s">
        <v>13</v>
      </c>
      <c r="L643" s="7" t="s">
        <v>54</v>
      </c>
      <c r="M643" s="34">
        <v>46084</v>
      </c>
      <c r="N643" s="7" t="s">
        <v>52</v>
      </c>
    </row>
    <row r="644" spans="1:14" x14ac:dyDescent="0.25">
      <c r="A644" s="41" t="s">
        <v>1004</v>
      </c>
      <c r="B644" s="1">
        <v>1</v>
      </c>
      <c r="C644" s="8">
        <v>46084</v>
      </c>
      <c r="D644" s="1" t="s">
        <v>1005</v>
      </c>
      <c r="E644" s="7" t="s">
        <v>13</v>
      </c>
      <c r="F644" s="1" t="s">
        <v>25</v>
      </c>
      <c r="G644" s="9" t="s">
        <v>35</v>
      </c>
      <c r="H644" s="7">
        <v>2657</v>
      </c>
      <c r="I644" s="18">
        <v>15001002</v>
      </c>
      <c r="J644" s="10">
        <v>30450</v>
      </c>
      <c r="K644" s="7" t="s">
        <v>13</v>
      </c>
      <c r="L644" s="7" t="s">
        <v>54</v>
      </c>
      <c r="M644" s="34">
        <v>46084</v>
      </c>
      <c r="N644" s="7" t="s">
        <v>52</v>
      </c>
    </row>
    <row r="645" spans="1:14" x14ac:dyDescent="0.25">
      <c r="A645" s="41" t="s">
        <v>675</v>
      </c>
      <c r="B645" s="1">
        <v>1</v>
      </c>
      <c r="C645" s="8">
        <v>46084</v>
      </c>
      <c r="D645" s="1" t="s">
        <v>1006</v>
      </c>
      <c r="E645" s="7" t="s">
        <v>13</v>
      </c>
      <c r="F645" s="1" t="s">
        <v>25</v>
      </c>
      <c r="G645" s="9" t="s">
        <v>35</v>
      </c>
      <c r="H645" s="7">
        <v>88</v>
      </c>
      <c r="I645" s="18">
        <v>15001002</v>
      </c>
      <c r="J645" s="10">
        <v>17680</v>
      </c>
      <c r="K645" s="7" t="s">
        <v>13</v>
      </c>
      <c r="L645" s="7" t="s">
        <v>54</v>
      </c>
      <c r="M645" s="34">
        <v>46084</v>
      </c>
      <c r="N645" s="7" t="s">
        <v>52</v>
      </c>
    </row>
    <row r="646" spans="1:14" x14ac:dyDescent="0.25">
      <c r="A646" s="41" t="s">
        <v>102</v>
      </c>
      <c r="B646" s="1">
        <v>1</v>
      </c>
      <c r="C646" s="8">
        <v>46084</v>
      </c>
      <c r="D646" s="1" t="s">
        <v>1007</v>
      </c>
      <c r="E646" s="7" t="s">
        <v>13</v>
      </c>
      <c r="F646" s="1" t="s">
        <v>25</v>
      </c>
      <c r="G646" s="9" t="s">
        <v>35</v>
      </c>
      <c r="H646" s="7">
        <v>957</v>
      </c>
      <c r="I646" s="18">
        <v>15001002</v>
      </c>
      <c r="J646" s="10">
        <v>11600</v>
      </c>
      <c r="K646" s="7" t="s">
        <v>13</v>
      </c>
      <c r="L646" s="7" t="s">
        <v>54</v>
      </c>
      <c r="M646" s="34">
        <v>46084</v>
      </c>
      <c r="N646" s="7" t="s">
        <v>52</v>
      </c>
    </row>
    <row r="647" spans="1:14" x14ac:dyDescent="0.25">
      <c r="A647" s="41" t="s">
        <v>1008</v>
      </c>
      <c r="B647" s="1">
        <v>2</v>
      </c>
      <c r="C647" s="8">
        <v>46086</v>
      </c>
      <c r="D647" s="1" t="s">
        <v>1009</v>
      </c>
      <c r="E647" s="7" t="s">
        <v>13</v>
      </c>
      <c r="F647" s="1" t="s">
        <v>25</v>
      </c>
      <c r="G647" s="9" t="s">
        <v>35</v>
      </c>
      <c r="H647" s="7">
        <v>357</v>
      </c>
      <c r="I647" s="18">
        <v>15500000</v>
      </c>
      <c r="J647" s="10">
        <v>8934</v>
      </c>
      <c r="K647" s="7" t="s">
        <v>13</v>
      </c>
      <c r="L647" s="7" t="s">
        <v>53</v>
      </c>
      <c r="M647" s="34">
        <v>46086</v>
      </c>
      <c r="N647" s="7" t="s">
        <v>774</v>
      </c>
    </row>
    <row r="648" spans="1:14" x14ac:dyDescent="0.25">
      <c r="A648" s="41" t="s">
        <v>676</v>
      </c>
      <c r="B648" s="1">
        <v>1</v>
      </c>
      <c r="C648" s="8">
        <v>46084</v>
      </c>
      <c r="D648" s="1" t="s">
        <v>1010</v>
      </c>
      <c r="E648" s="7" t="s">
        <v>13</v>
      </c>
      <c r="F648" s="1" t="s">
        <v>25</v>
      </c>
      <c r="G648" s="9" t="s">
        <v>35</v>
      </c>
      <c r="H648" s="7">
        <v>1049</v>
      </c>
      <c r="I648" s="18">
        <v>15001002</v>
      </c>
      <c r="J648" s="10">
        <v>13050</v>
      </c>
      <c r="K648" s="7" t="s">
        <v>13</v>
      </c>
      <c r="L648" s="7" t="s">
        <v>54</v>
      </c>
      <c r="M648" s="34">
        <v>46085</v>
      </c>
      <c r="N648" s="7" t="s">
        <v>41</v>
      </c>
    </row>
    <row r="649" spans="1:14" x14ac:dyDescent="0.25">
      <c r="A649" s="41" t="s">
        <v>166</v>
      </c>
      <c r="B649" s="1">
        <v>1</v>
      </c>
      <c r="C649" s="8">
        <v>46084</v>
      </c>
      <c r="D649" s="1" t="s">
        <v>1011</v>
      </c>
      <c r="E649" s="7" t="s">
        <v>13</v>
      </c>
      <c r="F649" s="1" t="s">
        <v>25</v>
      </c>
      <c r="G649" s="9" t="s">
        <v>35</v>
      </c>
      <c r="H649" s="7">
        <v>19</v>
      </c>
      <c r="I649" s="18">
        <v>15001002</v>
      </c>
      <c r="J649" s="10">
        <v>28640</v>
      </c>
      <c r="K649" s="7" t="s">
        <v>13</v>
      </c>
      <c r="L649" s="7" t="s">
        <v>54</v>
      </c>
      <c r="M649" s="34">
        <v>46085</v>
      </c>
      <c r="N649" s="7" t="s">
        <v>41</v>
      </c>
    </row>
    <row r="650" spans="1:14" x14ac:dyDescent="0.25">
      <c r="A650" s="41" t="s">
        <v>153</v>
      </c>
      <c r="B650" s="1">
        <v>1</v>
      </c>
      <c r="C650" s="8">
        <v>46084</v>
      </c>
      <c r="D650" s="1" t="s">
        <v>1012</v>
      </c>
      <c r="E650" s="7" t="s">
        <v>13</v>
      </c>
      <c r="F650" s="1" t="s">
        <v>25</v>
      </c>
      <c r="G650" s="9" t="s">
        <v>35</v>
      </c>
      <c r="H650" s="7">
        <v>218</v>
      </c>
      <c r="I650" s="18">
        <v>15001002</v>
      </c>
      <c r="J650" s="10">
        <v>4720</v>
      </c>
      <c r="K650" s="7" t="s">
        <v>13</v>
      </c>
      <c r="L650" s="7" t="s">
        <v>54</v>
      </c>
      <c r="M650" s="34">
        <v>46085</v>
      </c>
      <c r="N650" s="7" t="s">
        <v>41</v>
      </c>
    </row>
    <row r="651" spans="1:14" x14ac:dyDescent="0.25">
      <c r="A651" s="41" t="s">
        <v>420</v>
      </c>
      <c r="B651" s="1">
        <v>1</v>
      </c>
      <c r="C651" s="8">
        <v>46084</v>
      </c>
      <c r="D651" s="1" t="s">
        <v>1013</v>
      </c>
      <c r="E651" s="7" t="s">
        <v>14</v>
      </c>
      <c r="F651" s="1" t="s">
        <v>25</v>
      </c>
      <c r="G651" s="9" t="s">
        <v>35</v>
      </c>
      <c r="H651" s="7">
        <v>1380</v>
      </c>
      <c r="I651" s="18">
        <v>15000000</v>
      </c>
      <c r="J651" s="10">
        <v>19010.32</v>
      </c>
      <c r="K651" s="7" t="s">
        <v>12</v>
      </c>
      <c r="L651" s="7" t="s">
        <v>53</v>
      </c>
      <c r="M651" s="34">
        <v>46085</v>
      </c>
      <c r="N651" s="7" t="s">
        <v>41</v>
      </c>
    </row>
    <row r="652" spans="1:14" x14ac:dyDescent="0.25">
      <c r="A652" s="41" t="s">
        <v>199</v>
      </c>
      <c r="B652" s="1">
        <v>1</v>
      </c>
      <c r="C652" s="8">
        <v>46084</v>
      </c>
      <c r="D652" s="1" t="s">
        <v>1014</v>
      </c>
      <c r="E652" s="7" t="s">
        <v>2</v>
      </c>
      <c r="F652" s="1" t="s">
        <v>25</v>
      </c>
      <c r="G652" s="9" t="s">
        <v>35</v>
      </c>
      <c r="H652" s="7">
        <v>472</v>
      </c>
      <c r="I652" s="18">
        <v>15001001</v>
      </c>
      <c r="J652" s="10">
        <v>6000</v>
      </c>
      <c r="K652" s="7" t="s">
        <v>12</v>
      </c>
      <c r="L652" s="7" t="s">
        <v>53</v>
      </c>
      <c r="M652" s="34">
        <v>46086</v>
      </c>
      <c r="N652" s="7" t="s">
        <v>91</v>
      </c>
    </row>
    <row r="653" spans="1:14" x14ac:dyDescent="0.25">
      <c r="A653" s="41" t="s">
        <v>2167</v>
      </c>
      <c r="B653" s="1">
        <v>1</v>
      </c>
      <c r="C653" s="8">
        <v>46084</v>
      </c>
      <c r="D653" s="1" t="s">
        <v>1015</v>
      </c>
      <c r="E653" s="7" t="s">
        <v>14</v>
      </c>
      <c r="F653" s="1" t="s">
        <v>25</v>
      </c>
      <c r="G653" s="9" t="s">
        <v>35</v>
      </c>
      <c r="H653" s="7">
        <v>116</v>
      </c>
      <c r="I653" s="18">
        <v>15000000</v>
      </c>
      <c r="J653" s="10">
        <v>13012.85</v>
      </c>
      <c r="K653" s="7" t="s">
        <v>12</v>
      </c>
      <c r="L653" s="7" t="s">
        <v>53</v>
      </c>
      <c r="M653" s="34">
        <v>46087</v>
      </c>
      <c r="N653" s="7" t="s">
        <v>41</v>
      </c>
    </row>
    <row r="654" spans="1:14" x14ac:dyDescent="0.25">
      <c r="A654" s="41" t="s">
        <v>412</v>
      </c>
      <c r="B654" s="1">
        <v>1</v>
      </c>
      <c r="C654" s="8">
        <v>46084</v>
      </c>
      <c r="D654" s="1" t="s">
        <v>1016</v>
      </c>
      <c r="E654" s="7" t="s">
        <v>2</v>
      </c>
      <c r="F654" s="1" t="s">
        <v>25</v>
      </c>
      <c r="G654" s="9" t="s">
        <v>35</v>
      </c>
      <c r="H654" s="7">
        <v>1632</v>
      </c>
      <c r="I654" s="18">
        <v>15400000</v>
      </c>
      <c r="J654" s="10">
        <v>3852</v>
      </c>
      <c r="K654" s="7" t="s">
        <v>12</v>
      </c>
      <c r="L654" s="7" t="s">
        <v>53</v>
      </c>
      <c r="M654" s="34">
        <v>46086</v>
      </c>
      <c r="N654" s="7" t="s">
        <v>91</v>
      </c>
    </row>
    <row r="655" spans="1:14" x14ac:dyDescent="0.25">
      <c r="A655" s="41" t="s">
        <v>1021</v>
      </c>
      <c r="B655" s="1">
        <v>1</v>
      </c>
      <c r="C655" s="8">
        <v>46084</v>
      </c>
      <c r="D655" s="1" t="s">
        <v>1022</v>
      </c>
      <c r="E655" s="7" t="s">
        <v>13</v>
      </c>
      <c r="F655" s="1" t="s">
        <v>25</v>
      </c>
      <c r="G655" s="9" t="s">
        <v>35</v>
      </c>
      <c r="H655" s="7">
        <v>1878</v>
      </c>
      <c r="I655" s="18">
        <v>16000000</v>
      </c>
      <c r="J655" s="10">
        <v>1456</v>
      </c>
      <c r="K655" s="7" t="s">
        <v>13</v>
      </c>
      <c r="L655" s="7" t="s">
        <v>54</v>
      </c>
      <c r="M655" s="34">
        <v>46091</v>
      </c>
      <c r="N655" s="7" t="s">
        <v>52</v>
      </c>
    </row>
    <row r="656" spans="1:14" x14ac:dyDescent="0.25">
      <c r="A656" s="41" t="s">
        <v>1021</v>
      </c>
      <c r="B656" s="1">
        <v>1</v>
      </c>
      <c r="C656" s="8">
        <v>46084</v>
      </c>
      <c r="D656" s="1" t="s">
        <v>1023</v>
      </c>
      <c r="E656" s="7" t="s">
        <v>13</v>
      </c>
      <c r="F656" s="1" t="s">
        <v>25</v>
      </c>
      <c r="G656" s="9" t="s">
        <v>35</v>
      </c>
      <c r="H656" s="7">
        <v>1877</v>
      </c>
      <c r="I656" s="18">
        <v>15001002</v>
      </c>
      <c r="J656" s="10">
        <v>40237.760000000002</v>
      </c>
      <c r="K656" s="7" t="s">
        <v>13</v>
      </c>
      <c r="L656" s="7" t="s">
        <v>54</v>
      </c>
      <c r="M656" s="34">
        <v>46086</v>
      </c>
      <c r="N656" s="7" t="s">
        <v>52</v>
      </c>
    </row>
    <row r="657" spans="1:14" x14ac:dyDescent="0.25">
      <c r="A657" s="41" t="s">
        <v>1021</v>
      </c>
      <c r="B657" s="1">
        <v>2</v>
      </c>
      <c r="C657" s="8">
        <v>46091</v>
      </c>
      <c r="D657" s="1" t="s">
        <v>1024</v>
      </c>
      <c r="E657" s="7" t="s">
        <v>13</v>
      </c>
      <c r="F657" s="1" t="s">
        <v>25</v>
      </c>
      <c r="G657" s="9" t="s">
        <v>35</v>
      </c>
      <c r="H657" s="7">
        <v>190609</v>
      </c>
      <c r="I657" s="18">
        <v>15001002</v>
      </c>
      <c r="J657" s="10">
        <v>38080.800000000003</v>
      </c>
      <c r="K657" s="7" t="s">
        <v>13</v>
      </c>
      <c r="L657" s="7" t="s">
        <v>54</v>
      </c>
      <c r="M657" s="34">
        <v>46093</v>
      </c>
      <c r="N657" s="7" t="s">
        <v>41</v>
      </c>
    </row>
    <row r="658" spans="1:14" x14ac:dyDescent="0.25">
      <c r="A658" s="41" t="s">
        <v>1025</v>
      </c>
      <c r="B658" s="1">
        <v>2</v>
      </c>
      <c r="C658" s="8">
        <v>46107</v>
      </c>
      <c r="D658" s="1" t="s">
        <v>1026</v>
      </c>
      <c r="E658" s="7" t="s">
        <v>13</v>
      </c>
      <c r="F658" s="1" t="s">
        <v>25</v>
      </c>
      <c r="G658" s="9" t="s">
        <v>35</v>
      </c>
      <c r="H658" s="7">
        <v>190609</v>
      </c>
      <c r="I658" s="18">
        <v>15001002</v>
      </c>
      <c r="J658" s="10">
        <v>38080.800000000003</v>
      </c>
      <c r="K658" s="7" t="s">
        <v>13</v>
      </c>
      <c r="L658" s="7" t="s">
        <v>54</v>
      </c>
      <c r="M658" s="34">
        <v>46108</v>
      </c>
      <c r="N658" s="7" t="s">
        <v>41</v>
      </c>
    </row>
    <row r="659" spans="1:14" x14ac:dyDescent="0.25">
      <c r="A659" s="41" t="s">
        <v>441</v>
      </c>
      <c r="B659" s="1">
        <v>2</v>
      </c>
      <c r="C659" s="8">
        <v>46087</v>
      </c>
      <c r="D659" s="1" t="s">
        <v>1113</v>
      </c>
      <c r="E659" s="7" t="s">
        <v>13</v>
      </c>
      <c r="F659" s="1" t="s">
        <v>25</v>
      </c>
      <c r="G659" s="9" t="s">
        <v>35</v>
      </c>
      <c r="H659" s="7">
        <v>11591</v>
      </c>
      <c r="I659" s="18">
        <v>16590000</v>
      </c>
      <c r="J659" s="10">
        <v>3625.63</v>
      </c>
      <c r="K659" s="7" t="s">
        <v>13</v>
      </c>
      <c r="L659" s="7" t="s">
        <v>54</v>
      </c>
      <c r="M659" s="34">
        <v>46087</v>
      </c>
      <c r="N659" s="7" t="s">
        <v>91</v>
      </c>
    </row>
    <row r="660" spans="1:14" x14ac:dyDescent="0.25">
      <c r="A660" s="41" t="s">
        <v>231</v>
      </c>
      <c r="B660" s="1">
        <v>2</v>
      </c>
      <c r="C660" s="8">
        <v>46090</v>
      </c>
      <c r="D660" s="1" t="s">
        <v>1028</v>
      </c>
      <c r="E660" s="7" t="s">
        <v>13</v>
      </c>
      <c r="F660" s="1" t="s">
        <v>25</v>
      </c>
      <c r="G660" s="9" t="s">
        <v>35</v>
      </c>
      <c r="H660" s="7">
        <v>969</v>
      </c>
      <c r="I660" s="18">
        <v>16000000</v>
      </c>
      <c r="J660" s="10">
        <v>13916.66</v>
      </c>
      <c r="K660" s="7" t="s">
        <v>13</v>
      </c>
      <c r="L660" s="7" t="s">
        <v>54</v>
      </c>
      <c r="M660" s="34">
        <v>46092</v>
      </c>
      <c r="N660" s="7" t="s">
        <v>91</v>
      </c>
    </row>
    <row r="661" spans="1:14" x14ac:dyDescent="0.25">
      <c r="A661" s="41" t="s">
        <v>428</v>
      </c>
      <c r="B661" s="1">
        <v>1</v>
      </c>
      <c r="C661" s="8">
        <v>46084</v>
      </c>
      <c r="D661" s="1" t="s">
        <v>1029</v>
      </c>
      <c r="E661" s="7" t="s">
        <v>11</v>
      </c>
      <c r="F661" s="1" t="s">
        <v>25</v>
      </c>
      <c r="G661" s="9" t="s">
        <v>35</v>
      </c>
      <c r="H661" s="7">
        <v>242508</v>
      </c>
      <c r="I661" s="18">
        <v>15000000</v>
      </c>
      <c r="J661" s="10">
        <v>27364.73</v>
      </c>
      <c r="K661" s="7" t="s">
        <v>12</v>
      </c>
      <c r="L661" s="7" t="s">
        <v>53</v>
      </c>
      <c r="M661" s="34">
        <v>46091</v>
      </c>
      <c r="N661" s="7" t="s">
        <v>92</v>
      </c>
    </row>
    <row r="662" spans="1:14" x14ac:dyDescent="0.25">
      <c r="A662" s="41" t="s">
        <v>1021</v>
      </c>
      <c r="B662" s="1">
        <v>1</v>
      </c>
      <c r="C662" s="8">
        <v>46084</v>
      </c>
      <c r="D662" s="1" t="s">
        <v>1030</v>
      </c>
      <c r="E662" s="7" t="s">
        <v>13</v>
      </c>
      <c r="F662" s="1" t="s">
        <v>25</v>
      </c>
      <c r="G662" s="9" t="s">
        <v>35</v>
      </c>
      <c r="H662" s="7">
        <v>1879</v>
      </c>
      <c r="I662" s="18">
        <v>16000000</v>
      </c>
      <c r="J662" s="10">
        <v>1780</v>
      </c>
      <c r="K662" s="7" t="s">
        <v>13</v>
      </c>
      <c r="L662" s="7" t="s">
        <v>54</v>
      </c>
      <c r="M662" s="34">
        <v>46086</v>
      </c>
      <c r="N662" s="7" t="s">
        <v>52</v>
      </c>
    </row>
    <row r="663" spans="1:14" x14ac:dyDescent="0.25">
      <c r="A663" s="41" t="s">
        <v>876</v>
      </c>
      <c r="B663" s="1">
        <v>2</v>
      </c>
      <c r="C663" s="8">
        <v>46087</v>
      </c>
      <c r="D663" s="1" t="s">
        <v>1027</v>
      </c>
      <c r="E663" s="7" t="s">
        <v>13</v>
      </c>
      <c r="F663" s="1" t="s">
        <v>25</v>
      </c>
      <c r="G663" s="9" t="s">
        <v>35</v>
      </c>
      <c r="H663" s="7" t="s">
        <v>74</v>
      </c>
      <c r="I663" s="18">
        <v>15001001</v>
      </c>
      <c r="J663" s="10">
        <v>3625.63</v>
      </c>
      <c r="K663" s="7" t="s">
        <v>12</v>
      </c>
      <c r="L663" s="7" t="s">
        <v>53</v>
      </c>
      <c r="M663" s="34">
        <v>46087</v>
      </c>
      <c r="N663" s="7" t="s">
        <v>91</v>
      </c>
    </row>
    <row r="664" spans="1:14" x14ac:dyDescent="0.25">
      <c r="A664" s="41" t="s">
        <v>876</v>
      </c>
      <c r="B664" s="1">
        <v>1</v>
      </c>
      <c r="C664" s="8">
        <v>46084</v>
      </c>
      <c r="D664" s="1" t="s">
        <v>1031</v>
      </c>
      <c r="E664" s="7" t="s">
        <v>2</v>
      </c>
      <c r="F664" s="1" t="s">
        <v>25</v>
      </c>
      <c r="G664" s="9" t="s">
        <v>35</v>
      </c>
      <c r="H664" s="7" t="s">
        <v>74</v>
      </c>
      <c r="I664" s="18">
        <v>15001001</v>
      </c>
      <c r="J664" s="10">
        <v>6500</v>
      </c>
      <c r="K664" s="7" t="s">
        <v>12</v>
      </c>
      <c r="L664" s="7" t="s">
        <v>53</v>
      </c>
      <c r="M664" s="34">
        <v>46086</v>
      </c>
      <c r="N664" s="7" t="s">
        <v>774</v>
      </c>
    </row>
    <row r="665" spans="1:14" x14ac:dyDescent="0.25">
      <c r="A665" s="41" t="s">
        <v>873</v>
      </c>
      <c r="B665" s="1">
        <v>1</v>
      </c>
      <c r="C665" s="8">
        <v>46084</v>
      </c>
      <c r="D665" s="1" t="s">
        <v>1032</v>
      </c>
      <c r="E665" s="7" t="s">
        <v>2</v>
      </c>
      <c r="F665" s="1" t="s">
        <v>25</v>
      </c>
      <c r="G665" s="9" t="s">
        <v>35</v>
      </c>
      <c r="H665" s="7" t="s">
        <v>74</v>
      </c>
      <c r="I665" s="18">
        <v>15001001</v>
      </c>
      <c r="J665" s="10">
        <v>6500</v>
      </c>
      <c r="K665" s="7" t="s">
        <v>12</v>
      </c>
      <c r="L665" s="7" t="s">
        <v>53</v>
      </c>
      <c r="M665" s="34">
        <v>46086</v>
      </c>
      <c r="N665" s="7" t="s">
        <v>774</v>
      </c>
    </row>
    <row r="666" spans="1:14" x14ac:dyDescent="0.25">
      <c r="A666" s="41" t="s">
        <v>815</v>
      </c>
      <c r="B666" s="1">
        <v>2</v>
      </c>
      <c r="C666" s="8">
        <v>46090</v>
      </c>
      <c r="D666" s="1" t="s">
        <v>1033</v>
      </c>
      <c r="E666" s="7" t="s">
        <v>2</v>
      </c>
      <c r="F666" s="1" t="s">
        <v>25</v>
      </c>
      <c r="G666" s="9" t="s">
        <v>35</v>
      </c>
      <c r="H666" s="7">
        <v>1411</v>
      </c>
      <c r="I666" s="18">
        <v>15001001</v>
      </c>
      <c r="J666" s="10">
        <v>1250</v>
      </c>
      <c r="K666" s="7" t="s">
        <v>12</v>
      </c>
      <c r="L666" s="7" t="s">
        <v>53</v>
      </c>
      <c r="M666" s="34">
        <v>46091</v>
      </c>
      <c r="N666" s="7" t="s">
        <v>91</v>
      </c>
    </row>
    <row r="667" spans="1:14" x14ac:dyDescent="0.25">
      <c r="A667" s="41" t="s">
        <v>896</v>
      </c>
      <c r="B667" s="1">
        <v>3</v>
      </c>
      <c r="C667" s="8">
        <v>46091</v>
      </c>
      <c r="D667" s="1" t="s">
        <v>1034</v>
      </c>
      <c r="E667" s="7" t="s">
        <v>2</v>
      </c>
      <c r="F667" s="1" t="s">
        <v>25</v>
      </c>
      <c r="G667" s="9" t="s">
        <v>35</v>
      </c>
      <c r="H667" s="7" t="s">
        <v>74</v>
      </c>
      <c r="I667" s="18">
        <v>15001001</v>
      </c>
      <c r="J667" s="10">
        <v>12320</v>
      </c>
      <c r="K667" s="7" t="s">
        <v>12</v>
      </c>
      <c r="L667" s="7" t="s">
        <v>53</v>
      </c>
      <c r="M667" s="34">
        <v>46092</v>
      </c>
      <c r="N667" s="7" t="s">
        <v>774</v>
      </c>
    </row>
    <row r="668" spans="1:14" x14ac:dyDescent="0.25">
      <c r="A668" s="41" t="s">
        <v>476</v>
      </c>
      <c r="B668" s="1">
        <v>2</v>
      </c>
      <c r="C668" s="8">
        <v>46085</v>
      </c>
      <c r="D668" s="1" t="s">
        <v>1036</v>
      </c>
      <c r="E668" s="7" t="s">
        <v>11</v>
      </c>
      <c r="F668" s="1" t="s">
        <v>25</v>
      </c>
      <c r="G668" s="9" t="s">
        <v>35</v>
      </c>
      <c r="H668" s="7">
        <v>491</v>
      </c>
      <c r="I668" s="18">
        <v>15000000</v>
      </c>
      <c r="J668" s="10">
        <v>145275</v>
      </c>
      <c r="K668" s="7" t="s">
        <v>12</v>
      </c>
      <c r="L668" s="7" t="s">
        <v>53</v>
      </c>
      <c r="M668" s="34">
        <v>46086</v>
      </c>
      <c r="N668" s="7" t="s">
        <v>91</v>
      </c>
    </row>
    <row r="669" spans="1:14" x14ac:dyDescent="0.25">
      <c r="A669" s="41" t="s">
        <v>1037</v>
      </c>
      <c r="B669" s="1">
        <v>1</v>
      </c>
      <c r="C669" s="8">
        <v>46085</v>
      </c>
      <c r="D669" s="1" t="s">
        <v>1038</v>
      </c>
      <c r="E669" s="7" t="s">
        <v>11</v>
      </c>
      <c r="F669" s="1" t="s">
        <v>25</v>
      </c>
      <c r="G669" s="9" t="s">
        <v>37</v>
      </c>
      <c r="H669" s="7" t="s">
        <v>74</v>
      </c>
      <c r="I669" s="18" t="s">
        <v>0</v>
      </c>
      <c r="J669" s="10" t="s">
        <v>61</v>
      </c>
      <c r="K669" s="7" t="s">
        <v>22</v>
      </c>
      <c r="L669" s="7" t="s">
        <v>40</v>
      </c>
      <c r="M669" s="34">
        <v>44989</v>
      </c>
      <c r="N669" s="7" t="s">
        <v>46</v>
      </c>
    </row>
    <row r="670" spans="1:14" x14ac:dyDescent="0.25">
      <c r="A670" s="41" t="s">
        <v>219</v>
      </c>
      <c r="B670" s="1">
        <v>2</v>
      </c>
      <c r="C670" s="8">
        <v>46086</v>
      </c>
      <c r="D670" s="1" t="s">
        <v>1041</v>
      </c>
      <c r="E670" s="7" t="s">
        <v>14</v>
      </c>
      <c r="F670" s="1" t="s">
        <v>25</v>
      </c>
      <c r="G670" s="9" t="s">
        <v>35</v>
      </c>
      <c r="H670" s="7">
        <v>2407</v>
      </c>
      <c r="I670" s="18">
        <v>15000000</v>
      </c>
      <c r="J670" s="10">
        <v>484465.2</v>
      </c>
      <c r="K670" s="7" t="s">
        <v>12</v>
      </c>
      <c r="L670" s="7" t="s">
        <v>53</v>
      </c>
      <c r="M670" s="34">
        <v>46086</v>
      </c>
      <c r="N670" s="7" t="s">
        <v>41</v>
      </c>
    </row>
    <row r="671" spans="1:14" x14ac:dyDescent="0.25">
      <c r="A671" s="41" t="s">
        <v>569</v>
      </c>
      <c r="B671" s="1">
        <v>1</v>
      </c>
      <c r="C671" s="8">
        <v>46085</v>
      </c>
      <c r="D671" s="1" t="s">
        <v>1042</v>
      </c>
      <c r="E671" s="7" t="s">
        <v>16</v>
      </c>
      <c r="F671" s="1" t="s">
        <v>25</v>
      </c>
      <c r="G671" s="9" t="s">
        <v>35</v>
      </c>
      <c r="H671" s="7">
        <v>73506982</v>
      </c>
      <c r="I671" s="18">
        <v>16610000</v>
      </c>
      <c r="J671" s="10">
        <v>359.38</v>
      </c>
      <c r="K671" s="7" t="s">
        <v>12</v>
      </c>
      <c r="L671" s="7" t="s">
        <v>53</v>
      </c>
      <c r="M671" s="34">
        <v>46086</v>
      </c>
      <c r="N671" s="7" t="s">
        <v>92</v>
      </c>
    </row>
    <row r="672" spans="1:14" x14ac:dyDescent="0.25">
      <c r="A672" s="41" t="s">
        <v>569</v>
      </c>
      <c r="B672" s="1">
        <v>1</v>
      </c>
      <c r="C672" s="8">
        <v>46085</v>
      </c>
      <c r="D672" s="1" t="s">
        <v>1043</v>
      </c>
      <c r="E672" s="7" t="s">
        <v>16</v>
      </c>
      <c r="F672" s="1" t="s">
        <v>25</v>
      </c>
      <c r="G672" s="9" t="s">
        <v>35</v>
      </c>
      <c r="H672" s="7">
        <v>73502960</v>
      </c>
      <c r="I672" s="18">
        <v>15000000</v>
      </c>
      <c r="J672" s="10">
        <v>225.82</v>
      </c>
      <c r="K672" s="7" t="s">
        <v>12</v>
      </c>
      <c r="L672" s="7" t="s">
        <v>53</v>
      </c>
      <c r="M672" s="34">
        <v>46086</v>
      </c>
      <c r="N672" s="7" t="s">
        <v>92</v>
      </c>
    </row>
    <row r="673" spans="1:15" x14ac:dyDescent="0.25">
      <c r="A673" s="41" t="s">
        <v>569</v>
      </c>
      <c r="B673" s="1">
        <v>1</v>
      </c>
      <c r="C673" s="8">
        <v>46085</v>
      </c>
      <c r="D673" s="1" t="s">
        <v>1044</v>
      </c>
      <c r="E673" s="7" t="s">
        <v>16</v>
      </c>
      <c r="F673" s="1" t="s">
        <v>25</v>
      </c>
      <c r="G673" s="9" t="s">
        <v>35</v>
      </c>
      <c r="H673" s="7">
        <v>73506311</v>
      </c>
      <c r="I673" s="18">
        <v>16600000</v>
      </c>
      <c r="J673" s="10">
        <v>234.45</v>
      </c>
      <c r="K673" s="7" t="s">
        <v>12</v>
      </c>
      <c r="L673" s="7" t="s">
        <v>53</v>
      </c>
      <c r="M673" s="34">
        <v>46086</v>
      </c>
      <c r="N673" s="7" t="s">
        <v>92</v>
      </c>
    </row>
    <row r="674" spans="1:15" x14ac:dyDescent="0.25">
      <c r="A674" s="41" t="s">
        <v>367</v>
      </c>
      <c r="B674" s="1">
        <v>1</v>
      </c>
      <c r="C674" s="8">
        <v>46085</v>
      </c>
      <c r="D674" s="1" t="s">
        <v>1045</v>
      </c>
      <c r="E674" s="7" t="s">
        <v>14</v>
      </c>
      <c r="F674" s="1" t="s">
        <v>25</v>
      </c>
      <c r="G674" s="9" t="s">
        <v>35</v>
      </c>
      <c r="H674" s="7">
        <v>17542</v>
      </c>
      <c r="I674" s="18">
        <v>15000000</v>
      </c>
      <c r="J674" s="10">
        <v>2327.7199999999998</v>
      </c>
      <c r="K674" s="7" t="s">
        <v>12</v>
      </c>
      <c r="L674" s="7" t="s">
        <v>53</v>
      </c>
      <c r="M674" s="34">
        <v>46087</v>
      </c>
      <c r="N674" s="7" t="s">
        <v>91</v>
      </c>
    </row>
    <row r="675" spans="1:15" x14ac:dyDescent="0.25">
      <c r="A675" s="41" t="s">
        <v>435</v>
      </c>
      <c r="B675" s="1">
        <v>1</v>
      </c>
      <c r="C675" s="8">
        <v>46085</v>
      </c>
      <c r="D675" s="1" t="s">
        <v>1047</v>
      </c>
      <c r="E675" s="7" t="s">
        <v>2</v>
      </c>
      <c r="F675" s="1" t="s">
        <v>25</v>
      </c>
      <c r="G675" s="9" t="s">
        <v>35</v>
      </c>
      <c r="H675" s="7" t="s">
        <v>1046</v>
      </c>
      <c r="I675" s="18">
        <v>15001001</v>
      </c>
      <c r="J675" s="10">
        <v>13230.55</v>
      </c>
      <c r="K675" s="7" t="s">
        <v>12</v>
      </c>
      <c r="L675" s="7" t="s">
        <v>53</v>
      </c>
      <c r="M675" s="34">
        <v>46087</v>
      </c>
      <c r="N675" s="7" t="s">
        <v>91</v>
      </c>
    </row>
    <row r="676" spans="1:15" x14ac:dyDescent="0.25">
      <c r="A676" s="41" t="s">
        <v>136</v>
      </c>
      <c r="B676" s="1">
        <v>1</v>
      </c>
      <c r="C676" s="8">
        <v>46085</v>
      </c>
      <c r="D676" s="1" t="s">
        <v>1048</v>
      </c>
      <c r="E676" s="7" t="s">
        <v>13</v>
      </c>
      <c r="F676" s="1" t="s">
        <v>25</v>
      </c>
      <c r="G676" s="9" t="s">
        <v>35</v>
      </c>
      <c r="H676" s="7">
        <v>233</v>
      </c>
      <c r="I676" s="18">
        <v>15001002</v>
      </c>
      <c r="J676" s="10">
        <v>3040</v>
      </c>
      <c r="K676" s="7" t="s">
        <v>13</v>
      </c>
      <c r="L676" s="7" t="s">
        <v>54</v>
      </c>
      <c r="M676" s="34">
        <v>46087</v>
      </c>
      <c r="N676" s="7" t="s">
        <v>774</v>
      </c>
    </row>
    <row r="677" spans="1:15" x14ac:dyDescent="0.25">
      <c r="A677" s="41" t="s">
        <v>154</v>
      </c>
      <c r="B677" s="1">
        <v>1</v>
      </c>
      <c r="C677" s="8">
        <v>46085</v>
      </c>
      <c r="D677" s="1" t="s">
        <v>1049</v>
      </c>
      <c r="E677" s="7" t="s">
        <v>13</v>
      </c>
      <c r="F677" s="1" t="s">
        <v>25</v>
      </c>
      <c r="G677" s="9" t="s">
        <v>35</v>
      </c>
      <c r="H677" s="7">
        <v>119</v>
      </c>
      <c r="I677" s="18">
        <v>15001002</v>
      </c>
      <c r="J677" s="10">
        <v>13050</v>
      </c>
      <c r="K677" s="7" t="s">
        <v>13</v>
      </c>
      <c r="L677" s="7" t="s">
        <v>54</v>
      </c>
      <c r="M677" s="34">
        <v>46087</v>
      </c>
      <c r="N677" s="7" t="s">
        <v>774</v>
      </c>
      <c r="O677" s="14"/>
    </row>
    <row r="678" spans="1:15" x14ac:dyDescent="0.25">
      <c r="A678" s="41" t="s">
        <v>362</v>
      </c>
      <c r="B678" s="1">
        <v>2</v>
      </c>
      <c r="C678" s="8">
        <v>46087</v>
      </c>
      <c r="D678" s="1" t="s">
        <v>1050</v>
      </c>
      <c r="E678" s="7" t="s">
        <v>13</v>
      </c>
      <c r="F678" s="1" t="s">
        <v>25</v>
      </c>
      <c r="G678" s="9" t="s">
        <v>35</v>
      </c>
      <c r="H678" s="7">
        <v>26</v>
      </c>
      <c r="I678" s="18">
        <v>15001002</v>
      </c>
      <c r="J678" s="10">
        <v>18300</v>
      </c>
      <c r="K678" s="7" t="s">
        <v>13</v>
      </c>
      <c r="L678" s="7" t="s">
        <v>54</v>
      </c>
      <c r="M678" s="34">
        <v>46090</v>
      </c>
      <c r="N678" s="7" t="s">
        <v>774</v>
      </c>
    </row>
    <row r="679" spans="1:15" x14ac:dyDescent="0.25">
      <c r="A679" s="41" t="s">
        <v>137</v>
      </c>
      <c r="B679" s="1">
        <v>1</v>
      </c>
      <c r="C679" s="8">
        <v>46085</v>
      </c>
      <c r="D679" s="1" t="s">
        <v>1051</v>
      </c>
      <c r="E679" s="7" t="s">
        <v>13</v>
      </c>
      <c r="F679" s="1" t="s">
        <v>25</v>
      </c>
      <c r="G679" s="9" t="s">
        <v>35</v>
      </c>
      <c r="H679" s="7">
        <v>1042</v>
      </c>
      <c r="I679" s="18">
        <v>15001002</v>
      </c>
      <c r="J679" s="10">
        <v>7080</v>
      </c>
      <c r="K679" s="7" t="s">
        <v>13</v>
      </c>
      <c r="L679" s="7" t="s">
        <v>54</v>
      </c>
      <c r="M679" s="34">
        <v>46087</v>
      </c>
      <c r="N679" s="7" t="s">
        <v>774</v>
      </c>
    </row>
    <row r="680" spans="1:15" x14ac:dyDescent="0.25">
      <c r="A680" s="41" t="s">
        <v>1054</v>
      </c>
      <c r="B680" s="1">
        <v>2</v>
      </c>
      <c r="C680" s="8">
        <v>46090</v>
      </c>
      <c r="D680" s="1" t="s">
        <v>1052</v>
      </c>
      <c r="E680" s="7" t="s">
        <v>12</v>
      </c>
      <c r="F680" s="1" t="s">
        <v>25</v>
      </c>
      <c r="G680" s="9" t="s">
        <v>35</v>
      </c>
      <c r="H680" s="7" t="s">
        <v>74</v>
      </c>
      <c r="I680" s="18">
        <v>15000000</v>
      </c>
      <c r="J680" s="10">
        <v>1603.93</v>
      </c>
      <c r="K680" s="7" t="s">
        <v>12</v>
      </c>
      <c r="L680" s="7" t="s">
        <v>53</v>
      </c>
      <c r="M680" s="34">
        <v>46090</v>
      </c>
      <c r="N680" s="7" t="s">
        <v>41</v>
      </c>
    </row>
    <row r="681" spans="1:15" x14ac:dyDescent="0.25">
      <c r="A681" s="41" t="s">
        <v>1054</v>
      </c>
      <c r="B681" s="1">
        <v>2</v>
      </c>
      <c r="C681" s="8">
        <v>46090</v>
      </c>
      <c r="D681" s="1" t="s">
        <v>1053</v>
      </c>
      <c r="E681" s="7" t="s">
        <v>12</v>
      </c>
      <c r="F681" s="1" t="s">
        <v>25</v>
      </c>
      <c r="G681" s="9" t="s">
        <v>35</v>
      </c>
      <c r="H681" s="7" t="s">
        <v>74</v>
      </c>
      <c r="I681" s="18">
        <v>15000000</v>
      </c>
      <c r="J681" s="10">
        <v>1603.93</v>
      </c>
      <c r="K681" s="7" t="s">
        <v>12</v>
      </c>
      <c r="L681" s="7" t="s">
        <v>53</v>
      </c>
      <c r="M681" s="34">
        <v>46090</v>
      </c>
      <c r="N681" s="7" t="s">
        <v>41</v>
      </c>
      <c r="O681" s="14"/>
    </row>
    <row r="682" spans="1:15" x14ac:dyDescent="0.25">
      <c r="A682" s="41" t="s">
        <v>371</v>
      </c>
      <c r="B682" s="1">
        <v>1</v>
      </c>
      <c r="C682" s="8">
        <v>46085</v>
      </c>
      <c r="D682" s="1" t="s">
        <v>1055</v>
      </c>
      <c r="E682" s="7" t="s">
        <v>14</v>
      </c>
      <c r="F682" s="1" t="s">
        <v>25</v>
      </c>
      <c r="G682" s="9" t="s">
        <v>35</v>
      </c>
      <c r="H682" s="7">
        <v>1025</v>
      </c>
      <c r="I682" s="18">
        <v>15000000</v>
      </c>
      <c r="J682" s="10">
        <v>2569.94</v>
      </c>
      <c r="K682" s="7" t="s">
        <v>12</v>
      </c>
      <c r="L682" s="7" t="s">
        <v>53</v>
      </c>
      <c r="M682" s="34">
        <v>46086</v>
      </c>
      <c r="N682" s="7" t="s">
        <v>41</v>
      </c>
    </row>
    <row r="683" spans="1:15" x14ac:dyDescent="0.25">
      <c r="A683" s="41" t="s">
        <v>161</v>
      </c>
      <c r="B683" s="1">
        <v>1</v>
      </c>
      <c r="C683" s="8">
        <v>46086</v>
      </c>
      <c r="D683" s="1" t="s">
        <v>1134</v>
      </c>
      <c r="E683" s="7" t="s">
        <v>13</v>
      </c>
      <c r="F683" s="1" t="s">
        <v>25</v>
      </c>
      <c r="G683" s="9" t="s">
        <v>35</v>
      </c>
      <c r="H683" s="7">
        <v>90</v>
      </c>
      <c r="I683" s="18">
        <v>15001002</v>
      </c>
      <c r="J683" s="10">
        <v>10620</v>
      </c>
      <c r="K683" s="7" t="s">
        <v>13</v>
      </c>
      <c r="L683" s="7" t="s">
        <v>54</v>
      </c>
      <c r="M683" s="34">
        <v>46087</v>
      </c>
      <c r="N683" s="7" t="s">
        <v>774</v>
      </c>
    </row>
    <row r="684" spans="1:15" x14ac:dyDescent="0.25">
      <c r="A684" s="41" t="s">
        <v>1056</v>
      </c>
      <c r="B684" s="1">
        <v>1</v>
      </c>
      <c r="C684" s="8">
        <v>46085</v>
      </c>
      <c r="D684" s="1" t="s">
        <v>1057</v>
      </c>
      <c r="E684" s="7" t="s">
        <v>13</v>
      </c>
      <c r="F684" s="1" t="s">
        <v>25</v>
      </c>
      <c r="G684" s="9" t="s">
        <v>35</v>
      </c>
      <c r="H684" s="7" t="s">
        <v>74</v>
      </c>
      <c r="I684" s="18">
        <v>15001002</v>
      </c>
      <c r="J684" s="10">
        <v>214614</v>
      </c>
      <c r="K684" s="7" t="s">
        <v>13</v>
      </c>
      <c r="L684" s="7" t="s">
        <v>54</v>
      </c>
      <c r="M684" s="34">
        <v>46087</v>
      </c>
      <c r="N684" s="7" t="s">
        <v>91</v>
      </c>
    </row>
    <row r="685" spans="1:15" x14ac:dyDescent="0.25">
      <c r="A685" s="41" t="s">
        <v>199</v>
      </c>
      <c r="B685" s="1">
        <v>1</v>
      </c>
      <c r="C685" s="8">
        <v>46085</v>
      </c>
      <c r="D685" s="1" t="s">
        <v>1058</v>
      </c>
      <c r="E685" s="7" t="s">
        <v>14</v>
      </c>
      <c r="F685" s="1" t="s">
        <v>25</v>
      </c>
      <c r="G685" s="9" t="s">
        <v>35</v>
      </c>
      <c r="H685" s="7">
        <v>476</v>
      </c>
      <c r="I685" s="18">
        <v>15000000</v>
      </c>
      <c r="J685" s="10">
        <v>3000</v>
      </c>
      <c r="K685" s="7" t="s">
        <v>12</v>
      </c>
      <c r="L685" s="7" t="s">
        <v>53</v>
      </c>
      <c r="M685" s="34">
        <v>46087</v>
      </c>
      <c r="N685" s="7" t="s">
        <v>91</v>
      </c>
    </row>
    <row r="686" spans="1:15" x14ac:dyDescent="0.25">
      <c r="A686" s="41" t="s">
        <v>252</v>
      </c>
      <c r="B686" s="1">
        <v>1</v>
      </c>
      <c r="C686" s="8">
        <v>46085</v>
      </c>
      <c r="D686" s="1" t="s">
        <v>1059</v>
      </c>
      <c r="E686" s="7" t="s">
        <v>13</v>
      </c>
      <c r="F686" s="1" t="s">
        <v>25</v>
      </c>
      <c r="G686" s="9" t="s">
        <v>35</v>
      </c>
      <c r="H686" s="7" t="s">
        <v>74</v>
      </c>
      <c r="I686" s="18">
        <v>15001002</v>
      </c>
      <c r="J686" s="10">
        <v>5000</v>
      </c>
      <c r="K686" s="7" t="s">
        <v>13</v>
      </c>
      <c r="L686" s="7" t="s">
        <v>54</v>
      </c>
      <c r="M686" s="34">
        <v>46087</v>
      </c>
      <c r="N686" s="7" t="s">
        <v>91</v>
      </c>
    </row>
    <row r="687" spans="1:15" x14ac:dyDescent="0.25">
      <c r="A687" s="41" t="s">
        <v>569</v>
      </c>
      <c r="B687" s="1">
        <v>1</v>
      </c>
      <c r="C687" s="8">
        <v>46085</v>
      </c>
      <c r="D687" s="1" t="s">
        <v>1060</v>
      </c>
      <c r="E687" s="7" t="s">
        <v>16</v>
      </c>
      <c r="F687" s="1" t="s">
        <v>25</v>
      </c>
      <c r="G687" s="9" t="s">
        <v>35</v>
      </c>
      <c r="H687" s="7">
        <v>184608767</v>
      </c>
      <c r="I687" s="18">
        <v>15010000</v>
      </c>
      <c r="J687" s="10">
        <v>309.85000000000002</v>
      </c>
      <c r="K687" s="7" t="s">
        <v>12</v>
      </c>
      <c r="L687" s="7" t="s">
        <v>53</v>
      </c>
      <c r="M687" s="34">
        <v>46087</v>
      </c>
      <c r="N687" s="7" t="s">
        <v>92</v>
      </c>
    </row>
    <row r="688" spans="1:15" x14ac:dyDescent="0.25">
      <c r="A688" s="41" t="s">
        <v>441</v>
      </c>
      <c r="B688" s="1">
        <v>1</v>
      </c>
      <c r="C688" s="8">
        <v>46085</v>
      </c>
      <c r="D688" s="1" t="s">
        <v>1061</v>
      </c>
      <c r="E688" s="7" t="s">
        <v>16</v>
      </c>
      <c r="F688" s="1" t="s">
        <v>25</v>
      </c>
      <c r="G688" s="9" t="s">
        <v>35</v>
      </c>
      <c r="H688" s="7">
        <v>11596</v>
      </c>
      <c r="I688" s="18">
        <v>15000000</v>
      </c>
      <c r="J688" s="10">
        <v>896.14</v>
      </c>
      <c r="K688" s="7" t="s">
        <v>12</v>
      </c>
      <c r="L688" s="7" t="s">
        <v>53</v>
      </c>
      <c r="M688" s="34">
        <v>46090</v>
      </c>
      <c r="N688" s="7" t="s">
        <v>92</v>
      </c>
    </row>
    <row r="689" spans="1:14" x14ac:dyDescent="0.25">
      <c r="A689" s="41" t="s">
        <v>441</v>
      </c>
      <c r="B689" s="1">
        <v>1</v>
      </c>
      <c r="C689" s="8">
        <v>46085</v>
      </c>
      <c r="D689" s="1" t="s">
        <v>1062</v>
      </c>
      <c r="E689" s="7" t="s">
        <v>16</v>
      </c>
      <c r="F689" s="1" t="s">
        <v>25</v>
      </c>
      <c r="G689" s="9" t="s">
        <v>35</v>
      </c>
      <c r="H689" s="7">
        <v>11596</v>
      </c>
      <c r="I689" s="18">
        <v>16600000</v>
      </c>
      <c r="J689" s="10">
        <v>436.94</v>
      </c>
      <c r="K689" s="7" t="s">
        <v>12</v>
      </c>
      <c r="L689" s="7" t="s">
        <v>53</v>
      </c>
      <c r="M689" s="34">
        <v>46090</v>
      </c>
      <c r="N689" s="7" t="s">
        <v>92</v>
      </c>
    </row>
    <row r="690" spans="1:14" x14ac:dyDescent="0.25">
      <c r="A690" s="41" t="s">
        <v>441</v>
      </c>
      <c r="B690" s="1">
        <v>1</v>
      </c>
      <c r="C690" s="8">
        <v>46085</v>
      </c>
      <c r="D690" s="1" t="s">
        <v>1063</v>
      </c>
      <c r="E690" s="7" t="s">
        <v>16</v>
      </c>
      <c r="F690" s="1" t="s">
        <v>25</v>
      </c>
      <c r="G690" s="9" t="s">
        <v>35</v>
      </c>
      <c r="H690" s="7">
        <v>11596</v>
      </c>
      <c r="I690" s="18">
        <v>16600000</v>
      </c>
      <c r="J690" s="10">
        <v>104.86</v>
      </c>
      <c r="K690" s="7" t="s">
        <v>12</v>
      </c>
      <c r="L690" s="7" t="s">
        <v>53</v>
      </c>
      <c r="M690" s="34">
        <v>46090</v>
      </c>
      <c r="N690" s="7" t="s">
        <v>92</v>
      </c>
    </row>
    <row r="691" spans="1:14" x14ac:dyDescent="0.25">
      <c r="A691" s="41" t="s">
        <v>441</v>
      </c>
      <c r="B691" s="1">
        <v>1</v>
      </c>
      <c r="C691" s="8">
        <v>46085</v>
      </c>
      <c r="D691" s="1" t="s">
        <v>1064</v>
      </c>
      <c r="E691" s="7" t="s">
        <v>16</v>
      </c>
      <c r="F691" s="1" t="s">
        <v>25</v>
      </c>
      <c r="G691" s="9" t="s">
        <v>35</v>
      </c>
      <c r="H691" s="7">
        <v>11596</v>
      </c>
      <c r="I691" s="18">
        <v>16600000</v>
      </c>
      <c r="J691" s="10">
        <v>524.29999999999995</v>
      </c>
      <c r="K691" s="7" t="s">
        <v>12</v>
      </c>
      <c r="L691" s="7" t="s">
        <v>53</v>
      </c>
      <c r="M691" s="34">
        <v>46090</v>
      </c>
      <c r="N691" s="7" t="s">
        <v>92</v>
      </c>
    </row>
    <row r="692" spans="1:14" x14ac:dyDescent="0.25">
      <c r="A692" s="41" t="s">
        <v>432</v>
      </c>
      <c r="B692" s="1">
        <v>1</v>
      </c>
      <c r="C692" s="8">
        <v>46085</v>
      </c>
      <c r="D692" s="1" t="s">
        <v>1065</v>
      </c>
      <c r="E692" s="7" t="s">
        <v>14</v>
      </c>
      <c r="F692" s="1" t="s">
        <v>25</v>
      </c>
      <c r="G692" s="9" t="s">
        <v>35</v>
      </c>
      <c r="H692" s="7">
        <v>119666</v>
      </c>
      <c r="I692" s="18">
        <v>15000000</v>
      </c>
      <c r="J692" s="10">
        <v>1800</v>
      </c>
      <c r="K692" s="7" t="s">
        <v>12</v>
      </c>
      <c r="L692" s="7" t="s">
        <v>53</v>
      </c>
      <c r="M692" s="34">
        <v>46086</v>
      </c>
      <c r="N692" s="7" t="s">
        <v>41</v>
      </c>
    </row>
    <row r="693" spans="1:14" x14ac:dyDescent="0.25">
      <c r="A693" s="41" t="s">
        <v>181</v>
      </c>
      <c r="B693" s="1">
        <v>1</v>
      </c>
      <c r="C693" s="8">
        <v>46085</v>
      </c>
      <c r="D693" s="1" t="s">
        <v>1066</v>
      </c>
      <c r="E693" s="7" t="s">
        <v>2</v>
      </c>
      <c r="F693" s="1" t="s">
        <v>25</v>
      </c>
      <c r="G693" s="9" t="s">
        <v>35</v>
      </c>
      <c r="H693" s="7" t="s">
        <v>74</v>
      </c>
      <c r="I693" s="18">
        <v>15001001</v>
      </c>
      <c r="J693" s="10">
        <v>5654.74</v>
      </c>
      <c r="K693" s="7" t="s">
        <v>12</v>
      </c>
      <c r="L693" s="7" t="s">
        <v>53</v>
      </c>
      <c r="M693" s="34">
        <v>46086</v>
      </c>
      <c r="N693" s="7" t="s">
        <v>41</v>
      </c>
    </row>
    <row r="694" spans="1:14" x14ac:dyDescent="0.25">
      <c r="A694" s="41" t="s">
        <v>181</v>
      </c>
      <c r="B694" s="1">
        <v>1</v>
      </c>
      <c r="C694" s="8">
        <v>46085</v>
      </c>
      <c r="D694" s="1" t="s">
        <v>1067</v>
      </c>
      <c r="E694" s="7" t="s">
        <v>2</v>
      </c>
      <c r="F694" s="1" t="s">
        <v>25</v>
      </c>
      <c r="G694" s="9" t="s">
        <v>35</v>
      </c>
      <c r="H694" s="7">
        <v>935368008</v>
      </c>
      <c r="I694" s="18">
        <v>15400000</v>
      </c>
      <c r="J694" s="10">
        <v>27254.720000000001</v>
      </c>
      <c r="K694" s="7" t="s">
        <v>12</v>
      </c>
      <c r="L694" s="7" t="s">
        <v>53</v>
      </c>
      <c r="M694" s="34">
        <v>46086</v>
      </c>
      <c r="N694" s="7" t="s">
        <v>41</v>
      </c>
    </row>
    <row r="695" spans="1:14" x14ac:dyDescent="0.25">
      <c r="A695" s="41" t="s">
        <v>181</v>
      </c>
      <c r="B695" s="1">
        <v>1</v>
      </c>
      <c r="C695" s="8">
        <v>46085</v>
      </c>
      <c r="D695" s="1" t="s">
        <v>1068</v>
      </c>
      <c r="E695" s="7" t="s">
        <v>2</v>
      </c>
      <c r="F695" s="1" t="s">
        <v>25</v>
      </c>
      <c r="G695" s="9" t="s">
        <v>35</v>
      </c>
      <c r="H695" s="8">
        <v>935248070</v>
      </c>
      <c r="I695" s="18">
        <v>15000000</v>
      </c>
      <c r="J695" s="10">
        <v>88.99</v>
      </c>
      <c r="K695" s="7" t="s">
        <v>12</v>
      </c>
      <c r="L695" s="7" t="s">
        <v>53</v>
      </c>
      <c r="M695" s="34">
        <v>46090</v>
      </c>
      <c r="N695" s="7" t="s">
        <v>92</v>
      </c>
    </row>
    <row r="696" spans="1:14" x14ac:dyDescent="0.25">
      <c r="A696" s="41" t="s">
        <v>446</v>
      </c>
      <c r="B696" s="1">
        <v>1</v>
      </c>
      <c r="C696" s="8">
        <v>46085</v>
      </c>
      <c r="D696" s="1" t="s">
        <v>1069</v>
      </c>
      <c r="E696" s="7" t="s">
        <v>14</v>
      </c>
      <c r="F696" s="1" t="s">
        <v>25</v>
      </c>
      <c r="G696" s="9" t="s">
        <v>35</v>
      </c>
      <c r="H696" s="7">
        <v>2388</v>
      </c>
      <c r="I696" s="18">
        <v>15000000</v>
      </c>
      <c r="J696" s="10">
        <v>2926.13</v>
      </c>
      <c r="K696" s="7" t="s">
        <v>12</v>
      </c>
      <c r="L696" s="7" t="s">
        <v>53</v>
      </c>
      <c r="M696" s="34">
        <v>46087</v>
      </c>
      <c r="N696" s="7" t="s">
        <v>91</v>
      </c>
    </row>
    <row r="697" spans="1:14" x14ac:dyDescent="0.25">
      <c r="A697" s="41" t="s">
        <v>252</v>
      </c>
      <c r="B697" s="1">
        <v>1</v>
      </c>
      <c r="C697" s="8">
        <v>46085</v>
      </c>
      <c r="D697" s="1" t="s">
        <v>1070</v>
      </c>
      <c r="E697" s="7" t="s">
        <v>16</v>
      </c>
      <c r="F697" s="1" t="s">
        <v>25</v>
      </c>
      <c r="G697" s="9" t="s">
        <v>35</v>
      </c>
      <c r="H697" s="7">
        <v>1845</v>
      </c>
      <c r="I697" s="18">
        <v>15000000</v>
      </c>
      <c r="J697" s="10">
        <v>7503</v>
      </c>
      <c r="K697" s="7" t="s">
        <v>12</v>
      </c>
      <c r="L697" s="7" t="s">
        <v>53</v>
      </c>
      <c r="M697" s="34">
        <v>46090</v>
      </c>
      <c r="N697" s="7" t="s">
        <v>52</v>
      </c>
    </row>
    <row r="698" spans="1:14" x14ac:dyDescent="0.25">
      <c r="A698" s="41" t="s">
        <v>252</v>
      </c>
      <c r="B698" s="1">
        <v>1</v>
      </c>
      <c r="C698" s="8">
        <v>46085</v>
      </c>
      <c r="D698" s="1" t="s">
        <v>1071</v>
      </c>
      <c r="E698" s="7" t="s">
        <v>16</v>
      </c>
      <c r="F698" s="1" t="s">
        <v>25</v>
      </c>
      <c r="G698" s="9" t="s">
        <v>35</v>
      </c>
      <c r="H698" s="7">
        <v>1843</v>
      </c>
      <c r="I698" s="18">
        <v>16600000</v>
      </c>
      <c r="J698" s="10">
        <v>4506</v>
      </c>
      <c r="K698" s="7" t="s">
        <v>12</v>
      </c>
      <c r="L698" s="7" t="s">
        <v>53</v>
      </c>
      <c r="M698" s="34">
        <v>46090</v>
      </c>
      <c r="N698" s="7" t="s">
        <v>52</v>
      </c>
    </row>
    <row r="699" spans="1:14" x14ac:dyDescent="0.25">
      <c r="A699" s="41" t="s">
        <v>252</v>
      </c>
      <c r="B699" s="1">
        <v>3</v>
      </c>
      <c r="C699" s="8">
        <v>46097</v>
      </c>
      <c r="D699" s="1" t="s">
        <v>1072</v>
      </c>
      <c r="E699" s="7" t="s">
        <v>16</v>
      </c>
      <c r="F699" s="1" t="s">
        <v>25</v>
      </c>
      <c r="G699" s="9" t="s">
        <v>35</v>
      </c>
      <c r="H699" s="7">
        <v>1844</v>
      </c>
      <c r="I699" s="18">
        <v>16600000</v>
      </c>
      <c r="J699" s="10">
        <v>3030</v>
      </c>
      <c r="K699" s="7" t="s">
        <v>12</v>
      </c>
      <c r="L699" s="7" t="s">
        <v>53</v>
      </c>
      <c r="M699" s="34">
        <v>46098</v>
      </c>
      <c r="N699" s="7" t="s">
        <v>41</v>
      </c>
    </row>
    <row r="700" spans="1:14" x14ac:dyDescent="0.25">
      <c r="A700" s="41" t="s">
        <v>252</v>
      </c>
      <c r="B700" s="1">
        <v>2</v>
      </c>
      <c r="C700" s="8">
        <v>46097</v>
      </c>
      <c r="D700" s="1" t="s">
        <v>1073</v>
      </c>
      <c r="E700" s="7" t="s">
        <v>16</v>
      </c>
      <c r="F700" s="1" t="s">
        <v>25</v>
      </c>
      <c r="G700" s="9" t="s">
        <v>35</v>
      </c>
      <c r="H700" s="7">
        <v>1846</v>
      </c>
      <c r="I700" s="18">
        <v>16600000</v>
      </c>
      <c r="J700" s="10">
        <v>9818</v>
      </c>
      <c r="K700" s="7" t="s">
        <v>12</v>
      </c>
      <c r="L700" s="7" t="s">
        <v>53</v>
      </c>
      <c r="M700" s="34">
        <v>46098</v>
      </c>
      <c r="N700" s="7" t="s">
        <v>41</v>
      </c>
    </row>
    <row r="701" spans="1:14" x14ac:dyDescent="0.25">
      <c r="A701" s="41" t="s">
        <v>252</v>
      </c>
      <c r="B701" s="1">
        <v>2</v>
      </c>
      <c r="C701" s="8">
        <v>46094</v>
      </c>
      <c r="D701" s="1" t="s">
        <v>1074</v>
      </c>
      <c r="E701" s="7" t="s">
        <v>16</v>
      </c>
      <c r="F701" s="1" t="s">
        <v>25</v>
      </c>
      <c r="G701" s="9" t="s">
        <v>35</v>
      </c>
      <c r="H701" s="7">
        <v>3336</v>
      </c>
      <c r="I701" s="18">
        <v>16610000</v>
      </c>
      <c r="J701" s="10">
        <v>6624.27</v>
      </c>
      <c r="K701" s="7" t="s">
        <v>12</v>
      </c>
      <c r="L701" s="7" t="s">
        <v>53</v>
      </c>
      <c r="M701" s="34">
        <v>46094</v>
      </c>
      <c r="N701" s="7" t="s">
        <v>41</v>
      </c>
    </row>
    <row r="702" spans="1:14" x14ac:dyDescent="0.25">
      <c r="A702" s="41" t="s">
        <v>252</v>
      </c>
      <c r="B702" s="1">
        <v>1</v>
      </c>
      <c r="C702" s="8">
        <v>46085</v>
      </c>
      <c r="D702" s="1" t="s">
        <v>1075</v>
      </c>
      <c r="E702" s="7" t="s">
        <v>16</v>
      </c>
      <c r="F702" s="1" t="s">
        <v>25</v>
      </c>
      <c r="G702" s="9" t="s">
        <v>35</v>
      </c>
      <c r="H702" s="7">
        <v>3337</v>
      </c>
      <c r="I702" s="18">
        <v>16600000</v>
      </c>
      <c r="J702" s="10">
        <v>4134.21</v>
      </c>
      <c r="K702" s="7" t="s">
        <v>12</v>
      </c>
      <c r="L702" s="7" t="s">
        <v>53</v>
      </c>
      <c r="M702" s="34">
        <v>46092</v>
      </c>
      <c r="N702" s="7" t="s">
        <v>92</v>
      </c>
    </row>
    <row r="703" spans="1:14" x14ac:dyDescent="0.25">
      <c r="A703" s="41" t="s">
        <v>252</v>
      </c>
      <c r="B703" s="1">
        <v>1</v>
      </c>
      <c r="C703" s="8">
        <v>46085</v>
      </c>
      <c r="D703" s="1" t="s">
        <v>1076</v>
      </c>
      <c r="E703" s="7" t="s">
        <v>16</v>
      </c>
      <c r="F703" s="1" t="s">
        <v>25</v>
      </c>
      <c r="G703" s="9" t="s">
        <v>35</v>
      </c>
      <c r="H703" s="7">
        <v>3338</v>
      </c>
      <c r="I703" s="18">
        <v>15000000</v>
      </c>
      <c r="J703" s="10">
        <v>8579.94</v>
      </c>
      <c r="K703" s="7" t="s">
        <v>12</v>
      </c>
      <c r="L703" s="7" t="s">
        <v>53</v>
      </c>
      <c r="M703" s="34">
        <v>46091</v>
      </c>
      <c r="N703" s="7" t="s">
        <v>92</v>
      </c>
    </row>
    <row r="704" spans="1:14" x14ac:dyDescent="0.25">
      <c r="A704" s="41" t="s">
        <v>252</v>
      </c>
      <c r="B704" s="1">
        <v>2</v>
      </c>
      <c r="C704" s="8">
        <v>46094</v>
      </c>
      <c r="D704" s="1" t="s">
        <v>1077</v>
      </c>
      <c r="E704" s="7" t="s">
        <v>16</v>
      </c>
      <c r="F704" s="1" t="s">
        <v>25</v>
      </c>
      <c r="G704" s="9" t="s">
        <v>35</v>
      </c>
      <c r="H704" s="7">
        <v>3339</v>
      </c>
      <c r="I704" s="18">
        <v>16600000</v>
      </c>
      <c r="J704" s="10">
        <v>11989.98</v>
      </c>
      <c r="K704" s="7" t="s">
        <v>12</v>
      </c>
      <c r="L704" s="7" t="s">
        <v>53</v>
      </c>
      <c r="M704" s="34">
        <v>46094</v>
      </c>
      <c r="N704" s="7" t="s">
        <v>41</v>
      </c>
    </row>
    <row r="705" spans="1:14" x14ac:dyDescent="0.25">
      <c r="A705" s="41" t="s">
        <v>1078</v>
      </c>
      <c r="B705" s="1">
        <v>1</v>
      </c>
      <c r="C705" s="8">
        <v>46085</v>
      </c>
      <c r="D705" s="1" t="s">
        <v>1079</v>
      </c>
      <c r="E705" s="7" t="s">
        <v>2</v>
      </c>
      <c r="F705" s="1" t="s">
        <v>25</v>
      </c>
      <c r="G705" s="9" t="s">
        <v>35</v>
      </c>
      <c r="H705" s="7">
        <v>19</v>
      </c>
      <c r="I705" s="18">
        <v>15001001</v>
      </c>
      <c r="J705" s="10">
        <v>41500</v>
      </c>
      <c r="K705" s="7" t="s">
        <v>12</v>
      </c>
      <c r="L705" s="7" t="s">
        <v>53</v>
      </c>
      <c r="M705" s="34">
        <v>46092</v>
      </c>
      <c r="N705" s="7" t="s">
        <v>41</v>
      </c>
    </row>
    <row r="706" spans="1:14" x14ac:dyDescent="0.25">
      <c r="A706" s="41" t="s">
        <v>252</v>
      </c>
      <c r="B706" s="1">
        <v>1</v>
      </c>
      <c r="C706" s="8">
        <v>46085</v>
      </c>
      <c r="D706" s="1" t="s">
        <v>1080</v>
      </c>
      <c r="E706" s="7" t="s">
        <v>16</v>
      </c>
      <c r="F706" s="1" t="s">
        <v>25</v>
      </c>
      <c r="G706" s="9" t="s">
        <v>35</v>
      </c>
      <c r="H706" s="7">
        <v>1850</v>
      </c>
      <c r="I706" s="18">
        <v>16600000</v>
      </c>
      <c r="J706" s="10">
        <v>1440</v>
      </c>
      <c r="K706" s="7" t="s">
        <v>12</v>
      </c>
      <c r="L706" s="7" t="s">
        <v>53</v>
      </c>
      <c r="M706" s="34">
        <v>46087</v>
      </c>
      <c r="N706" s="7" t="s">
        <v>52</v>
      </c>
    </row>
    <row r="707" spans="1:14" x14ac:dyDescent="0.25">
      <c r="A707" s="41" t="s">
        <v>1078</v>
      </c>
      <c r="B707" s="1">
        <v>1</v>
      </c>
      <c r="C707" s="8">
        <v>46085</v>
      </c>
      <c r="D707" s="1" t="s">
        <v>1079</v>
      </c>
      <c r="E707" s="7" t="s">
        <v>2</v>
      </c>
      <c r="F707" s="1" t="s">
        <v>25</v>
      </c>
      <c r="G707" s="9" t="s">
        <v>35</v>
      </c>
      <c r="H707" s="7">
        <v>19</v>
      </c>
      <c r="I707" s="18">
        <v>15001001</v>
      </c>
      <c r="J707" s="10">
        <v>41500</v>
      </c>
      <c r="K707" s="7" t="s">
        <v>12</v>
      </c>
      <c r="L707" s="7" t="s">
        <v>53</v>
      </c>
      <c r="M707" s="34">
        <v>46094</v>
      </c>
      <c r="N707" s="7" t="s">
        <v>41</v>
      </c>
    </row>
    <row r="708" spans="1:14" x14ac:dyDescent="0.25">
      <c r="A708" s="41" t="s">
        <v>199</v>
      </c>
      <c r="B708" s="1">
        <v>2</v>
      </c>
      <c r="C708" s="8">
        <v>46090</v>
      </c>
      <c r="D708" s="1" t="s">
        <v>1081</v>
      </c>
      <c r="E708" s="7" t="s">
        <v>2</v>
      </c>
      <c r="F708" s="1" t="s">
        <v>25</v>
      </c>
      <c r="G708" s="9" t="s">
        <v>35</v>
      </c>
      <c r="H708" s="7">
        <v>478</v>
      </c>
      <c r="I708" s="18">
        <v>15001001</v>
      </c>
      <c r="J708" s="10">
        <v>6000</v>
      </c>
      <c r="K708" s="7" t="s">
        <v>12</v>
      </c>
      <c r="L708" s="7" t="s">
        <v>53</v>
      </c>
      <c r="M708" s="34">
        <v>46090</v>
      </c>
      <c r="N708" s="7" t="s">
        <v>41</v>
      </c>
    </row>
    <row r="709" spans="1:14" x14ac:dyDescent="0.25">
      <c r="A709" s="41" t="s">
        <v>179</v>
      </c>
      <c r="B709" s="1">
        <v>1</v>
      </c>
      <c r="C709" s="8">
        <v>46085</v>
      </c>
      <c r="D709" s="1" t="s">
        <v>1082</v>
      </c>
      <c r="E709" s="7" t="s">
        <v>13</v>
      </c>
      <c r="F709" s="1" t="s">
        <v>25</v>
      </c>
      <c r="G709" s="9" t="s">
        <v>35</v>
      </c>
      <c r="H709" s="7">
        <v>7</v>
      </c>
      <c r="I709" s="18">
        <v>15001002</v>
      </c>
      <c r="J709" s="10">
        <v>11800</v>
      </c>
      <c r="K709" s="7" t="s">
        <v>13</v>
      </c>
      <c r="L709" s="7" t="s">
        <v>54</v>
      </c>
      <c r="M709" s="34">
        <v>46087</v>
      </c>
      <c r="N709" s="7" t="s">
        <v>774</v>
      </c>
    </row>
    <row r="710" spans="1:14" x14ac:dyDescent="0.25">
      <c r="A710" s="41" t="s">
        <v>252</v>
      </c>
      <c r="B710" s="1">
        <v>1</v>
      </c>
      <c r="C710" s="8">
        <v>46086</v>
      </c>
      <c r="D710" s="1" t="s">
        <v>1083</v>
      </c>
      <c r="E710" s="7" t="s">
        <v>16</v>
      </c>
      <c r="F710" s="1" t="s">
        <v>25</v>
      </c>
      <c r="G710" s="9" t="s">
        <v>35</v>
      </c>
      <c r="H710" s="7">
        <v>1849</v>
      </c>
      <c r="I710" s="18">
        <v>16600000</v>
      </c>
      <c r="J710" s="10">
        <v>340</v>
      </c>
      <c r="K710" s="7" t="s">
        <v>12</v>
      </c>
      <c r="L710" s="7" t="s">
        <v>53</v>
      </c>
      <c r="M710" s="34">
        <v>46090</v>
      </c>
      <c r="N710" s="7" t="s">
        <v>52</v>
      </c>
    </row>
    <row r="711" spans="1:14" x14ac:dyDescent="0.25">
      <c r="A711" s="41" t="s">
        <v>252</v>
      </c>
      <c r="B711" s="1">
        <v>1</v>
      </c>
      <c r="C711" s="8">
        <v>46086</v>
      </c>
      <c r="D711" s="1" t="s">
        <v>1084</v>
      </c>
      <c r="E711" s="7" t="s">
        <v>16</v>
      </c>
      <c r="F711" s="1" t="s">
        <v>25</v>
      </c>
      <c r="G711" s="9" t="s">
        <v>35</v>
      </c>
      <c r="H711" s="7">
        <v>1847</v>
      </c>
      <c r="I711" s="18">
        <v>15000000</v>
      </c>
      <c r="J711" s="10">
        <v>310</v>
      </c>
      <c r="K711" s="7" t="s">
        <v>12</v>
      </c>
      <c r="L711" s="7" t="s">
        <v>53</v>
      </c>
      <c r="M711" s="34">
        <v>46097</v>
      </c>
      <c r="N711" s="7" t="s">
        <v>92</v>
      </c>
    </row>
    <row r="712" spans="1:14" x14ac:dyDescent="0.25">
      <c r="A712" s="41" t="s">
        <v>1086</v>
      </c>
      <c r="B712" s="1">
        <v>1</v>
      </c>
      <c r="C712" s="8">
        <v>46086</v>
      </c>
      <c r="D712" s="1" t="s">
        <v>1085</v>
      </c>
      <c r="E712" s="7" t="s">
        <v>12</v>
      </c>
      <c r="F712" s="1" t="s">
        <v>25</v>
      </c>
      <c r="G712" s="9" t="s">
        <v>37</v>
      </c>
      <c r="H712" s="7" t="s">
        <v>74</v>
      </c>
      <c r="I712" s="18" t="s">
        <v>0</v>
      </c>
      <c r="J712" s="10" t="s">
        <v>61</v>
      </c>
      <c r="K712" s="7" t="s">
        <v>22</v>
      </c>
      <c r="L712" s="7" t="s">
        <v>55</v>
      </c>
      <c r="M712" s="34">
        <v>46087</v>
      </c>
      <c r="N712" s="7" t="s">
        <v>46</v>
      </c>
    </row>
    <row r="713" spans="1:14" x14ac:dyDescent="0.25">
      <c r="A713" s="41" t="s">
        <v>344</v>
      </c>
      <c r="B713" s="1">
        <v>1</v>
      </c>
      <c r="C713" s="8">
        <v>46086</v>
      </c>
      <c r="D713" s="1" t="s">
        <v>1087</v>
      </c>
      <c r="E713" s="7" t="s">
        <v>13</v>
      </c>
      <c r="F713" s="1" t="s">
        <v>25</v>
      </c>
      <c r="G713" s="9" t="s">
        <v>35</v>
      </c>
      <c r="H713" s="7" t="s">
        <v>74</v>
      </c>
      <c r="I713" s="18">
        <v>15001002</v>
      </c>
      <c r="J713" s="10">
        <v>15240</v>
      </c>
      <c r="K713" s="7" t="s">
        <v>13</v>
      </c>
      <c r="L713" s="7" t="s">
        <v>54</v>
      </c>
      <c r="M713" s="34">
        <v>46087</v>
      </c>
      <c r="N713" s="7" t="s">
        <v>774</v>
      </c>
    </row>
    <row r="714" spans="1:14" x14ac:dyDescent="0.25">
      <c r="A714" s="41" t="s">
        <v>151</v>
      </c>
      <c r="B714" s="1">
        <v>2</v>
      </c>
      <c r="C714" s="8">
        <v>46087</v>
      </c>
      <c r="D714" s="1" t="s">
        <v>1088</v>
      </c>
      <c r="E714" s="7" t="s">
        <v>13</v>
      </c>
      <c r="F714" s="1" t="s">
        <v>25</v>
      </c>
      <c r="G714" s="9" t="s">
        <v>35</v>
      </c>
      <c r="H714" s="7">
        <v>222</v>
      </c>
      <c r="I714" s="18">
        <v>15001002</v>
      </c>
      <c r="J714" s="10">
        <v>5800</v>
      </c>
      <c r="K714" s="7" t="s">
        <v>13</v>
      </c>
      <c r="L714" s="7" t="s">
        <v>54</v>
      </c>
      <c r="M714" s="34">
        <v>46090</v>
      </c>
      <c r="N714" s="7" t="s">
        <v>774</v>
      </c>
    </row>
    <row r="715" spans="1:14" x14ac:dyDescent="0.25">
      <c r="A715" s="41" t="s">
        <v>347</v>
      </c>
      <c r="B715" s="1">
        <v>1</v>
      </c>
      <c r="C715" s="8">
        <v>46086</v>
      </c>
      <c r="D715" s="1" t="s">
        <v>1089</v>
      </c>
      <c r="E715" s="7" t="s">
        <v>13</v>
      </c>
      <c r="F715" s="1" t="s">
        <v>25</v>
      </c>
      <c r="G715" s="9" t="s">
        <v>35</v>
      </c>
      <c r="H715" s="7" t="s">
        <v>74</v>
      </c>
      <c r="I715" s="18">
        <v>15001002</v>
      </c>
      <c r="J715" s="10">
        <v>23200</v>
      </c>
      <c r="K715" s="7" t="s">
        <v>13</v>
      </c>
      <c r="L715" s="7" t="s">
        <v>54</v>
      </c>
      <c r="M715" s="34">
        <v>46087</v>
      </c>
      <c r="N715" s="7" t="s">
        <v>91</v>
      </c>
    </row>
    <row r="716" spans="1:14" x14ac:dyDescent="0.25">
      <c r="A716" s="41" t="s">
        <v>218</v>
      </c>
      <c r="B716" s="1">
        <v>2</v>
      </c>
      <c r="C716" s="8">
        <v>46091</v>
      </c>
      <c r="D716" s="1" t="s">
        <v>1090</v>
      </c>
      <c r="E716" s="7" t="s">
        <v>13</v>
      </c>
      <c r="F716" s="1" t="s">
        <v>25</v>
      </c>
      <c r="G716" s="9" t="s">
        <v>35</v>
      </c>
      <c r="H716" s="7">
        <v>90</v>
      </c>
      <c r="I716" s="18">
        <v>15001002</v>
      </c>
      <c r="J716" s="10">
        <v>10620</v>
      </c>
      <c r="K716" s="7" t="s">
        <v>13</v>
      </c>
      <c r="L716" s="7" t="s">
        <v>54</v>
      </c>
      <c r="M716" s="34">
        <v>46091</v>
      </c>
      <c r="N716" s="7" t="s">
        <v>774</v>
      </c>
    </row>
    <row r="717" spans="1:14" x14ac:dyDescent="0.25">
      <c r="A717" s="41" t="s">
        <v>1092</v>
      </c>
      <c r="B717" s="1">
        <v>3</v>
      </c>
      <c r="C717" s="8">
        <v>46094</v>
      </c>
      <c r="D717" s="1" t="s">
        <v>1091</v>
      </c>
      <c r="E717" s="7" t="s">
        <v>82</v>
      </c>
      <c r="F717" s="1" t="s">
        <v>25</v>
      </c>
      <c r="G717" s="9" t="s">
        <v>35</v>
      </c>
      <c r="H717" s="7">
        <v>2</v>
      </c>
      <c r="I717" s="18">
        <v>15000000</v>
      </c>
      <c r="J717" s="10">
        <v>12000</v>
      </c>
      <c r="K717" s="7" t="s">
        <v>12</v>
      </c>
      <c r="L717" s="7" t="s">
        <v>53</v>
      </c>
      <c r="M717" s="34">
        <v>46097</v>
      </c>
      <c r="N717" s="7" t="s">
        <v>41</v>
      </c>
    </row>
    <row r="718" spans="1:14" x14ac:dyDescent="0.25">
      <c r="A718" s="41" t="s">
        <v>435</v>
      </c>
      <c r="B718" s="1">
        <v>1</v>
      </c>
      <c r="C718" s="8">
        <v>46086</v>
      </c>
      <c r="D718" s="1" t="s">
        <v>1093</v>
      </c>
      <c r="E718" s="7" t="s">
        <v>16</v>
      </c>
      <c r="F718" s="1" t="s">
        <v>25</v>
      </c>
      <c r="G718" s="9" t="s">
        <v>35</v>
      </c>
      <c r="H718" s="7">
        <v>2797105</v>
      </c>
      <c r="I718" s="18">
        <v>16600000</v>
      </c>
      <c r="J718" s="10">
        <v>1085.6300000000001</v>
      </c>
      <c r="K718" s="7" t="s">
        <v>12</v>
      </c>
      <c r="L718" s="7" t="s">
        <v>53</v>
      </c>
      <c r="M718" s="34">
        <v>46097</v>
      </c>
      <c r="N718" s="7" t="s">
        <v>91</v>
      </c>
    </row>
    <row r="719" spans="1:14" x14ac:dyDescent="0.25">
      <c r="A719" s="41" t="s">
        <v>435</v>
      </c>
      <c r="B719" s="1">
        <v>2</v>
      </c>
      <c r="C719" s="8">
        <v>46097</v>
      </c>
      <c r="D719" s="1" t="s">
        <v>1094</v>
      </c>
      <c r="E719" s="7" t="s">
        <v>16</v>
      </c>
      <c r="F719" s="1" t="s">
        <v>25</v>
      </c>
      <c r="G719" s="9" t="s">
        <v>35</v>
      </c>
      <c r="H719" s="7">
        <v>2796375</v>
      </c>
      <c r="I719" s="18">
        <v>16600000</v>
      </c>
      <c r="J719" s="10">
        <v>2455.59</v>
      </c>
      <c r="K719" s="7" t="s">
        <v>12</v>
      </c>
      <c r="L719" s="7" t="s">
        <v>53</v>
      </c>
      <c r="M719" s="34">
        <v>46090</v>
      </c>
      <c r="N719" s="7" t="s">
        <v>91</v>
      </c>
    </row>
    <row r="720" spans="1:14" x14ac:dyDescent="0.25">
      <c r="A720" s="41" t="s">
        <v>435</v>
      </c>
      <c r="B720" s="1">
        <v>1</v>
      </c>
      <c r="C720" s="8">
        <v>46086</v>
      </c>
      <c r="D720" s="1" t="s">
        <v>1095</v>
      </c>
      <c r="E720" s="7" t="s">
        <v>16</v>
      </c>
      <c r="F720" s="1" t="s">
        <v>25</v>
      </c>
      <c r="G720" s="9" t="s">
        <v>35</v>
      </c>
      <c r="H720" s="7">
        <v>2796373</v>
      </c>
      <c r="I720" s="18">
        <v>15000000</v>
      </c>
      <c r="J720" s="10">
        <v>4761.82</v>
      </c>
      <c r="K720" s="7" t="s">
        <v>12</v>
      </c>
      <c r="L720" s="7" t="s">
        <v>53</v>
      </c>
      <c r="M720" s="34">
        <v>46090</v>
      </c>
      <c r="N720" s="7" t="s">
        <v>91</v>
      </c>
    </row>
    <row r="721" spans="1:15" x14ac:dyDescent="0.25">
      <c r="A721" s="41" t="s">
        <v>435</v>
      </c>
      <c r="B721" s="1">
        <v>2</v>
      </c>
      <c r="C721" s="8">
        <v>46097</v>
      </c>
      <c r="D721" s="1" t="s">
        <v>1096</v>
      </c>
      <c r="E721" s="7" t="s">
        <v>16</v>
      </c>
      <c r="F721" s="1" t="s">
        <v>25</v>
      </c>
      <c r="G721" s="9" t="s">
        <v>35</v>
      </c>
      <c r="H721" s="7">
        <v>2796377</v>
      </c>
      <c r="I721" s="18">
        <v>16610000</v>
      </c>
      <c r="J721" s="10">
        <v>1182.8800000000001</v>
      </c>
      <c r="K721" s="7" t="s">
        <v>12</v>
      </c>
      <c r="L721" s="7" t="s">
        <v>53</v>
      </c>
      <c r="M721" s="34">
        <v>46090</v>
      </c>
      <c r="N721" s="7" t="s">
        <v>91</v>
      </c>
    </row>
    <row r="722" spans="1:15" x14ac:dyDescent="0.25">
      <c r="A722" s="41" t="s">
        <v>435</v>
      </c>
      <c r="B722" s="1">
        <v>2</v>
      </c>
      <c r="C722" s="8">
        <v>46097</v>
      </c>
      <c r="D722" s="1" t="s">
        <v>1097</v>
      </c>
      <c r="E722" s="7" t="s">
        <v>16</v>
      </c>
      <c r="F722" s="1" t="s">
        <v>25</v>
      </c>
      <c r="G722" s="9" t="s">
        <v>35</v>
      </c>
      <c r="H722" s="7">
        <v>2796376</v>
      </c>
      <c r="I722" s="18">
        <v>16610000</v>
      </c>
      <c r="J722" s="10">
        <v>933.98</v>
      </c>
      <c r="K722" s="7" t="s">
        <v>12</v>
      </c>
      <c r="L722" s="7" t="s">
        <v>53</v>
      </c>
      <c r="M722" s="34">
        <v>46090</v>
      </c>
      <c r="N722" s="7" t="s">
        <v>91</v>
      </c>
    </row>
    <row r="723" spans="1:15" x14ac:dyDescent="0.25">
      <c r="A723" s="41" t="s">
        <v>199</v>
      </c>
      <c r="B723" s="1">
        <v>1</v>
      </c>
      <c r="C723" s="8">
        <v>46086</v>
      </c>
      <c r="D723" s="1" t="s">
        <v>1098</v>
      </c>
      <c r="E723" s="7" t="s">
        <v>16</v>
      </c>
      <c r="F723" s="1" t="s">
        <v>25</v>
      </c>
      <c r="G723" s="9" t="s">
        <v>35</v>
      </c>
      <c r="H723" s="7">
        <v>477</v>
      </c>
      <c r="I723" s="18">
        <v>15000000</v>
      </c>
      <c r="J723" s="10">
        <v>3000</v>
      </c>
      <c r="K723" s="7" t="s">
        <v>12</v>
      </c>
      <c r="L723" s="7" t="s">
        <v>53</v>
      </c>
      <c r="M723" s="34">
        <v>46093</v>
      </c>
      <c r="N723" s="7" t="s">
        <v>41</v>
      </c>
    </row>
    <row r="724" spans="1:15" x14ac:dyDescent="0.25">
      <c r="A724" s="41" t="s">
        <v>252</v>
      </c>
      <c r="B724" s="1">
        <v>1</v>
      </c>
      <c r="C724" s="8">
        <v>46086</v>
      </c>
      <c r="D724" s="1" t="s">
        <v>1099</v>
      </c>
      <c r="E724" s="7" t="s">
        <v>16</v>
      </c>
      <c r="F724" s="1" t="s">
        <v>25</v>
      </c>
      <c r="G724" s="9" t="s">
        <v>35</v>
      </c>
      <c r="H724" s="7">
        <v>1848</v>
      </c>
      <c r="I724" s="18">
        <v>16600000</v>
      </c>
      <c r="J724" s="10">
        <v>310</v>
      </c>
      <c r="K724" s="7" t="s">
        <v>12</v>
      </c>
      <c r="L724" s="7" t="s">
        <v>53</v>
      </c>
      <c r="M724" s="34">
        <v>46087</v>
      </c>
      <c r="N724" s="7" t="s">
        <v>52</v>
      </c>
    </row>
    <row r="725" spans="1:15" x14ac:dyDescent="0.25">
      <c r="A725" s="41" t="s">
        <v>435</v>
      </c>
      <c r="B725" s="1">
        <v>1</v>
      </c>
      <c r="C725" s="8">
        <v>46086</v>
      </c>
      <c r="D725" s="1" t="s">
        <v>1100</v>
      </c>
      <c r="E725" s="7" t="s">
        <v>14</v>
      </c>
      <c r="F725" s="1" t="s">
        <v>25</v>
      </c>
      <c r="G725" s="9" t="s">
        <v>35</v>
      </c>
      <c r="H725" s="7">
        <v>2796345</v>
      </c>
      <c r="I725" s="18">
        <v>15000000</v>
      </c>
      <c r="J725" s="10">
        <v>219288.32000000001</v>
      </c>
      <c r="K725" s="7" t="s">
        <v>12</v>
      </c>
      <c r="L725" s="7" t="s">
        <v>53</v>
      </c>
      <c r="M725" s="34">
        <v>46090</v>
      </c>
      <c r="N725" s="7" t="s">
        <v>91</v>
      </c>
    </row>
    <row r="726" spans="1:15" x14ac:dyDescent="0.25">
      <c r="A726" s="41" t="s">
        <v>417</v>
      </c>
      <c r="B726" s="1">
        <v>1</v>
      </c>
      <c r="C726" s="8">
        <v>46086</v>
      </c>
      <c r="D726" s="1" t="s">
        <v>1101</v>
      </c>
      <c r="E726" s="7" t="s">
        <v>14</v>
      </c>
      <c r="F726" s="1" t="s">
        <v>25</v>
      </c>
      <c r="G726" s="9" t="s">
        <v>35</v>
      </c>
      <c r="H726" s="7">
        <v>1324</v>
      </c>
      <c r="I726" s="18">
        <v>15000000</v>
      </c>
      <c r="J726" s="10">
        <v>152474.81</v>
      </c>
      <c r="K726" s="7" t="s">
        <v>12</v>
      </c>
      <c r="L726" s="7" t="s">
        <v>53</v>
      </c>
      <c r="M726" s="34">
        <v>46087</v>
      </c>
    </row>
    <row r="727" spans="1:15" x14ac:dyDescent="0.25">
      <c r="A727" s="41" t="s">
        <v>223</v>
      </c>
      <c r="B727" s="1">
        <v>1</v>
      </c>
      <c r="C727" s="8">
        <v>46086</v>
      </c>
      <c r="D727" s="1" t="s">
        <v>1102</v>
      </c>
      <c r="E727" s="7" t="s">
        <v>14</v>
      </c>
      <c r="F727" s="1" t="s">
        <v>25</v>
      </c>
      <c r="G727" s="9" t="s">
        <v>35</v>
      </c>
      <c r="H727" s="7">
        <v>17906</v>
      </c>
      <c r="I727" s="18">
        <v>15000000</v>
      </c>
      <c r="J727" s="10">
        <v>20800</v>
      </c>
      <c r="K727" s="7" t="s">
        <v>12</v>
      </c>
      <c r="L727" s="7" t="s">
        <v>53</v>
      </c>
      <c r="M727" s="34">
        <v>46091</v>
      </c>
      <c r="N727" s="7" t="s">
        <v>46</v>
      </c>
    </row>
    <row r="728" spans="1:15" x14ac:dyDescent="0.25">
      <c r="A728" s="41" t="s">
        <v>489</v>
      </c>
      <c r="B728" s="1">
        <v>2</v>
      </c>
      <c r="C728" s="8">
        <v>46090</v>
      </c>
      <c r="D728" s="1" t="s">
        <v>1103</v>
      </c>
      <c r="E728" s="7" t="s">
        <v>14</v>
      </c>
      <c r="F728" s="1" t="s">
        <v>25</v>
      </c>
      <c r="G728" s="9" t="s">
        <v>35</v>
      </c>
      <c r="H728" s="7">
        <v>91916</v>
      </c>
      <c r="I728" s="18">
        <v>15000000</v>
      </c>
      <c r="J728" s="10">
        <v>1299.82</v>
      </c>
      <c r="K728" s="7" t="s">
        <v>12</v>
      </c>
      <c r="L728" s="7" t="s">
        <v>53</v>
      </c>
      <c r="M728" s="34">
        <v>46097</v>
      </c>
      <c r="N728" s="7" t="s">
        <v>46</v>
      </c>
    </row>
    <row r="729" spans="1:15" x14ac:dyDescent="0.25">
      <c r="A729" s="41" t="s">
        <v>157</v>
      </c>
      <c r="B729" s="1">
        <v>2</v>
      </c>
      <c r="C729" s="8">
        <v>46087</v>
      </c>
      <c r="D729" s="1" t="s">
        <v>1104</v>
      </c>
      <c r="E729" s="7" t="s">
        <v>13</v>
      </c>
      <c r="F729" s="1" t="s">
        <v>25</v>
      </c>
      <c r="G729" s="9" t="s">
        <v>35</v>
      </c>
      <c r="H729" s="7">
        <v>102</v>
      </c>
      <c r="I729" s="18">
        <v>15001002</v>
      </c>
      <c r="J729" s="10">
        <v>5800</v>
      </c>
      <c r="K729" s="7" t="s">
        <v>13</v>
      </c>
      <c r="L729" s="7" t="s">
        <v>54</v>
      </c>
      <c r="M729" s="34">
        <v>46087</v>
      </c>
      <c r="N729" s="7" t="s">
        <v>91</v>
      </c>
    </row>
    <row r="730" spans="1:15" x14ac:dyDescent="0.25">
      <c r="A730" s="41" t="s">
        <v>590</v>
      </c>
      <c r="B730" s="1">
        <v>1</v>
      </c>
      <c r="C730" s="8">
        <v>46086</v>
      </c>
      <c r="D730" s="1" t="s">
        <v>1105</v>
      </c>
      <c r="E730" s="7" t="s">
        <v>14</v>
      </c>
      <c r="F730" s="1" t="s">
        <v>25</v>
      </c>
      <c r="G730" s="9" t="s">
        <v>35</v>
      </c>
      <c r="H730" s="7" t="s">
        <v>74</v>
      </c>
      <c r="I730" s="18">
        <v>15000000</v>
      </c>
      <c r="J730" s="10">
        <v>213.35</v>
      </c>
      <c r="K730" s="7" t="s">
        <v>12</v>
      </c>
      <c r="L730" s="7" t="s">
        <v>53</v>
      </c>
      <c r="M730" s="34">
        <v>46086</v>
      </c>
      <c r="N730" s="7" t="s">
        <v>62</v>
      </c>
    </row>
    <row r="731" spans="1:15" x14ac:dyDescent="0.25">
      <c r="A731" s="41" t="s">
        <v>219</v>
      </c>
      <c r="B731" s="1">
        <v>2</v>
      </c>
      <c r="C731" s="8">
        <v>46090</v>
      </c>
      <c r="D731" s="1" t="s">
        <v>1153</v>
      </c>
      <c r="E731" s="7" t="s">
        <v>13</v>
      </c>
      <c r="F731" s="1" t="s">
        <v>25</v>
      </c>
      <c r="G731" s="9" t="s">
        <v>35</v>
      </c>
      <c r="H731" s="7">
        <v>2411</v>
      </c>
      <c r="I731" s="18">
        <v>16000000</v>
      </c>
      <c r="J731" s="10">
        <v>195262.48</v>
      </c>
      <c r="K731" s="7" t="s">
        <v>13</v>
      </c>
      <c r="L731" s="7" t="s">
        <v>54</v>
      </c>
      <c r="M731" s="34">
        <v>46093</v>
      </c>
      <c r="N731" s="7" t="s">
        <v>41</v>
      </c>
      <c r="O731" s="7" t="s">
        <v>1151</v>
      </c>
    </row>
    <row r="732" spans="1:15" x14ac:dyDescent="0.25">
      <c r="A732" s="41" t="s">
        <v>219</v>
      </c>
      <c r="B732" s="1">
        <v>2</v>
      </c>
      <c r="C732" s="8">
        <v>46090</v>
      </c>
      <c r="D732" s="1" t="s">
        <v>1154</v>
      </c>
      <c r="E732" s="7" t="s">
        <v>13</v>
      </c>
      <c r="F732" s="1" t="s">
        <v>25</v>
      </c>
      <c r="G732" s="9" t="s">
        <v>35</v>
      </c>
      <c r="H732" s="7">
        <v>2409</v>
      </c>
      <c r="I732" s="18">
        <v>15001002</v>
      </c>
      <c r="J732" s="10">
        <v>411023.58</v>
      </c>
      <c r="K732" s="7" t="s">
        <v>13</v>
      </c>
      <c r="L732" s="7" t="s">
        <v>54</v>
      </c>
      <c r="M732" s="34">
        <v>46093</v>
      </c>
      <c r="N732" s="7" t="s">
        <v>41</v>
      </c>
      <c r="O732" s="7" t="s">
        <v>1152</v>
      </c>
    </row>
    <row r="733" spans="1:15" x14ac:dyDescent="0.25">
      <c r="A733" s="41" t="s">
        <v>199</v>
      </c>
      <c r="B733" s="1">
        <v>2</v>
      </c>
      <c r="C733" s="8">
        <v>46092</v>
      </c>
      <c r="D733" s="1" t="s">
        <v>1106</v>
      </c>
      <c r="E733" s="7" t="s">
        <v>13</v>
      </c>
      <c r="F733" s="1" t="s">
        <v>25</v>
      </c>
      <c r="G733" s="9" t="s">
        <v>35</v>
      </c>
      <c r="H733" s="7">
        <v>475</v>
      </c>
      <c r="I733" s="18">
        <v>15001002</v>
      </c>
      <c r="J733" s="10">
        <v>4000</v>
      </c>
      <c r="K733" s="7" t="s">
        <v>13</v>
      </c>
      <c r="L733" s="7" t="s">
        <v>54</v>
      </c>
      <c r="M733" s="34">
        <v>46093</v>
      </c>
      <c r="N733" s="7" t="s">
        <v>774</v>
      </c>
    </row>
    <row r="734" spans="1:15" x14ac:dyDescent="0.25">
      <c r="A734" s="41" t="s">
        <v>370</v>
      </c>
      <c r="B734" s="1">
        <v>2</v>
      </c>
      <c r="C734" s="8">
        <v>46091</v>
      </c>
      <c r="D734" s="1" t="s">
        <v>1107</v>
      </c>
      <c r="E734" s="7" t="s">
        <v>13</v>
      </c>
      <c r="F734" s="1" t="s">
        <v>25</v>
      </c>
      <c r="G734" s="9" t="s">
        <v>35</v>
      </c>
      <c r="H734" s="7" t="s">
        <v>74</v>
      </c>
      <c r="I734" s="18">
        <v>15001002</v>
      </c>
      <c r="J734" s="10">
        <v>2889</v>
      </c>
      <c r="K734" s="7" t="s">
        <v>13</v>
      </c>
      <c r="L734" s="7" t="s">
        <v>54</v>
      </c>
      <c r="M734" s="34">
        <v>46091</v>
      </c>
      <c r="N734" s="7" t="s">
        <v>774</v>
      </c>
    </row>
    <row r="735" spans="1:15" x14ac:dyDescent="0.25">
      <c r="A735" s="41" t="s">
        <v>181</v>
      </c>
      <c r="B735" s="1">
        <v>1</v>
      </c>
      <c r="C735" s="8">
        <v>46086</v>
      </c>
      <c r="D735" s="1" t="s">
        <v>1108</v>
      </c>
      <c r="E735" s="7" t="s">
        <v>13</v>
      </c>
      <c r="F735" s="1" t="s">
        <v>25</v>
      </c>
      <c r="G735" s="9" t="s">
        <v>35</v>
      </c>
      <c r="H735" s="7" t="s">
        <v>74</v>
      </c>
      <c r="I735" s="18">
        <v>15001002</v>
      </c>
      <c r="J735" s="10">
        <v>99398</v>
      </c>
      <c r="K735" s="7" t="s">
        <v>13</v>
      </c>
      <c r="L735" s="7" t="s">
        <v>54</v>
      </c>
      <c r="M735" s="34">
        <v>46090</v>
      </c>
      <c r="N735" s="7" t="s">
        <v>774</v>
      </c>
    </row>
    <row r="736" spans="1:15" x14ac:dyDescent="0.25">
      <c r="A736" s="41" t="s">
        <v>181</v>
      </c>
      <c r="B736" s="1">
        <v>1</v>
      </c>
      <c r="C736" s="8">
        <v>46086</v>
      </c>
      <c r="D736" s="1" t="s">
        <v>1109</v>
      </c>
      <c r="E736" s="7" t="s">
        <v>13</v>
      </c>
      <c r="F736" s="1" t="s">
        <v>25</v>
      </c>
      <c r="G736" s="9" t="s">
        <v>35</v>
      </c>
      <c r="H736" s="7">
        <v>942953898</v>
      </c>
      <c r="I736" s="18">
        <v>16000000</v>
      </c>
      <c r="J736" s="10">
        <v>789.96</v>
      </c>
      <c r="K736" s="7" t="s">
        <v>13</v>
      </c>
      <c r="L736" s="7" t="s">
        <v>54</v>
      </c>
      <c r="M736" s="34">
        <v>46090</v>
      </c>
      <c r="N736" s="7" t="s">
        <v>774</v>
      </c>
    </row>
    <row r="737" spans="1:14" x14ac:dyDescent="0.25">
      <c r="A737" s="41" t="s">
        <v>1112</v>
      </c>
      <c r="B737" s="1">
        <v>1</v>
      </c>
      <c r="C737" s="8">
        <v>46086</v>
      </c>
      <c r="D737" s="1" t="s">
        <v>1111</v>
      </c>
      <c r="E737" s="7" t="s">
        <v>20</v>
      </c>
      <c r="F737" s="1" t="s">
        <v>25</v>
      </c>
      <c r="G737" s="9" t="s">
        <v>35</v>
      </c>
      <c r="H737" s="7">
        <v>2793</v>
      </c>
      <c r="I737" s="18" t="s">
        <v>1110</v>
      </c>
      <c r="J737" s="10">
        <v>249436.24</v>
      </c>
      <c r="K737" s="7" t="s">
        <v>12</v>
      </c>
      <c r="L737" s="7" t="s">
        <v>53</v>
      </c>
      <c r="M737" s="34">
        <v>46087</v>
      </c>
      <c r="N737" s="7" t="s">
        <v>41</v>
      </c>
    </row>
    <row r="738" spans="1:14" x14ac:dyDescent="0.25">
      <c r="A738" s="41" t="s">
        <v>355</v>
      </c>
      <c r="B738" s="1">
        <v>1</v>
      </c>
      <c r="C738" s="8">
        <v>46087</v>
      </c>
      <c r="D738" s="1" t="s">
        <v>1114</v>
      </c>
      <c r="E738" s="7" t="s">
        <v>13</v>
      </c>
      <c r="F738" s="1" t="s">
        <v>25</v>
      </c>
      <c r="G738" s="9" t="s">
        <v>35</v>
      </c>
      <c r="H738" s="7" t="s">
        <v>1115</v>
      </c>
      <c r="I738" s="18">
        <v>16000000</v>
      </c>
      <c r="J738" s="10">
        <v>3855.04</v>
      </c>
      <c r="K738" s="7" t="s">
        <v>13</v>
      </c>
      <c r="L738" s="7" t="s">
        <v>54</v>
      </c>
      <c r="M738" s="34">
        <v>46091</v>
      </c>
      <c r="N738" s="7" t="s">
        <v>774</v>
      </c>
    </row>
    <row r="739" spans="1:14" x14ac:dyDescent="0.25">
      <c r="A739" s="41" t="s">
        <v>534</v>
      </c>
      <c r="B739" s="1">
        <v>1</v>
      </c>
      <c r="C739" s="8">
        <v>46087</v>
      </c>
      <c r="D739" s="1" t="s">
        <v>1116</v>
      </c>
      <c r="E739" s="7" t="s">
        <v>13</v>
      </c>
      <c r="F739" s="1" t="s">
        <v>25</v>
      </c>
      <c r="G739" s="9" t="s">
        <v>35</v>
      </c>
      <c r="H739" s="7">
        <v>412</v>
      </c>
      <c r="I739" s="18">
        <v>15001002</v>
      </c>
      <c r="J739" s="10">
        <v>9440</v>
      </c>
      <c r="K739" s="7" t="s">
        <v>13</v>
      </c>
      <c r="L739" s="7" t="s">
        <v>54</v>
      </c>
      <c r="M739" s="34">
        <v>46091</v>
      </c>
      <c r="N739" s="7" t="s">
        <v>774</v>
      </c>
    </row>
    <row r="740" spans="1:14" x14ac:dyDescent="0.25">
      <c r="A740" s="41" t="s">
        <v>210</v>
      </c>
      <c r="B740" s="1">
        <v>1</v>
      </c>
      <c r="C740" s="8">
        <v>46087</v>
      </c>
      <c r="D740" s="1" t="s">
        <v>1117</v>
      </c>
      <c r="E740" s="7" t="s">
        <v>14</v>
      </c>
      <c r="F740" s="1" t="s">
        <v>25</v>
      </c>
      <c r="G740" s="9" t="s">
        <v>35</v>
      </c>
      <c r="H740" s="7" t="s">
        <v>74</v>
      </c>
      <c r="I740" s="18">
        <v>15000000</v>
      </c>
      <c r="J740" s="10">
        <v>1365.06</v>
      </c>
      <c r="K740" s="7" t="s">
        <v>12</v>
      </c>
      <c r="L740" s="7" t="s">
        <v>53</v>
      </c>
      <c r="M740" s="34">
        <v>46091</v>
      </c>
      <c r="N740" s="7" t="s">
        <v>91</v>
      </c>
    </row>
    <row r="741" spans="1:14" x14ac:dyDescent="0.25">
      <c r="A741" s="41" t="s">
        <v>181</v>
      </c>
      <c r="B741" s="1">
        <v>1</v>
      </c>
      <c r="C741" s="8">
        <v>46087</v>
      </c>
      <c r="D741" s="1" t="s">
        <v>1118</v>
      </c>
      <c r="E741" s="7" t="s">
        <v>83</v>
      </c>
      <c r="F741" s="1" t="s">
        <v>25</v>
      </c>
      <c r="G741" s="9" t="s">
        <v>35</v>
      </c>
      <c r="H741" s="7">
        <v>942946546</v>
      </c>
      <c r="I741" s="18">
        <v>15000000</v>
      </c>
      <c r="J741" s="10">
        <v>2335.5</v>
      </c>
      <c r="K741" s="7" t="s">
        <v>12</v>
      </c>
      <c r="L741" s="7" t="s">
        <v>53</v>
      </c>
      <c r="M741" s="34">
        <v>46090</v>
      </c>
      <c r="N741" s="7" t="s">
        <v>774</v>
      </c>
    </row>
    <row r="742" spans="1:14" x14ac:dyDescent="0.25">
      <c r="A742" s="41" t="s">
        <v>181</v>
      </c>
      <c r="B742" s="1">
        <v>1</v>
      </c>
      <c r="C742" s="8">
        <v>46087</v>
      </c>
      <c r="D742" s="1" t="s">
        <v>1119</v>
      </c>
      <c r="E742" s="7" t="s">
        <v>14</v>
      </c>
      <c r="F742" s="1" t="s">
        <v>25</v>
      </c>
      <c r="G742" s="9" t="s">
        <v>35</v>
      </c>
      <c r="H742" s="7">
        <v>943142618</v>
      </c>
      <c r="I742" s="18">
        <v>15000000</v>
      </c>
      <c r="J742" s="10">
        <v>46826.96</v>
      </c>
      <c r="K742" s="7" t="s">
        <v>12</v>
      </c>
      <c r="L742" s="7" t="s">
        <v>53</v>
      </c>
      <c r="M742" s="34">
        <v>46090</v>
      </c>
      <c r="N742" s="7" t="s">
        <v>774</v>
      </c>
    </row>
    <row r="743" spans="1:14" x14ac:dyDescent="0.25">
      <c r="A743" s="41" t="s">
        <v>181</v>
      </c>
      <c r="B743" s="1">
        <v>1</v>
      </c>
      <c r="C743" s="8">
        <v>46087</v>
      </c>
      <c r="D743" s="1" t="s">
        <v>1120</v>
      </c>
      <c r="E743" s="7" t="s">
        <v>82</v>
      </c>
      <c r="F743" s="1" t="s">
        <v>25</v>
      </c>
      <c r="G743" s="9" t="s">
        <v>35</v>
      </c>
      <c r="H743" s="18">
        <v>942946589</v>
      </c>
      <c r="I743" s="18">
        <v>15000000</v>
      </c>
      <c r="J743" s="10">
        <v>1257.76</v>
      </c>
      <c r="K743" s="7" t="s">
        <v>12</v>
      </c>
      <c r="L743" s="7" t="s">
        <v>53</v>
      </c>
      <c r="M743" s="34">
        <v>46090</v>
      </c>
      <c r="N743" s="7" t="s">
        <v>774</v>
      </c>
    </row>
    <row r="744" spans="1:14" x14ac:dyDescent="0.25">
      <c r="A744" s="41" t="s">
        <v>313</v>
      </c>
      <c r="B744" s="1">
        <v>2</v>
      </c>
      <c r="C744" s="8">
        <v>46092</v>
      </c>
      <c r="D744" s="1" t="s">
        <v>1121</v>
      </c>
      <c r="E744" s="7" t="s">
        <v>13</v>
      </c>
      <c r="F744" s="1" t="s">
        <v>25</v>
      </c>
      <c r="G744" s="9" t="s">
        <v>35</v>
      </c>
      <c r="H744" s="7">
        <v>9085</v>
      </c>
      <c r="I744" s="18">
        <v>16000000</v>
      </c>
      <c r="J744" s="10">
        <v>4108.8599999999997</v>
      </c>
      <c r="K744" s="7" t="s">
        <v>13</v>
      </c>
      <c r="L744" s="7" t="s">
        <v>54</v>
      </c>
      <c r="M744" s="34">
        <v>46093</v>
      </c>
      <c r="N744" s="7" t="s">
        <v>774</v>
      </c>
    </row>
    <row r="745" spans="1:14" x14ac:dyDescent="0.25">
      <c r="A745" s="41" t="s">
        <v>424</v>
      </c>
      <c r="B745" s="1">
        <v>1</v>
      </c>
      <c r="C745" s="8">
        <v>46087</v>
      </c>
      <c r="D745" s="1" t="s">
        <v>1122</v>
      </c>
      <c r="E745" s="7" t="s">
        <v>14</v>
      </c>
      <c r="F745" s="1" t="s">
        <v>25</v>
      </c>
      <c r="G745" s="9" t="s">
        <v>35</v>
      </c>
      <c r="H745" s="7">
        <v>199</v>
      </c>
      <c r="I745" s="18">
        <v>15000000</v>
      </c>
      <c r="J745" s="10">
        <v>35002.800000000003</v>
      </c>
      <c r="K745" s="7" t="s">
        <v>12</v>
      </c>
      <c r="L745" s="7" t="s">
        <v>53</v>
      </c>
      <c r="M745" s="34">
        <v>46092</v>
      </c>
    </row>
    <row r="746" spans="1:14" x14ac:dyDescent="0.25">
      <c r="A746" s="41" t="s">
        <v>424</v>
      </c>
      <c r="B746" s="1">
        <v>2</v>
      </c>
      <c r="C746" s="8">
        <v>46090</v>
      </c>
      <c r="D746" s="1" t="s">
        <v>1124</v>
      </c>
      <c r="E746" s="7" t="s">
        <v>14</v>
      </c>
      <c r="F746" s="1" t="s">
        <v>25</v>
      </c>
      <c r="G746" s="9" t="s">
        <v>35</v>
      </c>
      <c r="H746" s="7">
        <v>198</v>
      </c>
      <c r="I746" s="18">
        <v>15000000</v>
      </c>
      <c r="J746" s="10">
        <v>37714.04</v>
      </c>
      <c r="K746" s="7" t="s">
        <v>12</v>
      </c>
      <c r="L746" s="7" t="s">
        <v>53</v>
      </c>
      <c r="M746" s="34">
        <v>46091</v>
      </c>
      <c r="N746" s="7" t="s">
        <v>41</v>
      </c>
    </row>
    <row r="747" spans="1:14" x14ac:dyDescent="0.25">
      <c r="A747" s="41" t="s">
        <v>367</v>
      </c>
      <c r="B747" s="1">
        <v>2</v>
      </c>
      <c r="C747" s="8">
        <v>46092</v>
      </c>
      <c r="D747" s="1" t="s">
        <v>1123</v>
      </c>
      <c r="E747" s="7" t="s">
        <v>13</v>
      </c>
      <c r="F747" s="1" t="s">
        <v>25</v>
      </c>
      <c r="G747" s="9" t="s">
        <v>35</v>
      </c>
      <c r="H747" s="7">
        <v>17515</v>
      </c>
      <c r="I747" s="18">
        <v>15001002</v>
      </c>
      <c r="J747" s="10">
        <v>1917.39</v>
      </c>
      <c r="K747" s="7" t="s">
        <v>13</v>
      </c>
      <c r="L747" s="7" t="s">
        <v>54</v>
      </c>
      <c r="M747" s="34">
        <v>46093</v>
      </c>
      <c r="N747" s="7" t="s">
        <v>91</v>
      </c>
    </row>
    <row r="748" spans="1:14" x14ac:dyDescent="0.25">
      <c r="A748" s="41" t="s">
        <v>1125</v>
      </c>
      <c r="B748" s="1">
        <v>2</v>
      </c>
      <c r="C748" s="8">
        <v>46108</v>
      </c>
      <c r="D748" s="1" t="s">
        <v>1126</v>
      </c>
      <c r="E748" s="7" t="s">
        <v>12</v>
      </c>
      <c r="F748" s="1" t="s">
        <v>25</v>
      </c>
      <c r="G748" s="9" t="s">
        <v>63</v>
      </c>
      <c r="H748" s="7" t="s">
        <v>74</v>
      </c>
      <c r="I748" s="18" t="s">
        <v>0</v>
      </c>
      <c r="J748" s="10" t="s">
        <v>61</v>
      </c>
      <c r="K748" s="7" t="s">
        <v>17</v>
      </c>
      <c r="L748" s="7" t="s">
        <v>55</v>
      </c>
      <c r="M748" s="34">
        <v>46112</v>
      </c>
      <c r="N748" s="7" t="s">
        <v>45</v>
      </c>
    </row>
    <row r="749" spans="1:14" x14ac:dyDescent="0.25">
      <c r="A749" s="41" t="s">
        <v>213</v>
      </c>
      <c r="B749" s="1">
        <v>2</v>
      </c>
      <c r="C749" s="8">
        <v>46105</v>
      </c>
      <c r="D749" s="1" t="s">
        <v>1127</v>
      </c>
      <c r="E749" s="7" t="s">
        <v>13</v>
      </c>
      <c r="F749" s="1" t="s">
        <v>25</v>
      </c>
      <c r="G749" s="9" t="s">
        <v>63</v>
      </c>
      <c r="H749" s="7" t="s">
        <v>74</v>
      </c>
      <c r="I749" s="18" t="s">
        <v>0</v>
      </c>
      <c r="J749" s="10" t="s">
        <v>61</v>
      </c>
      <c r="K749" s="7" t="s">
        <v>17</v>
      </c>
      <c r="L749" s="7" t="s">
        <v>59</v>
      </c>
      <c r="M749" s="34">
        <v>46099</v>
      </c>
      <c r="N749" s="7" t="s">
        <v>45</v>
      </c>
    </row>
    <row r="750" spans="1:14" x14ac:dyDescent="0.25">
      <c r="A750" s="41" t="s">
        <v>217</v>
      </c>
      <c r="B750" s="1">
        <v>2</v>
      </c>
      <c r="C750" s="8">
        <v>46092</v>
      </c>
      <c r="D750" s="1" t="s">
        <v>1128</v>
      </c>
      <c r="E750" s="7" t="s">
        <v>13</v>
      </c>
      <c r="F750" s="1" t="s">
        <v>25</v>
      </c>
      <c r="G750" s="9" t="s">
        <v>63</v>
      </c>
      <c r="H750" s="7" t="s">
        <v>74</v>
      </c>
      <c r="I750" s="18" t="s">
        <v>0</v>
      </c>
      <c r="J750" s="10" t="s">
        <v>61</v>
      </c>
      <c r="K750" s="7" t="s">
        <v>17</v>
      </c>
      <c r="L750" s="7" t="s">
        <v>55</v>
      </c>
      <c r="M750" s="34">
        <v>46093</v>
      </c>
      <c r="N750" s="7" t="s">
        <v>46</v>
      </c>
    </row>
    <row r="751" spans="1:14" x14ac:dyDescent="0.25">
      <c r="A751" s="41" t="s">
        <v>370</v>
      </c>
      <c r="B751" s="1">
        <v>1</v>
      </c>
      <c r="C751" s="8">
        <v>46087</v>
      </c>
      <c r="D751" s="1" t="s">
        <v>1129</v>
      </c>
      <c r="E751" s="7" t="s">
        <v>14</v>
      </c>
      <c r="F751" s="1" t="s">
        <v>25</v>
      </c>
      <c r="G751" s="9" t="s">
        <v>63</v>
      </c>
      <c r="H751" s="7" t="s">
        <v>74</v>
      </c>
      <c r="I751" s="18" t="s">
        <v>0</v>
      </c>
      <c r="J751" s="10" t="s">
        <v>61</v>
      </c>
      <c r="K751" s="7" t="s">
        <v>17</v>
      </c>
      <c r="L751" s="7" t="s">
        <v>55</v>
      </c>
      <c r="M751" s="34">
        <v>46100</v>
      </c>
      <c r="N751" s="7" t="s">
        <v>46</v>
      </c>
    </row>
    <row r="752" spans="1:14" x14ac:dyDescent="0.25">
      <c r="A752" s="41" t="s">
        <v>151</v>
      </c>
      <c r="B752" s="1">
        <v>2</v>
      </c>
      <c r="C752" s="8">
        <v>46092</v>
      </c>
      <c r="D752" s="1" t="s">
        <v>1130</v>
      </c>
      <c r="E752" s="7" t="s">
        <v>13</v>
      </c>
      <c r="F752" s="1" t="s">
        <v>25</v>
      </c>
      <c r="G752" s="9" t="s">
        <v>63</v>
      </c>
      <c r="H752" s="7" t="s">
        <v>74</v>
      </c>
      <c r="I752" s="18" t="s">
        <v>0</v>
      </c>
      <c r="J752" s="10" t="s">
        <v>61</v>
      </c>
      <c r="K752" s="7" t="s">
        <v>17</v>
      </c>
      <c r="L752" s="7" t="s">
        <v>40</v>
      </c>
      <c r="M752" s="34">
        <v>46093</v>
      </c>
      <c r="N752" s="7" t="s">
        <v>46</v>
      </c>
    </row>
    <row r="753" spans="1:14" x14ac:dyDescent="0.25">
      <c r="A753" s="41" t="s">
        <v>486</v>
      </c>
      <c r="B753" s="1">
        <v>1</v>
      </c>
      <c r="C753" s="8">
        <v>46087</v>
      </c>
      <c r="D753" s="1" t="s">
        <v>1133</v>
      </c>
      <c r="E753" s="7" t="s">
        <v>12</v>
      </c>
      <c r="F753" s="1" t="s">
        <v>25</v>
      </c>
      <c r="G753" s="9" t="s">
        <v>35</v>
      </c>
      <c r="H753" s="7">
        <v>5108</v>
      </c>
      <c r="I753" s="18">
        <v>15000000</v>
      </c>
      <c r="J753" s="10">
        <v>20000</v>
      </c>
      <c r="K753" s="7" t="s">
        <v>12</v>
      </c>
      <c r="L753" s="7" t="s">
        <v>53</v>
      </c>
      <c r="M753" s="34">
        <v>46091</v>
      </c>
      <c r="N753" s="7" t="s">
        <v>91</v>
      </c>
    </row>
    <row r="754" spans="1:14" x14ac:dyDescent="0.25">
      <c r="A754" s="41" t="s">
        <v>1131</v>
      </c>
      <c r="B754" s="1">
        <v>1</v>
      </c>
      <c r="C754" s="8">
        <v>46087</v>
      </c>
      <c r="D754" s="1" t="s">
        <v>1132</v>
      </c>
      <c r="E754" s="7" t="s">
        <v>14</v>
      </c>
      <c r="F754" s="1" t="s">
        <v>25</v>
      </c>
      <c r="G754" s="9" t="s">
        <v>35</v>
      </c>
      <c r="H754" s="7">
        <v>5578</v>
      </c>
      <c r="I754" s="18">
        <v>15000000</v>
      </c>
      <c r="J754" s="10">
        <v>1336</v>
      </c>
      <c r="K754" s="7" t="s">
        <v>12</v>
      </c>
      <c r="L754" s="7" t="s">
        <v>53</v>
      </c>
      <c r="M754" s="34">
        <v>46087</v>
      </c>
      <c r="N754" s="7" t="s">
        <v>91</v>
      </c>
    </row>
    <row r="755" spans="1:14" x14ac:dyDescent="0.25">
      <c r="A755" s="41" t="s">
        <v>1131</v>
      </c>
      <c r="B755" s="1">
        <v>2</v>
      </c>
      <c r="C755" s="8">
        <v>46092</v>
      </c>
      <c r="D755" s="1" t="s">
        <v>1135</v>
      </c>
      <c r="E755" s="7" t="s">
        <v>13</v>
      </c>
      <c r="F755" s="1" t="s">
        <v>25</v>
      </c>
      <c r="G755" s="9" t="s">
        <v>35</v>
      </c>
      <c r="H755" s="7" t="s">
        <v>74</v>
      </c>
      <c r="I755" s="18">
        <v>15001002</v>
      </c>
      <c r="J755" s="10">
        <v>916</v>
      </c>
      <c r="K755" s="7" t="s">
        <v>13</v>
      </c>
      <c r="L755" s="7" t="s">
        <v>54</v>
      </c>
      <c r="M755" s="34">
        <v>46093</v>
      </c>
      <c r="N755" s="7" t="s">
        <v>91</v>
      </c>
    </row>
    <row r="756" spans="1:14" x14ac:dyDescent="0.25">
      <c r="A756" s="41" t="s">
        <v>371</v>
      </c>
      <c r="B756" s="1">
        <v>2</v>
      </c>
      <c r="C756" s="8">
        <v>46092</v>
      </c>
      <c r="D756" s="1" t="s">
        <v>1136</v>
      </c>
      <c r="E756" s="7" t="s">
        <v>13</v>
      </c>
      <c r="F756" s="1" t="s">
        <v>25</v>
      </c>
      <c r="G756" s="9" t="s">
        <v>35</v>
      </c>
      <c r="H756" s="7">
        <v>1028</v>
      </c>
      <c r="I756" s="18">
        <v>15001002</v>
      </c>
      <c r="J756" s="10">
        <v>24414.43</v>
      </c>
      <c r="K756" s="7" t="s">
        <v>13</v>
      </c>
      <c r="L756" s="7" t="s">
        <v>54</v>
      </c>
      <c r="M756" s="34">
        <v>46093</v>
      </c>
      <c r="N756" s="7" t="s">
        <v>91</v>
      </c>
    </row>
    <row r="757" spans="1:14" x14ac:dyDescent="0.25">
      <c r="A757" s="41" t="s">
        <v>219</v>
      </c>
      <c r="B757" s="1">
        <v>2</v>
      </c>
      <c r="C757" s="8">
        <v>46091</v>
      </c>
      <c r="D757" s="1" t="s">
        <v>1137</v>
      </c>
      <c r="E757" s="7" t="s">
        <v>2</v>
      </c>
      <c r="F757" s="1" t="s">
        <v>25</v>
      </c>
      <c r="G757" s="9" t="s">
        <v>35</v>
      </c>
      <c r="H757" s="7">
        <v>2417</v>
      </c>
      <c r="I757" s="18">
        <v>15001001</v>
      </c>
      <c r="J757" s="10">
        <v>258055.69</v>
      </c>
      <c r="K757" s="7" t="s">
        <v>12</v>
      </c>
      <c r="L757" s="7" t="s">
        <v>53</v>
      </c>
      <c r="M757" s="34">
        <v>46091</v>
      </c>
      <c r="N757" s="7" t="s">
        <v>41</v>
      </c>
    </row>
    <row r="758" spans="1:14" x14ac:dyDescent="0.25">
      <c r="A758" s="41" t="s">
        <v>220</v>
      </c>
      <c r="B758" s="1">
        <v>1</v>
      </c>
      <c r="C758" s="8">
        <v>46087</v>
      </c>
      <c r="D758" s="1" t="s">
        <v>1139</v>
      </c>
      <c r="E758" s="7" t="s">
        <v>11</v>
      </c>
      <c r="F758" s="1" t="s">
        <v>25</v>
      </c>
      <c r="G758" s="9" t="s">
        <v>35</v>
      </c>
      <c r="H758" s="7">
        <v>2261</v>
      </c>
      <c r="I758" s="18">
        <v>15000000</v>
      </c>
      <c r="J758" s="10">
        <v>12180</v>
      </c>
      <c r="K758" s="7" t="s">
        <v>12</v>
      </c>
      <c r="L758" s="7" t="s">
        <v>53</v>
      </c>
      <c r="M758" s="34">
        <v>46091</v>
      </c>
      <c r="N758" s="7" t="s">
        <v>41</v>
      </c>
    </row>
    <row r="759" spans="1:14" x14ac:dyDescent="0.25">
      <c r="A759" s="41" t="s">
        <v>220</v>
      </c>
      <c r="B759" s="1">
        <v>1</v>
      </c>
      <c r="C759" s="8">
        <v>46087</v>
      </c>
      <c r="D759" s="1" t="s">
        <v>1138</v>
      </c>
      <c r="E759" s="7" t="s">
        <v>11</v>
      </c>
      <c r="F759" s="1" t="s">
        <v>25</v>
      </c>
      <c r="G759" s="9" t="s">
        <v>35</v>
      </c>
      <c r="H759" s="7">
        <v>2259</v>
      </c>
      <c r="I759" s="18">
        <v>15000000</v>
      </c>
      <c r="J759" s="10">
        <v>4254</v>
      </c>
      <c r="K759" s="7" t="s">
        <v>12</v>
      </c>
      <c r="L759" s="7" t="s">
        <v>53</v>
      </c>
      <c r="M759" s="34">
        <v>46091</v>
      </c>
      <c r="N759" s="7" t="s">
        <v>41</v>
      </c>
    </row>
    <row r="760" spans="1:14" x14ac:dyDescent="0.25">
      <c r="A760" s="41" t="s">
        <v>220</v>
      </c>
      <c r="B760" s="1">
        <v>1</v>
      </c>
      <c r="C760" s="8">
        <v>46087</v>
      </c>
      <c r="D760" s="1" t="s">
        <v>1140</v>
      </c>
      <c r="E760" s="7" t="s">
        <v>11</v>
      </c>
      <c r="F760" s="1" t="s">
        <v>25</v>
      </c>
      <c r="G760" s="9" t="s">
        <v>35</v>
      </c>
      <c r="H760" s="7">
        <v>2260</v>
      </c>
      <c r="I760" s="18">
        <v>15000000</v>
      </c>
      <c r="J760" s="10">
        <v>13870.8</v>
      </c>
      <c r="K760" s="7" t="s">
        <v>12</v>
      </c>
      <c r="L760" s="7" t="s">
        <v>53</v>
      </c>
      <c r="M760" s="34">
        <v>46091</v>
      </c>
      <c r="N760" s="7" t="s">
        <v>41</v>
      </c>
    </row>
    <row r="761" spans="1:14" ht="30" x14ac:dyDescent="0.25">
      <c r="A761" s="41" t="s">
        <v>1141</v>
      </c>
      <c r="B761" s="1">
        <v>2</v>
      </c>
      <c r="C761" s="8">
        <v>46111</v>
      </c>
      <c r="D761" s="1" t="s">
        <v>1142</v>
      </c>
      <c r="E761" s="7" t="s">
        <v>94</v>
      </c>
      <c r="F761" s="1" t="s">
        <v>25</v>
      </c>
      <c r="G761" s="9" t="s">
        <v>49</v>
      </c>
      <c r="H761" s="7" t="s">
        <v>74</v>
      </c>
      <c r="I761" s="18" t="s">
        <v>0</v>
      </c>
      <c r="J761" s="10" t="s">
        <v>61</v>
      </c>
      <c r="K761" s="7" t="s">
        <v>22</v>
      </c>
      <c r="L761" s="7" t="s">
        <v>55</v>
      </c>
      <c r="M761" s="34">
        <v>46112</v>
      </c>
      <c r="N761" s="7" t="s">
        <v>91</v>
      </c>
    </row>
    <row r="762" spans="1:14" ht="30" x14ac:dyDescent="0.25">
      <c r="A762" s="41" t="s">
        <v>1143</v>
      </c>
      <c r="B762" s="1">
        <v>3</v>
      </c>
      <c r="C762" s="8">
        <v>46128</v>
      </c>
      <c r="D762" s="1" t="s">
        <v>1144</v>
      </c>
      <c r="E762" s="7" t="s">
        <v>94</v>
      </c>
      <c r="F762" s="1" t="s">
        <v>25</v>
      </c>
      <c r="G762" s="9" t="s">
        <v>49</v>
      </c>
      <c r="H762" s="7" t="s">
        <v>74</v>
      </c>
      <c r="I762" s="18" t="s">
        <v>0</v>
      </c>
      <c r="J762" s="10" t="s">
        <v>61</v>
      </c>
      <c r="K762" s="7" t="s">
        <v>22</v>
      </c>
      <c r="L762" s="7" t="s">
        <v>55</v>
      </c>
      <c r="M762" s="34">
        <v>46129</v>
      </c>
      <c r="N762" s="7" t="s">
        <v>91</v>
      </c>
    </row>
    <row r="763" spans="1:14" ht="30" x14ac:dyDescent="0.25">
      <c r="A763" s="41" t="s">
        <v>1146</v>
      </c>
      <c r="B763" s="1">
        <v>3</v>
      </c>
      <c r="C763" s="8">
        <v>46111</v>
      </c>
      <c r="D763" s="1" t="s">
        <v>1145</v>
      </c>
      <c r="E763" s="7" t="s">
        <v>94</v>
      </c>
      <c r="F763" s="1" t="s">
        <v>25</v>
      </c>
      <c r="G763" s="9" t="s">
        <v>49</v>
      </c>
      <c r="H763" s="7" t="s">
        <v>74</v>
      </c>
      <c r="I763" s="18" t="s">
        <v>0</v>
      </c>
      <c r="J763" s="10" t="s">
        <v>61</v>
      </c>
      <c r="K763" s="7" t="s">
        <v>22</v>
      </c>
      <c r="L763" s="7" t="s">
        <v>55</v>
      </c>
      <c r="M763" s="34">
        <v>46112</v>
      </c>
      <c r="N763" s="7" t="s">
        <v>46</v>
      </c>
    </row>
    <row r="764" spans="1:14" ht="30" x14ac:dyDescent="0.25">
      <c r="A764" s="41" t="s">
        <v>1147</v>
      </c>
      <c r="B764" s="1">
        <v>3</v>
      </c>
      <c r="C764" s="8">
        <v>46128</v>
      </c>
      <c r="D764" s="1" t="s">
        <v>1148</v>
      </c>
      <c r="E764" s="7" t="s">
        <v>94</v>
      </c>
      <c r="F764" s="1" t="s">
        <v>25</v>
      </c>
      <c r="G764" s="9" t="s">
        <v>49</v>
      </c>
      <c r="H764" s="7" t="s">
        <v>74</v>
      </c>
      <c r="I764" s="18" t="s">
        <v>0</v>
      </c>
      <c r="J764" s="10" t="s">
        <v>61</v>
      </c>
      <c r="K764" s="7" t="s">
        <v>22</v>
      </c>
      <c r="L764" s="7" t="s">
        <v>55</v>
      </c>
      <c r="M764" s="34">
        <v>46112</v>
      </c>
      <c r="N764" s="7" t="s">
        <v>91</v>
      </c>
    </row>
    <row r="765" spans="1:14" ht="30" x14ac:dyDescent="0.25">
      <c r="A765" s="41" t="s">
        <v>1150</v>
      </c>
      <c r="B765" s="1">
        <v>2</v>
      </c>
      <c r="C765" s="8">
        <v>46111</v>
      </c>
      <c r="D765" s="1" t="s">
        <v>1149</v>
      </c>
      <c r="E765" s="7" t="s">
        <v>94</v>
      </c>
      <c r="F765" s="1" t="s">
        <v>25</v>
      </c>
      <c r="G765" s="9" t="s">
        <v>49</v>
      </c>
      <c r="H765" s="7" t="s">
        <v>74</v>
      </c>
      <c r="I765" s="18" t="s">
        <v>0</v>
      </c>
      <c r="J765" s="10" t="s">
        <v>61</v>
      </c>
      <c r="K765" s="7" t="s">
        <v>22</v>
      </c>
      <c r="L765" s="7" t="s">
        <v>55</v>
      </c>
      <c r="M765" s="34">
        <v>46112</v>
      </c>
      <c r="N765" s="7" t="s">
        <v>91</v>
      </c>
    </row>
    <row r="766" spans="1:14" x14ac:dyDescent="0.25">
      <c r="A766" s="41" t="s">
        <v>220</v>
      </c>
      <c r="B766" s="1">
        <v>1</v>
      </c>
      <c r="C766" s="8">
        <v>46090</v>
      </c>
      <c r="D766" s="1" t="s">
        <v>1155</v>
      </c>
      <c r="E766" s="7" t="s">
        <v>11</v>
      </c>
      <c r="F766" s="1" t="s">
        <v>25</v>
      </c>
      <c r="G766" s="9" t="s">
        <v>35</v>
      </c>
      <c r="H766" s="7">
        <v>2272</v>
      </c>
      <c r="I766" s="18">
        <v>15000000</v>
      </c>
      <c r="J766" s="10">
        <v>6864</v>
      </c>
      <c r="K766" s="7" t="s">
        <v>12</v>
      </c>
      <c r="L766" s="7" t="s">
        <v>53</v>
      </c>
      <c r="M766" s="34">
        <v>46091</v>
      </c>
      <c r="N766" s="7" t="s">
        <v>41</v>
      </c>
    </row>
    <row r="767" spans="1:14" x14ac:dyDescent="0.25">
      <c r="A767" s="41" t="s">
        <v>174</v>
      </c>
      <c r="B767" s="1">
        <v>1</v>
      </c>
      <c r="C767" s="8">
        <v>46090</v>
      </c>
      <c r="D767" s="1" t="s">
        <v>1156</v>
      </c>
      <c r="E767" s="7" t="s">
        <v>13</v>
      </c>
      <c r="F767" s="1" t="s">
        <v>25</v>
      </c>
      <c r="G767" s="9" t="s">
        <v>35</v>
      </c>
      <c r="H767" s="7">
        <v>342</v>
      </c>
      <c r="I767" s="18">
        <v>15001002</v>
      </c>
      <c r="J767" s="10">
        <v>32620</v>
      </c>
      <c r="K767" s="7" t="s">
        <v>13</v>
      </c>
      <c r="L767" s="7" t="s">
        <v>53</v>
      </c>
      <c r="M767" s="34">
        <v>46091</v>
      </c>
      <c r="N767" s="7" t="s">
        <v>774</v>
      </c>
    </row>
    <row r="768" spans="1:14" x14ac:dyDescent="0.25">
      <c r="A768" s="41" t="s">
        <v>691</v>
      </c>
      <c r="B768" s="1">
        <v>2</v>
      </c>
      <c r="C768" s="8">
        <v>46092</v>
      </c>
      <c r="D768" s="1" t="s">
        <v>1157</v>
      </c>
      <c r="E768" s="7" t="s">
        <v>13</v>
      </c>
      <c r="F768" s="1" t="s">
        <v>25</v>
      </c>
      <c r="G768" s="9" t="s">
        <v>35</v>
      </c>
      <c r="H768" s="7">
        <v>2</v>
      </c>
      <c r="I768" s="18">
        <v>15001002</v>
      </c>
      <c r="J768" s="10">
        <v>17400</v>
      </c>
      <c r="K768" s="7" t="s">
        <v>13</v>
      </c>
      <c r="L768" s="7" t="s">
        <v>54</v>
      </c>
      <c r="M768" s="34">
        <v>46093</v>
      </c>
      <c r="N768" s="7" t="s">
        <v>41</v>
      </c>
    </row>
    <row r="769" spans="1:15" x14ac:dyDescent="0.25">
      <c r="A769" s="41" t="s">
        <v>863</v>
      </c>
      <c r="B769" s="1">
        <v>1</v>
      </c>
      <c r="C769" s="8">
        <v>46090</v>
      </c>
      <c r="D769" s="1" t="s">
        <v>1198</v>
      </c>
      <c r="E769" s="7" t="s">
        <v>18</v>
      </c>
      <c r="F769" s="1" t="s">
        <v>25</v>
      </c>
      <c r="G769" s="9" t="s">
        <v>35</v>
      </c>
      <c r="H769" s="7">
        <v>196</v>
      </c>
      <c r="I769" s="18">
        <v>15000000</v>
      </c>
      <c r="J769" s="10">
        <v>5000</v>
      </c>
      <c r="K769" s="7" t="s">
        <v>12</v>
      </c>
      <c r="L769" s="7" t="s">
        <v>53</v>
      </c>
      <c r="M769" s="34" t="s">
        <v>718</v>
      </c>
      <c r="N769" s="7" t="s">
        <v>774</v>
      </c>
    </row>
    <row r="770" spans="1:15" x14ac:dyDescent="0.25">
      <c r="A770" s="41" t="s">
        <v>688</v>
      </c>
      <c r="B770" s="1">
        <v>1</v>
      </c>
      <c r="C770" s="8">
        <v>46090</v>
      </c>
      <c r="D770" s="1" t="s">
        <v>1158</v>
      </c>
      <c r="E770" s="7" t="s">
        <v>13</v>
      </c>
      <c r="F770" s="1" t="s">
        <v>25</v>
      </c>
      <c r="G770" s="9" t="s">
        <v>35</v>
      </c>
      <c r="H770" s="7">
        <v>210</v>
      </c>
      <c r="I770" s="18">
        <v>15001002</v>
      </c>
      <c r="J770" s="10">
        <v>9760</v>
      </c>
      <c r="K770" s="7" t="s">
        <v>13</v>
      </c>
      <c r="L770" s="7" t="s">
        <v>54</v>
      </c>
      <c r="M770" s="34">
        <v>46091</v>
      </c>
      <c r="N770" s="7" t="s">
        <v>774</v>
      </c>
    </row>
    <row r="771" spans="1:15" x14ac:dyDescent="0.25">
      <c r="A771" s="41" t="s">
        <v>112</v>
      </c>
      <c r="B771" s="1">
        <v>1</v>
      </c>
      <c r="C771" s="8">
        <v>46090</v>
      </c>
      <c r="D771" s="1" t="s">
        <v>1159</v>
      </c>
      <c r="E771" s="7" t="s">
        <v>13</v>
      </c>
      <c r="F771" s="1" t="s">
        <v>25</v>
      </c>
      <c r="G771" s="9" t="s">
        <v>35</v>
      </c>
      <c r="H771" s="7" t="s">
        <v>74</v>
      </c>
      <c r="I771" s="18">
        <v>15001002</v>
      </c>
      <c r="J771" s="10">
        <v>1257250.95</v>
      </c>
      <c r="K771" s="7" t="s">
        <v>13</v>
      </c>
      <c r="L771" s="7" t="s">
        <v>54</v>
      </c>
      <c r="M771" s="34">
        <v>46091</v>
      </c>
      <c r="N771" s="7" t="s">
        <v>41</v>
      </c>
    </row>
    <row r="772" spans="1:15" x14ac:dyDescent="0.25">
      <c r="A772" s="41" t="s">
        <v>112</v>
      </c>
      <c r="B772" s="1">
        <v>1</v>
      </c>
      <c r="C772" s="8">
        <v>46090</v>
      </c>
      <c r="D772" s="1" t="s">
        <v>1160</v>
      </c>
      <c r="E772" s="7" t="s">
        <v>13</v>
      </c>
      <c r="F772" s="1" t="s">
        <v>25</v>
      </c>
      <c r="G772" s="9" t="s">
        <v>35</v>
      </c>
      <c r="H772" s="7" t="s">
        <v>74</v>
      </c>
      <c r="I772" s="18">
        <v>15001002</v>
      </c>
      <c r="J772" s="10">
        <v>235000</v>
      </c>
      <c r="K772" s="7" t="s">
        <v>13</v>
      </c>
      <c r="L772" s="7" t="s">
        <v>54</v>
      </c>
      <c r="M772" s="34">
        <v>46091</v>
      </c>
      <c r="N772" s="7" t="s">
        <v>41</v>
      </c>
    </row>
    <row r="773" spans="1:15" x14ac:dyDescent="0.25">
      <c r="A773" s="41" t="s">
        <v>370</v>
      </c>
      <c r="B773" s="1">
        <v>2</v>
      </c>
      <c r="C773" s="8">
        <v>46092</v>
      </c>
      <c r="D773" s="1" t="s">
        <v>1161</v>
      </c>
      <c r="E773" s="7" t="s">
        <v>2</v>
      </c>
      <c r="F773" s="1" t="s">
        <v>25</v>
      </c>
      <c r="G773" s="9" t="s">
        <v>35</v>
      </c>
      <c r="H773" s="7">
        <v>664</v>
      </c>
      <c r="I773" s="18">
        <v>15001002</v>
      </c>
      <c r="J773" s="10">
        <v>4466</v>
      </c>
      <c r="K773" s="7" t="s">
        <v>12</v>
      </c>
      <c r="L773" s="7" t="s">
        <v>53</v>
      </c>
      <c r="M773" s="34">
        <v>46092</v>
      </c>
      <c r="N773" s="7" t="s">
        <v>774</v>
      </c>
    </row>
    <row r="774" spans="1:15" x14ac:dyDescent="0.25">
      <c r="A774" s="41" t="s">
        <v>448</v>
      </c>
      <c r="B774" s="1">
        <v>1</v>
      </c>
      <c r="C774" s="8">
        <v>46090</v>
      </c>
      <c r="D774" s="1" t="s">
        <v>1162</v>
      </c>
      <c r="E774" s="7" t="s">
        <v>2</v>
      </c>
      <c r="F774" s="1" t="s">
        <v>25</v>
      </c>
      <c r="G774" s="9" t="s">
        <v>35</v>
      </c>
      <c r="H774" s="7">
        <v>45580</v>
      </c>
      <c r="I774" s="18">
        <v>15001001</v>
      </c>
      <c r="J774" s="10">
        <v>10188</v>
      </c>
      <c r="K774" s="7" t="s">
        <v>12</v>
      </c>
      <c r="L774" s="7" t="s">
        <v>53</v>
      </c>
      <c r="M774" s="34">
        <v>46091</v>
      </c>
      <c r="N774" s="7" t="s">
        <v>774</v>
      </c>
    </row>
    <row r="775" spans="1:15" x14ac:dyDescent="0.25">
      <c r="A775" s="41" t="s">
        <v>371</v>
      </c>
      <c r="B775" s="1">
        <v>1</v>
      </c>
      <c r="C775" s="8">
        <v>46090</v>
      </c>
      <c r="D775" s="1" t="s">
        <v>1163</v>
      </c>
      <c r="E775" s="7" t="s">
        <v>2</v>
      </c>
      <c r="F775" s="1" t="s">
        <v>25</v>
      </c>
      <c r="G775" s="9" t="s">
        <v>35</v>
      </c>
      <c r="H775" s="7">
        <v>1027</v>
      </c>
      <c r="I775" s="18">
        <v>15001001</v>
      </c>
      <c r="J775" s="10">
        <v>84880.94</v>
      </c>
      <c r="K775" s="7" t="s">
        <v>12</v>
      </c>
      <c r="L775" s="7" t="s">
        <v>53</v>
      </c>
      <c r="M775" s="34">
        <v>46091</v>
      </c>
      <c r="N775" s="7" t="s">
        <v>91</v>
      </c>
    </row>
    <row r="776" spans="1:15" x14ac:dyDescent="0.25">
      <c r="A776" s="41" t="s">
        <v>210</v>
      </c>
      <c r="B776" s="1">
        <v>2</v>
      </c>
      <c r="C776" s="8">
        <v>46091</v>
      </c>
      <c r="D776" s="1" t="s">
        <v>1164</v>
      </c>
      <c r="E776" s="7" t="s">
        <v>2</v>
      </c>
      <c r="F776" s="1" t="s">
        <v>25</v>
      </c>
      <c r="G776" s="9" t="s">
        <v>35</v>
      </c>
      <c r="H776" s="7" t="s">
        <v>74</v>
      </c>
      <c r="I776" s="18">
        <v>15001001</v>
      </c>
      <c r="J776" s="10">
        <v>722.8</v>
      </c>
      <c r="K776" s="7" t="s">
        <v>12</v>
      </c>
      <c r="L776" s="7" t="s">
        <v>53</v>
      </c>
      <c r="M776" s="34">
        <v>46092</v>
      </c>
      <c r="N776" s="7" t="s">
        <v>92</v>
      </c>
    </row>
    <row r="777" spans="1:15" x14ac:dyDescent="0.25">
      <c r="A777" s="41" t="s">
        <v>183</v>
      </c>
      <c r="B777" s="1">
        <v>1</v>
      </c>
      <c r="C777" s="8">
        <v>46090</v>
      </c>
      <c r="D777" s="1" t="s">
        <v>1165</v>
      </c>
      <c r="E777" s="7" t="s">
        <v>2</v>
      </c>
      <c r="F777" s="1" t="s">
        <v>25</v>
      </c>
      <c r="G777" s="9" t="s">
        <v>35</v>
      </c>
      <c r="H777" s="7">
        <v>13620</v>
      </c>
      <c r="I777" s="18">
        <v>15001001</v>
      </c>
      <c r="J777" s="10">
        <v>17595.66</v>
      </c>
      <c r="K777" s="7" t="s">
        <v>12</v>
      </c>
      <c r="L777" s="7" t="s">
        <v>53</v>
      </c>
      <c r="M777" s="34">
        <v>46092</v>
      </c>
      <c r="N777" s="7" t="s">
        <v>774</v>
      </c>
    </row>
    <row r="778" spans="1:15" x14ac:dyDescent="0.25">
      <c r="A778" s="41" t="s">
        <v>364</v>
      </c>
      <c r="B778" s="1">
        <v>2</v>
      </c>
      <c r="C778" s="8">
        <v>46094</v>
      </c>
      <c r="D778" s="1" t="s">
        <v>1166</v>
      </c>
      <c r="E778" s="7" t="s">
        <v>2</v>
      </c>
      <c r="F778" s="1" t="s">
        <v>25</v>
      </c>
      <c r="G778" s="9" t="s">
        <v>35</v>
      </c>
      <c r="H778" s="7">
        <v>2534</v>
      </c>
      <c r="I778" s="18">
        <v>15001001</v>
      </c>
      <c r="J778" s="10">
        <v>44640</v>
      </c>
      <c r="K778" s="7" t="s">
        <v>12</v>
      </c>
      <c r="L778" s="7" t="s">
        <v>53</v>
      </c>
      <c r="M778" s="34">
        <v>46097</v>
      </c>
      <c r="N778" s="7" t="s">
        <v>91</v>
      </c>
    </row>
    <row r="779" spans="1:15" x14ac:dyDescent="0.25">
      <c r="A779" s="41" t="s">
        <v>364</v>
      </c>
      <c r="B779" s="1">
        <v>2</v>
      </c>
      <c r="C779" s="8">
        <v>46094</v>
      </c>
      <c r="D779" s="1" t="s">
        <v>1167</v>
      </c>
      <c r="E779" s="7" t="s">
        <v>2</v>
      </c>
      <c r="F779" s="1" t="s">
        <v>25</v>
      </c>
      <c r="G779" s="9" t="s">
        <v>35</v>
      </c>
      <c r="H779" s="7">
        <v>2535</v>
      </c>
      <c r="I779" s="18">
        <v>15000000</v>
      </c>
      <c r="J779" s="10">
        <v>27360</v>
      </c>
      <c r="K779" s="7" t="s">
        <v>12</v>
      </c>
      <c r="L779" s="7" t="s">
        <v>53</v>
      </c>
      <c r="M779" s="34">
        <v>46097</v>
      </c>
      <c r="N779" s="7" t="s">
        <v>91</v>
      </c>
    </row>
    <row r="780" spans="1:15" x14ac:dyDescent="0.25">
      <c r="A780" s="41" t="s">
        <v>1169</v>
      </c>
      <c r="B780" s="1">
        <v>1</v>
      </c>
      <c r="C780" s="8">
        <v>46090</v>
      </c>
      <c r="D780" s="1" t="s">
        <v>1168</v>
      </c>
      <c r="E780" s="7" t="s">
        <v>2</v>
      </c>
      <c r="F780" s="1" t="s">
        <v>25</v>
      </c>
      <c r="G780" s="9" t="s">
        <v>36</v>
      </c>
      <c r="H780" s="7" t="s">
        <v>74</v>
      </c>
      <c r="I780" s="18" t="s">
        <v>0</v>
      </c>
      <c r="J780" s="10" t="s">
        <v>61</v>
      </c>
      <c r="K780" s="7" t="s">
        <v>22</v>
      </c>
      <c r="L780" s="7" t="s">
        <v>55</v>
      </c>
      <c r="M780" s="34">
        <v>46092</v>
      </c>
      <c r="N780" s="7" t="s">
        <v>46</v>
      </c>
    </row>
    <row r="781" spans="1:15" x14ac:dyDescent="0.25">
      <c r="A781" s="41" t="s">
        <v>1170</v>
      </c>
      <c r="B781" s="1">
        <v>1</v>
      </c>
      <c r="C781" s="8">
        <v>46090</v>
      </c>
      <c r="D781" s="1" t="s">
        <v>1171</v>
      </c>
      <c r="E781" s="7" t="s">
        <v>12</v>
      </c>
      <c r="F781" s="1" t="s">
        <v>25</v>
      </c>
      <c r="G781" s="9" t="s">
        <v>63</v>
      </c>
      <c r="H781" s="7" t="s">
        <v>74</v>
      </c>
      <c r="I781" s="18" t="s">
        <v>0</v>
      </c>
      <c r="J781" s="10" t="s">
        <v>61</v>
      </c>
      <c r="K781" s="7" t="s">
        <v>17</v>
      </c>
      <c r="L781" s="7" t="s">
        <v>55</v>
      </c>
      <c r="M781" s="34">
        <v>46112</v>
      </c>
      <c r="N781" s="7" t="s">
        <v>45</v>
      </c>
    </row>
    <row r="782" spans="1:15" x14ac:dyDescent="0.25">
      <c r="A782" s="41" t="s">
        <v>1173</v>
      </c>
      <c r="B782" s="1">
        <v>2</v>
      </c>
      <c r="C782" s="8">
        <v>46108</v>
      </c>
      <c r="D782" s="1" t="s">
        <v>1172</v>
      </c>
      <c r="E782" s="7" t="s">
        <v>12</v>
      </c>
      <c r="F782" s="1" t="s">
        <v>25</v>
      </c>
      <c r="G782" s="9" t="s">
        <v>63</v>
      </c>
      <c r="H782" s="7" t="s">
        <v>74</v>
      </c>
      <c r="I782" s="18" t="s">
        <v>0</v>
      </c>
      <c r="J782" s="10" t="s">
        <v>61</v>
      </c>
      <c r="K782" s="7" t="s">
        <v>17</v>
      </c>
      <c r="L782" s="7" t="s">
        <v>55</v>
      </c>
      <c r="M782" s="34">
        <v>46140</v>
      </c>
      <c r="N782" s="7" t="s">
        <v>45</v>
      </c>
    </row>
    <row r="783" spans="1:15" x14ac:dyDescent="0.25">
      <c r="A783" s="41" t="s">
        <v>815</v>
      </c>
      <c r="B783" s="1">
        <v>2</v>
      </c>
      <c r="C783" s="8">
        <v>46098</v>
      </c>
      <c r="D783" s="1" t="s">
        <v>1175</v>
      </c>
      <c r="E783" s="7" t="s">
        <v>13</v>
      </c>
      <c r="F783" s="1" t="s">
        <v>25</v>
      </c>
      <c r="G783" s="9" t="s">
        <v>35</v>
      </c>
      <c r="H783" s="7">
        <v>1410</v>
      </c>
      <c r="I783" s="18">
        <v>15001002</v>
      </c>
      <c r="J783" s="10">
        <v>231.2</v>
      </c>
      <c r="K783" s="7" t="s">
        <v>13</v>
      </c>
      <c r="L783" s="7" t="s">
        <v>54</v>
      </c>
      <c r="M783" s="34">
        <v>46099</v>
      </c>
      <c r="N783" s="7" t="s">
        <v>41</v>
      </c>
      <c r="O783" s="7" t="s">
        <v>1174</v>
      </c>
    </row>
    <row r="784" spans="1:15" x14ac:dyDescent="0.25">
      <c r="A784" s="41" t="s">
        <v>1550</v>
      </c>
      <c r="B784" s="1">
        <v>2</v>
      </c>
      <c r="C784" s="8">
        <v>46127</v>
      </c>
      <c r="D784" s="1" t="s">
        <v>1551</v>
      </c>
      <c r="E784" s="7" t="s">
        <v>13</v>
      </c>
      <c r="F784" s="1" t="s">
        <v>25</v>
      </c>
      <c r="G784" s="9" t="s">
        <v>35</v>
      </c>
      <c r="H784" s="7" t="s">
        <v>581</v>
      </c>
      <c r="I784" s="18">
        <v>16000000</v>
      </c>
      <c r="J784" s="10">
        <v>23439.42</v>
      </c>
      <c r="K784" s="7" t="s">
        <v>13</v>
      </c>
      <c r="L784" s="7" t="s">
        <v>54</v>
      </c>
      <c r="M784" s="34">
        <v>46127</v>
      </c>
      <c r="N784" s="7" t="s">
        <v>41</v>
      </c>
    </row>
    <row r="785" spans="1:15" x14ac:dyDescent="0.25">
      <c r="A785" s="41" t="s">
        <v>252</v>
      </c>
      <c r="B785" s="1">
        <v>2</v>
      </c>
      <c r="C785" s="8">
        <v>46100</v>
      </c>
      <c r="D785" s="1" t="s">
        <v>1391</v>
      </c>
      <c r="E785" s="7" t="s">
        <v>13</v>
      </c>
      <c r="F785" s="1" t="s">
        <v>25</v>
      </c>
      <c r="G785" s="9" t="s">
        <v>35</v>
      </c>
      <c r="H785" s="7">
        <v>1841</v>
      </c>
      <c r="I785" s="18">
        <v>16000000</v>
      </c>
      <c r="J785" s="10">
        <v>5030</v>
      </c>
      <c r="K785" s="7" t="s">
        <v>13</v>
      </c>
      <c r="L785" s="7" t="s">
        <v>54</v>
      </c>
      <c r="M785" s="34">
        <v>46100</v>
      </c>
      <c r="N785" s="7" t="s">
        <v>774</v>
      </c>
      <c r="O785" s="7" t="s">
        <v>1392</v>
      </c>
    </row>
    <row r="786" spans="1:15" x14ac:dyDescent="0.25">
      <c r="A786" s="41" t="s">
        <v>183</v>
      </c>
      <c r="B786" s="1">
        <v>1</v>
      </c>
      <c r="C786" s="8">
        <v>46090</v>
      </c>
      <c r="D786" s="1" t="s">
        <v>1176</v>
      </c>
      <c r="E786" s="7" t="s">
        <v>13</v>
      </c>
      <c r="F786" s="1" t="s">
        <v>25</v>
      </c>
      <c r="G786" s="9" t="s">
        <v>35</v>
      </c>
      <c r="H786" s="7">
        <v>13533</v>
      </c>
      <c r="I786" s="18">
        <v>15001002</v>
      </c>
      <c r="J786" s="10">
        <v>8797.83</v>
      </c>
      <c r="K786" s="7" t="s">
        <v>13</v>
      </c>
      <c r="L786" s="7" t="s">
        <v>54</v>
      </c>
      <c r="M786" s="34">
        <v>46093</v>
      </c>
      <c r="N786" s="7" t="s">
        <v>774</v>
      </c>
    </row>
    <row r="787" spans="1:15" x14ac:dyDescent="0.25">
      <c r="A787" s="41" t="s">
        <v>183</v>
      </c>
      <c r="B787" s="1">
        <v>1</v>
      </c>
      <c r="C787" s="8">
        <v>46090</v>
      </c>
      <c r="D787" s="1" t="s">
        <v>1177</v>
      </c>
      <c r="E787" s="7" t="s">
        <v>13</v>
      </c>
      <c r="F787" s="1" t="s">
        <v>25</v>
      </c>
      <c r="G787" s="9" t="s">
        <v>35</v>
      </c>
      <c r="H787" s="7">
        <v>13621</v>
      </c>
      <c r="I787" s="18">
        <v>15001002</v>
      </c>
      <c r="J787" s="10">
        <v>8797.83</v>
      </c>
      <c r="K787" s="7" t="s">
        <v>13</v>
      </c>
      <c r="L787" s="7" t="s">
        <v>54</v>
      </c>
      <c r="M787" s="34">
        <v>46093</v>
      </c>
      <c r="N787" s="7" t="s">
        <v>774</v>
      </c>
    </row>
    <row r="788" spans="1:15" x14ac:dyDescent="0.25">
      <c r="A788" s="41" t="s">
        <v>252</v>
      </c>
      <c r="B788" s="1">
        <v>2</v>
      </c>
      <c r="C788" s="8">
        <v>46098</v>
      </c>
      <c r="D788" s="42" t="s">
        <v>1354</v>
      </c>
      <c r="E788" s="7" t="s">
        <v>13</v>
      </c>
      <c r="F788" s="1" t="s">
        <v>25</v>
      </c>
      <c r="G788" s="9" t="s">
        <v>35</v>
      </c>
      <c r="H788" s="7">
        <v>1841</v>
      </c>
      <c r="I788" s="18">
        <v>15001002</v>
      </c>
      <c r="J788" s="10">
        <v>51937</v>
      </c>
      <c r="K788" s="7" t="s">
        <v>13</v>
      </c>
      <c r="L788" s="7" t="s">
        <v>54</v>
      </c>
      <c r="M788" s="34">
        <v>46099</v>
      </c>
      <c r="N788" s="7" t="s">
        <v>774</v>
      </c>
    </row>
    <row r="789" spans="1:15" x14ac:dyDescent="0.25">
      <c r="A789" s="41" t="s">
        <v>225</v>
      </c>
      <c r="B789" s="1">
        <v>1</v>
      </c>
      <c r="C789" s="8">
        <v>46090</v>
      </c>
      <c r="D789" s="1" t="s">
        <v>1178</v>
      </c>
      <c r="E789" s="7" t="s">
        <v>13</v>
      </c>
      <c r="F789" s="1" t="s">
        <v>25</v>
      </c>
      <c r="G789" s="9" t="s">
        <v>35</v>
      </c>
      <c r="H789" s="7">
        <v>6984</v>
      </c>
      <c r="I789" s="18">
        <v>15001002</v>
      </c>
      <c r="J789" s="10">
        <v>1178.76</v>
      </c>
      <c r="K789" s="7" t="s">
        <v>13</v>
      </c>
      <c r="L789" s="7" t="s">
        <v>54</v>
      </c>
      <c r="M789" s="34">
        <v>46093</v>
      </c>
      <c r="N789" s="7" t="s">
        <v>774</v>
      </c>
    </row>
    <row r="790" spans="1:15" x14ac:dyDescent="0.25">
      <c r="A790" s="41" t="s">
        <v>225</v>
      </c>
      <c r="B790" s="1">
        <v>1</v>
      </c>
      <c r="C790" s="8">
        <v>46090</v>
      </c>
      <c r="D790" s="1" t="s">
        <v>1179</v>
      </c>
      <c r="E790" s="7" t="s">
        <v>13</v>
      </c>
      <c r="F790" s="1" t="s">
        <v>25</v>
      </c>
      <c r="G790" s="9" t="s">
        <v>35</v>
      </c>
      <c r="H790" s="7">
        <v>6982</v>
      </c>
      <c r="I790" s="18">
        <v>16003110</v>
      </c>
      <c r="J790" s="10">
        <v>79817.72</v>
      </c>
      <c r="K790" s="7" t="s">
        <v>13</v>
      </c>
      <c r="L790" s="7" t="s">
        <v>54</v>
      </c>
      <c r="M790" s="34">
        <v>46093</v>
      </c>
      <c r="N790" s="7" t="s">
        <v>774</v>
      </c>
    </row>
    <row r="791" spans="1:15" x14ac:dyDescent="0.25">
      <c r="A791" s="41" t="s">
        <v>1181</v>
      </c>
      <c r="B791" s="1">
        <v>1</v>
      </c>
      <c r="C791" s="8">
        <v>46090</v>
      </c>
      <c r="D791" s="1" t="s">
        <v>1180</v>
      </c>
      <c r="E791" s="7" t="s">
        <v>20</v>
      </c>
      <c r="F791" s="1" t="s">
        <v>25</v>
      </c>
      <c r="G791" s="9" t="s">
        <v>35</v>
      </c>
      <c r="H791" s="7">
        <v>169</v>
      </c>
      <c r="I791" s="18">
        <v>15000000</v>
      </c>
      <c r="J791" s="10">
        <v>20277.759999999998</v>
      </c>
      <c r="K791" s="7" t="s">
        <v>12</v>
      </c>
      <c r="L791" s="7" t="s">
        <v>53</v>
      </c>
      <c r="M791" s="34">
        <v>46092</v>
      </c>
      <c r="N791" s="7" t="s">
        <v>41</v>
      </c>
    </row>
    <row r="792" spans="1:15" x14ac:dyDescent="0.25">
      <c r="A792" s="41" t="s">
        <v>220</v>
      </c>
      <c r="B792" s="1">
        <v>1</v>
      </c>
      <c r="C792" s="8">
        <v>46091</v>
      </c>
      <c r="D792" s="1" t="s">
        <v>1182</v>
      </c>
      <c r="E792" s="7" t="s">
        <v>11</v>
      </c>
      <c r="F792" s="1" t="s">
        <v>25</v>
      </c>
      <c r="G792" s="9" t="s">
        <v>35</v>
      </c>
      <c r="H792" s="7">
        <v>2262</v>
      </c>
      <c r="I792" s="18">
        <v>15000000</v>
      </c>
      <c r="J792" s="10">
        <v>3382.8</v>
      </c>
      <c r="K792" s="7" t="s">
        <v>12</v>
      </c>
      <c r="L792" s="7" t="s">
        <v>53</v>
      </c>
      <c r="M792" s="34">
        <v>46098</v>
      </c>
      <c r="N792" s="7" t="s">
        <v>41</v>
      </c>
    </row>
    <row r="793" spans="1:15" x14ac:dyDescent="0.25">
      <c r="A793" s="41" t="s">
        <v>220</v>
      </c>
      <c r="B793" s="1">
        <v>1</v>
      </c>
      <c r="C793" s="8">
        <v>46091</v>
      </c>
      <c r="D793" s="1" t="s">
        <v>1183</v>
      </c>
      <c r="E793" s="7" t="s">
        <v>11</v>
      </c>
      <c r="F793" s="1" t="s">
        <v>25</v>
      </c>
      <c r="G793" s="9" t="s">
        <v>35</v>
      </c>
      <c r="H793" s="7">
        <v>2264</v>
      </c>
      <c r="I793" s="18">
        <v>15000000</v>
      </c>
      <c r="J793" s="10">
        <v>12762</v>
      </c>
      <c r="K793" s="7" t="s">
        <v>12</v>
      </c>
      <c r="L793" s="7" t="s">
        <v>53</v>
      </c>
      <c r="M793" s="34">
        <v>46098</v>
      </c>
      <c r="N793" s="7" t="s">
        <v>41</v>
      </c>
    </row>
    <row r="794" spans="1:15" x14ac:dyDescent="0.25">
      <c r="A794" s="41" t="s">
        <v>220</v>
      </c>
      <c r="B794" s="1">
        <v>1</v>
      </c>
      <c r="C794" s="8">
        <v>46091</v>
      </c>
      <c r="D794" s="1" t="s">
        <v>1184</v>
      </c>
      <c r="E794" s="7" t="s">
        <v>11</v>
      </c>
      <c r="F794" s="1" t="s">
        <v>25</v>
      </c>
      <c r="G794" s="9" t="s">
        <v>35</v>
      </c>
      <c r="H794" s="7">
        <v>2265</v>
      </c>
      <c r="I794" s="18">
        <v>15000000</v>
      </c>
      <c r="J794" s="10">
        <v>4623.5200000000004</v>
      </c>
      <c r="K794" s="7" t="s">
        <v>12</v>
      </c>
      <c r="L794" s="7" t="s">
        <v>53</v>
      </c>
      <c r="M794" s="34">
        <v>46098</v>
      </c>
      <c r="N794" s="7" t="s">
        <v>41</v>
      </c>
    </row>
    <row r="795" spans="1:15" x14ac:dyDescent="0.25">
      <c r="A795" s="41" t="s">
        <v>220</v>
      </c>
      <c r="B795" s="1">
        <v>1</v>
      </c>
      <c r="C795" s="8">
        <v>46091</v>
      </c>
      <c r="D795" s="1" t="s">
        <v>1185</v>
      </c>
      <c r="E795" s="7" t="s">
        <v>11</v>
      </c>
      <c r="F795" s="1" t="s">
        <v>25</v>
      </c>
      <c r="G795" s="9" t="s">
        <v>35</v>
      </c>
      <c r="H795" s="7">
        <v>2269</v>
      </c>
      <c r="I795" s="18">
        <v>15000000</v>
      </c>
      <c r="J795" s="10">
        <v>1980</v>
      </c>
      <c r="K795" s="7" t="s">
        <v>12</v>
      </c>
      <c r="L795" s="7" t="s">
        <v>53</v>
      </c>
      <c r="M795" s="34">
        <v>46098</v>
      </c>
      <c r="N795" s="7" t="s">
        <v>41</v>
      </c>
    </row>
    <row r="796" spans="1:15" x14ac:dyDescent="0.25">
      <c r="A796" s="41" t="s">
        <v>220</v>
      </c>
      <c r="B796" s="1">
        <v>1</v>
      </c>
      <c r="C796" s="8">
        <v>46091</v>
      </c>
      <c r="D796" s="1" t="s">
        <v>1186</v>
      </c>
      <c r="E796" s="7" t="s">
        <v>11</v>
      </c>
      <c r="F796" s="1" t="s">
        <v>25</v>
      </c>
      <c r="G796" s="9" t="s">
        <v>35</v>
      </c>
      <c r="H796" s="7">
        <v>2271</v>
      </c>
      <c r="I796" s="18">
        <v>15000000</v>
      </c>
      <c r="J796" s="10">
        <v>1980</v>
      </c>
      <c r="K796" s="7" t="s">
        <v>12</v>
      </c>
      <c r="L796" s="7" t="s">
        <v>53</v>
      </c>
      <c r="M796" s="34">
        <v>46098</v>
      </c>
      <c r="N796" s="7" t="s">
        <v>41</v>
      </c>
    </row>
    <row r="797" spans="1:15" x14ac:dyDescent="0.25">
      <c r="A797" s="41" t="s">
        <v>1188</v>
      </c>
      <c r="B797" s="1">
        <v>1</v>
      </c>
      <c r="C797" s="8">
        <v>46091</v>
      </c>
      <c r="D797" s="1" t="s">
        <v>1187</v>
      </c>
      <c r="E797" s="7" t="s">
        <v>13</v>
      </c>
      <c r="F797" s="1" t="s">
        <v>25</v>
      </c>
      <c r="G797" s="9" t="s">
        <v>35</v>
      </c>
      <c r="H797" s="7">
        <v>36102</v>
      </c>
      <c r="I797" s="18">
        <v>15001002</v>
      </c>
      <c r="J797" s="10">
        <v>23640</v>
      </c>
      <c r="K797" s="7" t="s">
        <v>13</v>
      </c>
      <c r="L797" s="7" t="s">
        <v>54</v>
      </c>
      <c r="M797" s="34">
        <v>46094</v>
      </c>
      <c r="N797" s="7" t="s">
        <v>41</v>
      </c>
    </row>
    <row r="798" spans="1:15" x14ac:dyDescent="0.25">
      <c r="A798" s="41" t="s">
        <v>252</v>
      </c>
      <c r="B798" s="1">
        <v>2</v>
      </c>
      <c r="C798" s="8">
        <v>46098</v>
      </c>
      <c r="D798" s="1" t="s">
        <v>1189</v>
      </c>
      <c r="E798" s="7" t="s">
        <v>13</v>
      </c>
      <c r="F798" s="1" t="s">
        <v>25</v>
      </c>
      <c r="G798" s="9" t="s">
        <v>35</v>
      </c>
      <c r="H798" s="7">
        <v>1842</v>
      </c>
      <c r="I798" s="18">
        <v>16000000</v>
      </c>
      <c r="J798" s="10">
        <v>1110</v>
      </c>
      <c r="K798" s="7" t="s">
        <v>13</v>
      </c>
      <c r="L798" s="7" t="s">
        <v>54</v>
      </c>
      <c r="M798" s="34">
        <v>46099</v>
      </c>
      <c r="N798" s="7" t="s">
        <v>774</v>
      </c>
    </row>
    <row r="799" spans="1:15" x14ac:dyDescent="0.25">
      <c r="A799" s="41" t="s">
        <v>252</v>
      </c>
      <c r="B799" s="1">
        <v>2</v>
      </c>
      <c r="C799" s="8">
        <v>46098</v>
      </c>
      <c r="D799" s="1" t="s">
        <v>1190</v>
      </c>
      <c r="E799" s="7" t="s">
        <v>13</v>
      </c>
      <c r="F799" s="1" t="s">
        <v>25</v>
      </c>
      <c r="G799" s="9" t="s">
        <v>35</v>
      </c>
      <c r="H799" s="7">
        <v>1842</v>
      </c>
      <c r="I799" s="18">
        <v>15001002</v>
      </c>
      <c r="J799" s="10">
        <v>10610</v>
      </c>
      <c r="K799" s="7" t="s">
        <v>13</v>
      </c>
      <c r="L799" s="7" t="s">
        <v>54</v>
      </c>
      <c r="M799" s="34">
        <v>46099</v>
      </c>
      <c r="N799" s="7" t="s">
        <v>774</v>
      </c>
    </row>
    <row r="800" spans="1:15" x14ac:dyDescent="0.25">
      <c r="A800" s="41" t="s">
        <v>629</v>
      </c>
      <c r="B800" s="1">
        <v>1</v>
      </c>
      <c r="C800" s="8">
        <v>46091</v>
      </c>
      <c r="D800" s="1" t="s">
        <v>1191</v>
      </c>
      <c r="E800" s="7" t="s">
        <v>2</v>
      </c>
      <c r="F800" s="1" t="s">
        <v>25</v>
      </c>
      <c r="G800" s="9" t="s">
        <v>35</v>
      </c>
      <c r="H800" s="7">
        <v>75</v>
      </c>
      <c r="I800" s="18">
        <v>15500000</v>
      </c>
      <c r="J800" s="10">
        <v>122128.85</v>
      </c>
      <c r="K800" s="7" t="s">
        <v>12</v>
      </c>
      <c r="L800" s="7" t="s">
        <v>53</v>
      </c>
      <c r="M800" s="34">
        <v>46093</v>
      </c>
      <c r="N800" s="7" t="s">
        <v>41</v>
      </c>
    </row>
    <row r="801" spans="1:15" x14ac:dyDescent="0.25">
      <c r="A801" s="41" t="s">
        <v>590</v>
      </c>
      <c r="B801" s="1">
        <v>1</v>
      </c>
      <c r="C801" s="8">
        <v>46091</v>
      </c>
      <c r="D801" s="1" t="s">
        <v>1192</v>
      </c>
      <c r="E801" s="7" t="s">
        <v>14</v>
      </c>
      <c r="F801" s="1" t="s">
        <v>25</v>
      </c>
      <c r="G801" s="9" t="s">
        <v>35</v>
      </c>
      <c r="H801" s="7" t="s">
        <v>74</v>
      </c>
      <c r="I801" s="18">
        <v>15000000</v>
      </c>
      <c r="J801" s="10">
        <v>179.52</v>
      </c>
      <c r="K801" s="7" t="s">
        <v>12</v>
      </c>
      <c r="L801" s="7" t="s">
        <v>53</v>
      </c>
      <c r="M801" s="34">
        <v>46091</v>
      </c>
      <c r="N801" s="7" t="s">
        <v>41</v>
      </c>
    </row>
    <row r="802" spans="1:15" x14ac:dyDescent="0.25">
      <c r="A802" s="41" t="s">
        <v>1194</v>
      </c>
      <c r="B802" s="1">
        <v>1</v>
      </c>
      <c r="C802" s="8">
        <v>46091</v>
      </c>
      <c r="D802" s="1" t="s">
        <v>1193</v>
      </c>
      <c r="E802" s="7" t="s">
        <v>83</v>
      </c>
      <c r="F802" s="1" t="s">
        <v>25</v>
      </c>
      <c r="G802" s="9" t="s">
        <v>35</v>
      </c>
      <c r="H802" s="7" t="s">
        <v>74</v>
      </c>
      <c r="I802" s="18">
        <v>15000000</v>
      </c>
      <c r="J802" s="10">
        <v>121539.25</v>
      </c>
      <c r="K802" s="7" t="s">
        <v>12</v>
      </c>
      <c r="L802" s="7" t="s">
        <v>53</v>
      </c>
      <c r="M802" s="34">
        <v>46092</v>
      </c>
      <c r="N802" s="7" t="s">
        <v>41</v>
      </c>
    </row>
    <row r="803" spans="1:15" x14ac:dyDescent="0.25">
      <c r="A803" s="41" t="s">
        <v>687</v>
      </c>
      <c r="B803" s="1">
        <v>2</v>
      </c>
      <c r="C803" s="8">
        <v>46094</v>
      </c>
      <c r="D803" s="1" t="s">
        <v>1195</v>
      </c>
      <c r="E803" s="7" t="s">
        <v>13</v>
      </c>
      <c r="F803" s="1" t="s">
        <v>25</v>
      </c>
      <c r="G803" s="9" t="s">
        <v>35</v>
      </c>
      <c r="H803" s="7">
        <v>4775</v>
      </c>
      <c r="I803" s="18">
        <v>15001002</v>
      </c>
      <c r="J803" s="10">
        <v>7080</v>
      </c>
      <c r="K803" s="7" t="s">
        <v>13</v>
      </c>
      <c r="L803" s="7" t="s">
        <v>54</v>
      </c>
      <c r="M803" s="34">
        <v>46094</v>
      </c>
      <c r="N803" s="7" t="s">
        <v>41</v>
      </c>
    </row>
    <row r="804" spans="1:15" x14ac:dyDescent="0.25">
      <c r="A804" s="41" t="s">
        <v>412</v>
      </c>
      <c r="B804" s="1">
        <v>1</v>
      </c>
      <c r="C804" s="8">
        <v>46091</v>
      </c>
      <c r="D804" s="1" t="s">
        <v>1197</v>
      </c>
      <c r="E804" s="7" t="s">
        <v>2</v>
      </c>
      <c r="F804" s="1" t="s">
        <v>25</v>
      </c>
      <c r="G804" s="9" t="s">
        <v>35</v>
      </c>
      <c r="H804" s="7">
        <v>1633</v>
      </c>
      <c r="I804" s="18" t="s">
        <v>1196</v>
      </c>
      <c r="J804" s="10">
        <v>3424</v>
      </c>
      <c r="K804" s="7" t="s">
        <v>12</v>
      </c>
      <c r="L804" s="7" t="s">
        <v>53</v>
      </c>
      <c r="M804" s="34">
        <v>46093</v>
      </c>
      <c r="N804" s="7" t="s">
        <v>41</v>
      </c>
    </row>
    <row r="805" spans="1:15" x14ac:dyDescent="0.25">
      <c r="A805" s="41" t="s">
        <v>483</v>
      </c>
      <c r="B805" s="1">
        <v>2</v>
      </c>
      <c r="C805" s="8">
        <v>46107</v>
      </c>
      <c r="D805" s="1" t="s">
        <v>1199</v>
      </c>
      <c r="E805" s="7" t="s">
        <v>13</v>
      </c>
      <c r="F805" s="1" t="s">
        <v>25</v>
      </c>
      <c r="G805" s="9" t="s">
        <v>35</v>
      </c>
      <c r="H805" s="7" t="s">
        <v>74</v>
      </c>
      <c r="I805" s="18">
        <v>15001002</v>
      </c>
      <c r="J805" s="10">
        <v>1546.02</v>
      </c>
      <c r="K805" s="7" t="s">
        <v>13</v>
      </c>
      <c r="L805" s="7" t="s">
        <v>54</v>
      </c>
      <c r="M805" s="34">
        <v>46111</v>
      </c>
      <c r="N805" s="7" t="s">
        <v>41</v>
      </c>
    </row>
    <row r="806" spans="1:15" x14ac:dyDescent="0.25">
      <c r="A806" s="41" t="s">
        <v>183</v>
      </c>
      <c r="B806" s="1">
        <v>1</v>
      </c>
      <c r="C806" s="8">
        <v>46091</v>
      </c>
      <c r="D806" s="1" t="s">
        <v>1200</v>
      </c>
      <c r="E806" s="7" t="s">
        <v>12</v>
      </c>
      <c r="F806" s="1" t="s">
        <v>25</v>
      </c>
      <c r="G806" s="9" t="s">
        <v>35</v>
      </c>
      <c r="H806" s="7">
        <v>13531</v>
      </c>
      <c r="I806" s="18">
        <v>15000000</v>
      </c>
      <c r="J806" s="10">
        <v>26950.28</v>
      </c>
      <c r="K806" s="7" t="s">
        <v>12</v>
      </c>
      <c r="L806" s="7" t="s">
        <v>53</v>
      </c>
      <c r="M806" s="34">
        <v>46097</v>
      </c>
      <c r="N806" s="7" t="s">
        <v>774</v>
      </c>
    </row>
    <row r="807" spans="1:15" s="67" customFormat="1" x14ac:dyDescent="0.25">
      <c r="A807" s="79" t="s">
        <v>183</v>
      </c>
      <c r="B807" s="66">
        <v>1</v>
      </c>
      <c r="C807" s="68">
        <v>46091</v>
      </c>
      <c r="D807" s="66" t="s">
        <v>1201</v>
      </c>
      <c r="E807" s="67" t="s">
        <v>12</v>
      </c>
      <c r="F807" s="66" t="s">
        <v>25</v>
      </c>
      <c r="G807" s="69" t="s">
        <v>35</v>
      </c>
      <c r="H807" s="67">
        <v>13619</v>
      </c>
      <c r="I807" s="70">
        <v>15000000</v>
      </c>
      <c r="J807" s="71">
        <v>29950.28</v>
      </c>
      <c r="K807" s="67" t="s">
        <v>12</v>
      </c>
      <c r="L807" s="67" t="s">
        <v>53</v>
      </c>
      <c r="M807" s="72">
        <v>46097</v>
      </c>
      <c r="N807" s="67" t="s">
        <v>774</v>
      </c>
      <c r="O807" s="67" t="s">
        <v>1353</v>
      </c>
    </row>
    <row r="808" spans="1:15" x14ac:dyDescent="0.25">
      <c r="A808" s="41" t="s">
        <v>319</v>
      </c>
      <c r="B808" s="1">
        <v>1</v>
      </c>
      <c r="C808" s="8">
        <v>46091</v>
      </c>
      <c r="D808" s="1" t="s">
        <v>1202</v>
      </c>
      <c r="E808" s="7" t="s">
        <v>13</v>
      </c>
      <c r="F808" s="1" t="s">
        <v>25</v>
      </c>
      <c r="G808" s="9" t="s">
        <v>35</v>
      </c>
      <c r="H808" s="7">
        <v>191</v>
      </c>
      <c r="I808" s="18">
        <v>16000000</v>
      </c>
      <c r="J808" s="10">
        <v>4475.97</v>
      </c>
      <c r="K808" s="7" t="s">
        <v>13</v>
      </c>
      <c r="L808" s="7" t="s">
        <v>54</v>
      </c>
      <c r="M808" s="34">
        <v>46098</v>
      </c>
      <c r="N808" s="7" t="s">
        <v>52</v>
      </c>
    </row>
    <row r="809" spans="1:15" x14ac:dyDescent="0.25">
      <c r="A809" s="41" t="s">
        <v>201</v>
      </c>
      <c r="B809" s="1">
        <v>2</v>
      </c>
      <c r="C809" s="8">
        <v>46094</v>
      </c>
      <c r="D809" s="1" t="s">
        <v>1203</v>
      </c>
      <c r="E809" s="7" t="s">
        <v>13</v>
      </c>
      <c r="F809" s="1" t="s">
        <v>25</v>
      </c>
      <c r="G809" s="9" t="s">
        <v>35</v>
      </c>
      <c r="H809" s="7">
        <v>89</v>
      </c>
      <c r="I809" s="18">
        <v>16000000</v>
      </c>
      <c r="J809" s="10">
        <v>3718.18</v>
      </c>
      <c r="K809" s="7" t="s">
        <v>13</v>
      </c>
      <c r="L809" s="7" t="s">
        <v>54</v>
      </c>
      <c r="M809" s="34">
        <v>46094</v>
      </c>
      <c r="N809" s="7" t="s">
        <v>774</v>
      </c>
    </row>
    <row r="810" spans="1:15" x14ac:dyDescent="0.25">
      <c r="A810" s="41" t="s">
        <v>200</v>
      </c>
      <c r="B810" s="1">
        <v>2</v>
      </c>
      <c r="C810" s="8">
        <v>46094</v>
      </c>
      <c r="D810" s="1" t="s">
        <v>1204</v>
      </c>
      <c r="E810" s="7" t="s">
        <v>13</v>
      </c>
      <c r="F810" s="1" t="s">
        <v>25</v>
      </c>
      <c r="G810" s="9" t="s">
        <v>35</v>
      </c>
      <c r="H810" s="7">
        <v>908</v>
      </c>
      <c r="I810" s="18">
        <v>16000000</v>
      </c>
      <c r="J810" s="10">
        <v>3143.12</v>
      </c>
      <c r="K810" s="7" t="s">
        <v>13</v>
      </c>
      <c r="L810" s="7" t="s">
        <v>54</v>
      </c>
      <c r="M810" s="34">
        <v>46094</v>
      </c>
      <c r="N810" s="7" t="s">
        <v>774</v>
      </c>
    </row>
    <row r="811" spans="1:15" x14ac:dyDescent="0.25">
      <c r="A811" s="41" t="s">
        <v>1206</v>
      </c>
      <c r="B811" s="1">
        <v>1</v>
      </c>
      <c r="C811" s="8">
        <v>46097</v>
      </c>
      <c r="D811" s="1" t="s">
        <v>1292</v>
      </c>
      <c r="E811" s="7" t="s">
        <v>11</v>
      </c>
      <c r="F811" s="1" t="s">
        <v>25</v>
      </c>
      <c r="G811" s="9" t="s">
        <v>35</v>
      </c>
      <c r="H811" s="7">
        <v>156</v>
      </c>
      <c r="I811" s="18">
        <v>15000000</v>
      </c>
      <c r="J811" s="10">
        <v>55737</v>
      </c>
      <c r="K811" s="7" t="s">
        <v>12</v>
      </c>
      <c r="L811" s="7" t="s">
        <v>53</v>
      </c>
      <c r="M811" s="34">
        <v>46097</v>
      </c>
      <c r="N811" s="7" t="s">
        <v>41</v>
      </c>
    </row>
    <row r="812" spans="1:15" x14ac:dyDescent="0.25">
      <c r="A812" s="41" t="s">
        <v>1206</v>
      </c>
      <c r="B812" s="1">
        <v>3</v>
      </c>
      <c r="C812" s="8">
        <v>46097</v>
      </c>
      <c r="D812" s="1" t="s">
        <v>1205</v>
      </c>
      <c r="E812" s="7" t="s">
        <v>11</v>
      </c>
      <c r="F812" s="1" t="s">
        <v>25</v>
      </c>
      <c r="G812" s="9" t="s">
        <v>35</v>
      </c>
      <c r="H812" s="7">
        <v>157</v>
      </c>
      <c r="I812" s="18">
        <v>15000000</v>
      </c>
      <c r="J812" s="10">
        <v>15000</v>
      </c>
      <c r="K812" s="7" t="s">
        <v>12</v>
      </c>
      <c r="L812" s="7" t="s">
        <v>53</v>
      </c>
      <c r="M812" s="34">
        <v>46140</v>
      </c>
      <c r="N812" s="7" t="s">
        <v>45</v>
      </c>
    </row>
    <row r="813" spans="1:15" x14ac:dyDescent="0.25">
      <c r="A813" s="41" t="s">
        <v>202</v>
      </c>
      <c r="B813" s="1">
        <v>2</v>
      </c>
      <c r="C813" s="8">
        <v>46094</v>
      </c>
      <c r="D813" s="1" t="s">
        <v>1207</v>
      </c>
      <c r="E813" s="7" t="s">
        <v>13</v>
      </c>
      <c r="F813" s="1" t="s">
        <v>25</v>
      </c>
      <c r="G813" s="9" t="s">
        <v>35</v>
      </c>
      <c r="H813" s="7">
        <v>42</v>
      </c>
      <c r="I813" s="18">
        <v>16000000</v>
      </c>
      <c r="J813" s="10">
        <v>4290.28</v>
      </c>
      <c r="K813" s="7" t="s">
        <v>13</v>
      </c>
      <c r="L813" s="7" t="s">
        <v>54</v>
      </c>
      <c r="M813" s="34">
        <v>46094</v>
      </c>
      <c r="N813" s="7" t="s">
        <v>774</v>
      </c>
    </row>
    <row r="814" spans="1:15" x14ac:dyDescent="0.25">
      <c r="A814" s="41" t="s">
        <v>371</v>
      </c>
      <c r="B814" s="1">
        <v>2</v>
      </c>
      <c r="C814" s="8">
        <v>46097</v>
      </c>
      <c r="D814" s="1" t="s">
        <v>1208</v>
      </c>
      <c r="E814" s="7" t="s">
        <v>16</v>
      </c>
      <c r="F814" s="1" t="s">
        <v>25</v>
      </c>
      <c r="G814" s="9" t="s">
        <v>35</v>
      </c>
      <c r="H814" s="7">
        <v>1026</v>
      </c>
      <c r="I814" s="18">
        <v>16600000</v>
      </c>
      <c r="J814" s="10">
        <v>2664.4</v>
      </c>
      <c r="K814" s="7" t="s">
        <v>12</v>
      </c>
      <c r="L814" s="7" t="s">
        <v>53</v>
      </c>
      <c r="M814" s="34">
        <v>46097</v>
      </c>
      <c r="N814" s="7" t="s">
        <v>774</v>
      </c>
    </row>
    <row r="815" spans="1:15" x14ac:dyDescent="0.25">
      <c r="A815" s="41" t="s">
        <v>371</v>
      </c>
      <c r="B815" s="1">
        <v>1</v>
      </c>
      <c r="C815" s="8">
        <v>46092</v>
      </c>
      <c r="D815" s="1" t="s">
        <v>1209</v>
      </c>
      <c r="E815" s="7" t="s">
        <v>16</v>
      </c>
      <c r="F815" s="1" t="s">
        <v>25</v>
      </c>
      <c r="G815" s="9" t="s">
        <v>35</v>
      </c>
      <c r="H815" s="7">
        <v>1026</v>
      </c>
      <c r="I815" s="18">
        <v>16600000</v>
      </c>
      <c r="J815" s="10">
        <v>1284.97</v>
      </c>
      <c r="K815" s="7" t="s">
        <v>12</v>
      </c>
      <c r="L815" s="7" t="s">
        <v>53</v>
      </c>
      <c r="M815" s="34">
        <v>46097</v>
      </c>
      <c r="N815" s="7" t="s">
        <v>774</v>
      </c>
    </row>
    <row r="816" spans="1:15" x14ac:dyDescent="0.25">
      <c r="A816" s="41" t="s">
        <v>371</v>
      </c>
      <c r="B816" s="1">
        <v>2</v>
      </c>
      <c r="C816" s="8">
        <v>46097</v>
      </c>
      <c r="D816" s="1" t="s">
        <v>1210</v>
      </c>
      <c r="E816" s="7" t="s">
        <v>16</v>
      </c>
      <c r="F816" s="1" t="s">
        <v>25</v>
      </c>
      <c r="G816" s="9" t="s">
        <v>35</v>
      </c>
      <c r="H816" s="7">
        <v>1026</v>
      </c>
      <c r="I816" s="18">
        <v>16600000</v>
      </c>
      <c r="J816" s="10">
        <v>1284.97</v>
      </c>
      <c r="K816" s="7" t="s">
        <v>12</v>
      </c>
      <c r="L816" s="7" t="s">
        <v>53</v>
      </c>
      <c r="M816" s="34">
        <v>46097</v>
      </c>
      <c r="N816" s="7" t="s">
        <v>774</v>
      </c>
    </row>
    <row r="817" spans="1:15" x14ac:dyDescent="0.25">
      <c r="A817" s="41" t="s">
        <v>371</v>
      </c>
      <c r="B817" s="1">
        <v>1</v>
      </c>
      <c r="C817" s="8">
        <v>46092</v>
      </c>
      <c r="D817" s="1" t="s">
        <v>1211</v>
      </c>
      <c r="E817" s="7" t="s">
        <v>16</v>
      </c>
      <c r="F817" s="1" t="s">
        <v>25</v>
      </c>
      <c r="G817" s="9" t="s">
        <v>35</v>
      </c>
      <c r="H817" s="7">
        <v>1026</v>
      </c>
      <c r="I817" s="18">
        <v>15000000</v>
      </c>
      <c r="J817" s="10">
        <v>1284.97</v>
      </c>
      <c r="K817" s="7" t="s">
        <v>12</v>
      </c>
      <c r="L817" s="7" t="s">
        <v>53</v>
      </c>
      <c r="M817" s="34">
        <v>46097</v>
      </c>
      <c r="N817" s="7" t="s">
        <v>774</v>
      </c>
    </row>
    <row r="818" spans="1:15" x14ac:dyDescent="0.25">
      <c r="A818" s="41" t="s">
        <v>371</v>
      </c>
      <c r="B818" s="1">
        <v>1</v>
      </c>
      <c r="C818" s="8">
        <v>46092</v>
      </c>
      <c r="D818" s="1" t="s">
        <v>1212</v>
      </c>
      <c r="E818" s="7" t="s">
        <v>16</v>
      </c>
      <c r="F818" s="1" t="s">
        <v>25</v>
      </c>
      <c r="G818" s="9" t="s">
        <v>35</v>
      </c>
      <c r="H818" s="7">
        <v>1026</v>
      </c>
      <c r="I818" s="18">
        <v>16600000</v>
      </c>
      <c r="J818" s="10">
        <v>2664.4</v>
      </c>
      <c r="K818" s="7" t="s">
        <v>12</v>
      </c>
      <c r="L818" s="7" t="s">
        <v>53</v>
      </c>
      <c r="M818" s="34">
        <v>46097</v>
      </c>
      <c r="N818" s="7" t="s">
        <v>774</v>
      </c>
    </row>
    <row r="819" spans="1:15" x14ac:dyDescent="0.25">
      <c r="A819" s="41" t="s">
        <v>1214</v>
      </c>
      <c r="B819" s="1">
        <v>3</v>
      </c>
      <c r="C819" s="8">
        <v>46107</v>
      </c>
      <c r="D819" s="1" t="s">
        <v>1213</v>
      </c>
      <c r="E819" s="7" t="s">
        <v>14</v>
      </c>
      <c r="F819" s="1" t="s">
        <v>25</v>
      </c>
      <c r="G819" s="9" t="s">
        <v>35</v>
      </c>
      <c r="H819" s="7">
        <v>11449</v>
      </c>
      <c r="I819" s="18">
        <v>17510000</v>
      </c>
      <c r="J819" s="10">
        <v>306607</v>
      </c>
      <c r="K819" s="7" t="s">
        <v>12</v>
      </c>
      <c r="L819" s="7" t="s">
        <v>53</v>
      </c>
      <c r="M819" s="34">
        <v>46107</v>
      </c>
      <c r="N819" s="7" t="s">
        <v>41</v>
      </c>
    </row>
    <row r="820" spans="1:15" x14ac:dyDescent="0.25">
      <c r="A820" s="41" t="s">
        <v>424</v>
      </c>
      <c r="B820" s="1">
        <v>1</v>
      </c>
      <c r="C820" s="8">
        <v>46092</v>
      </c>
      <c r="D820" s="1" t="s">
        <v>1215</v>
      </c>
      <c r="E820" s="7" t="s">
        <v>14</v>
      </c>
      <c r="F820" s="1" t="s">
        <v>25</v>
      </c>
      <c r="G820" s="9" t="s">
        <v>35</v>
      </c>
      <c r="H820" s="7">
        <v>200</v>
      </c>
      <c r="I820" s="18">
        <v>15000000</v>
      </c>
      <c r="J820" s="10">
        <v>148745.51999999999</v>
      </c>
      <c r="K820" s="7" t="s">
        <v>12</v>
      </c>
      <c r="L820" s="7" t="s">
        <v>53</v>
      </c>
      <c r="M820" s="34">
        <v>46093</v>
      </c>
      <c r="N820" s="7" t="s">
        <v>41</v>
      </c>
    </row>
    <row r="821" spans="1:15" x14ac:dyDescent="0.25">
      <c r="A821" s="41" t="s">
        <v>227</v>
      </c>
      <c r="B821" s="1">
        <v>2</v>
      </c>
      <c r="C821" s="8">
        <v>46092</v>
      </c>
      <c r="D821" s="1" t="s">
        <v>1382</v>
      </c>
      <c r="E821" s="7" t="s">
        <v>14</v>
      </c>
      <c r="F821" s="1" t="s">
        <v>25</v>
      </c>
      <c r="G821" s="9" t="s">
        <v>35</v>
      </c>
      <c r="H821" s="7">
        <v>1904</v>
      </c>
      <c r="I821" s="18">
        <v>15000000</v>
      </c>
      <c r="J821" s="10">
        <v>5256</v>
      </c>
      <c r="K821" s="7" t="s">
        <v>12</v>
      </c>
      <c r="L821" s="7" t="s">
        <v>53</v>
      </c>
      <c r="M821" s="34">
        <v>46099</v>
      </c>
      <c r="N821" s="7" t="s">
        <v>41</v>
      </c>
      <c r="O821" s="7" t="s">
        <v>1383</v>
      </c>
    </row>
    <row r="822" spans="1:15" x14ac:dyDescent="0.25">
      <c r="A822" s="41" t="s">
        <v>220</v>
      </c>
      <c r="B822" s="1">
        <v>1</v>
      </c>
      <c r="C822" s="8">
        <v>46092</v>
      </c>
      <c r="D822" s="1" t="s">
        <v>1216</v>
      </c>
      <c r="E822" s="7" t="s">
        <v>11</v>
      </c>
      <c r="F822" s="1" t="s">
        <v>25</v>
      </c>
      <c r="G822" s="9" t="s">
        <v>35</v>
      </c>
      <c r="H822" s="7">
        <v>2300</v>
      </c>
      <c r="I822" s="18">
        <v>15000000</v>
      </c>
      <c r="J822" s="10">
        <v>1687.5</v>
      </c>
      <c r="K822" s="7" t="s">
        <v>12</v>
      </c>
      <c r="L822" s="7" t="s">
        <v>53</v>
      </c>
      <c r="M822" s="34">
        <v>46098</v>
      </c>
      <c r="N822" s="7" t="s">
        <v>41</v>
      </c>
    </row>
    <row r="823" spans="1:15" x14ac:dyDescent="0.25">
      <c r="A823" s="41" t="s">
        <v>220</v>
      </c>
      <c r="B823" s="1">
        <v>1</v>
      </c>
      <c r="C823" s="8">
        <v>46092</v>
      </c>
      <c r="D823" s="1" t="s">
        <v>1217</v>
      </c>
      <c r="E823" s="7" t="s">
        <v>11</v>
      </c>
      <c r="F823" s="1" t="s">
        <v>25</v>
      </c>
      <c r="G823" s="9" t="s">
        <v>35</v>
      </c>
      <c r="H823" s="7">
        <v>2298</v>
      </c>
      <c r="I823" s="18">
        <v>15000000</v>
      </c>
      <c r="J823" s="10">
        <v>1687.5</v>
      </c>
      <c r="K823" s="7" t="s">
        <v>12</v>
      </c>
      <c r="L823" s="7" t="s">
        <v>53</v>
      </c>
      <c r="M823" s="34">
        <v>46098</v>
      </c>
      <c r="N823" s="7" t="s">
        <v>41</v>
      </c>
    </row>
    <row r="824" spans="1:15" x14ac:dyDescent="0.25">
      <c r="A824" s="41" t="s">
        <v>220</v>
      </c>
      <c r="B824" s="1">
        <v>1</v>
      </c>
      <c r="C824" s="8">
        <v>46092</v>
      </c>
      <c r="D824" s="1" t="s">
        <v>1218</v>
      </c>
      <c r="E824" s="7" t="s">
        <v>11</v>
      </c>
      <c r="F824" s="1" t="s">
        <v>25</v>
      </c>
      <c r="G824" s="9" t="s">
        <v>35</v>
      </c>
      <c r="H824" s="7">
        <v>2267</v>
      </c>
      <c r="I824" s="18">
        <v>15000000</v>
      </c>
      <c r="J824" s="10">
        <v>5148.82</v>
      </c>
      <c r="K824" s="7" t="s">
        <v>12</v>
      </c>
      <c r="L824" s="7" t="s">
        <v>53</v>
      </c>
      <c r="M824" s="34">
        <v>46098</v>
      </c>
      <c r="N824" s="7" t="s">
        <v>41</v>
      </c>
    </row>
    <row r="825" spans="1:15" x14ac:dyDescent="0.25">
      <c r="A825" s="41" t="s">
        <v>181</v>
      </c>
      <c r="B825" s="1">
        <v>2</v>
      </c>
      <c r="C825" s="8">
        <v>46097</v>
      </c>
      <c r="D825" s="1" t="s">
        <v>1219</v>
      </c>
      <c r="E825" s="7" t="s">
        <v>16</v>
      </c>
      <c r="F825" s="1" t="s">
        <v>25</v>
      </c>
      <c r="G825" s="9" t="s">
        <v>35</v>
      </c>
      <c r="H825" s="7">
        <v>942919856</v>
      </c>
      <c r="I825" s="18">
        <v>16600000</v>
      </c>
      <c r="J825" s="10">
        <v>3102.53</v>
      </c>
      <c r="K825" s="7" t="s">
        <v>12</v>
      </c>
      <c r="L825" s="7" t="s">
        <v>53</v>
      </c>
      <c r="M825" s="34">
        <v>46098</v>
      </c>
      <c r="N825" s="7" t="s">
        <v>92</v>
      </c>
    </row>
    <row r="826" spans="1:15" x14ac:dyDescent="0.25">
      <c r="A826" s="41" t="s">
        <v>181</v>
      </c>
      <c r="B826" s="1">
        <v>2</v>
      </c>
      <c r="C826" s="8">
        <v>46097</v>
      </c>
      <c r="D826" s="1" t="s">
        <v>1220</v>
      </c>
      <c r="E826" s="7" t="s">
        <v>16</v>
      </c>
      <c r="F826" s="1" t="s">
        <v>25</v>
      </c>
      <c r="G826" s="9" t="s">
        <v>35</v>
      </c>
      <c r="H826" s="7">
        <v>942919853</v>
      </c>
      <c r="I826" s="18">
        <v>16610000</v>
      </c>
      <c r="J826" s="10">
        <v>1103.31</v>
      </c>
      <c r="K826" s="7" t="s">
        <v>12</v>
      </c>
      <c r="L826" s="7" t="s">
        <v>53</v>
      </c>
      <c r="M826" s="34">
        <v>46098</v>
      </c>
      <c r="N826" s="7" t="s">
        <v>92</v>
      </c>
    </row>
    <row r="827" spans="1:15" x14ac:dyDescent="0.25">
      <c r="A827" s="41" t="s">
        <v>181</v>
      </c>
      <c r="B827" s="1">
        <v>1</v>
      </c>
      <c r="C827" s="8">
        <v>46092</v>
      </c>
      <c r="D827" s="1" t="s">
        <v>1221</v>
      </c>
      <c r="E827" s="7" t="s">
        <v>16</v>
      </c>
      <c r="F827" s="1" t="s">
        <v>25</v>
      </c>
      <c r="G827" s="9" t="s">
        <v>35</v>
      </c>
      <c r="H827" s="7">
        <v>942919854</v>
      </c>
      <c r="I827" s="18">
        <v>16600000</v>
      </c>
      <c r="J827" s="10">
        <v>376</v>
      </c>
      <c r="K827" s="7" t="s">
        <v>12</v>
      </c>
      <c r="L827" s="7" t="s">
        <v>53</v>
      </c>
      <c r="M827" s="34">
        <v>46098</v>
      </c>
      <c r="N827" s="7" t="s">
        <v>92</v>
      </c>
    </row>
    <row r="828" spans="1:15" x14ac:dyDescent="0.25">
      <c r="A828" s="41" t="s">
        <v>181</v>
      </c>
      <c r="B828" s="1">
        <v>2</v>
      </c>
      <c r="C828" s="8">
        <v>46097</v>
      </c>
      <c r="D828" s="1" t="s">
        <v>1222</v>
      </c>
      <c r="E828" s="7" t="s">
        <v>16</v>
      </c>
      <c r="F828" s="1" t="s">
        <v>25</v>
      </c>
      <c r="G828" s="9" t="s">
        <v>35</v>
      </c>
      <c r="H828" s="7">
        <v>942919855</v>
      </c>
      <c r="I828" s="18">
        <v>15000000</v>
      </c>
      <c r="J828" s="10">
        <v>73.25</v>
      </c>
      <c r="K828" s="7" t="s">
        <v>12</v>
      </c>
      <c r="L828" s="7" t="s">
        <v>53</v>
      </c>
      <c r="M828" s="34">
        <v>46098</v>
      </c>
      <c r="N828" s="7" t="s">
        <v>92</v>
      </c>
    </row>
    <row r="829" spans="1:15" x14ac:dyDescent="0.25">
      <c r="A829" s="41" t="s">
        <v>181</v>
      </c>
      <c r="B829" s="1">
        <v>2</v>
      </c>
      <c r="C829" s="8">
        <v>46097</v>
      </c>
      <c r="D829" s="1" t="s">
        <v>1223</v>
      </c>
      <c r="E829" s="7" t="s">
        <v>16</v>
      </c>
      <c r="F829" s="1" t="s">
        <v>25</v>
      </c>
      <c r="G829" s="9" t="s">
        <v>35</v>
      </c>
      <c r="H829" s="7">
        <v>942919870</v>
      </c>
      <c r="I829" s="18">
        <v>15010000</v>
      </c>
      <c r="J829" s="10">
        <v>1380.47</v>
      </c>
      <c r="K829" s="7" t="s">
        <v>12</v>
      </c>
      <c r="L829" s="7" t="s">
        <v>53</v>
      </c>
      <c r="M829" s="34">
        <v>46099</v>
      </c>
      <c r="N829" s="7" t="s">
        <v>92</v>
      </c>
    </row>
    <row r="830" spans="1:15" x14ac:dyDescent="0.25">
      <c r="A830" s="41" t="s">
        <v>626</v>
      </c>
      <c r="B830" s="1">
        <v>1</v>
      </c>
      <c r="C830" s="8">
        <v>46092</v>
      </c>
      <c r="D830" s="1" t="s">
        <v>1224</v>
      </c>
      <c r="E830" s="7" t="s">
        <v>14</v>
      </c>
      <c r="F830" s="1" t="s">
        <v>25</v>
      </c>
      <c r="G830" s="9" t="s">
        <v>35</v>
      </c>
      <c r="H830" s="7">
        <v>1423</v>
      </c>
      <c r="I830" s="18">
        <v>15000000</v>
      </c>
      <c r="J830" s="10">
        <v>172977.5</v>
      </c>
      <c r="K830" s="7" t="s">
        <v>12</v>
      </c>
      <c r="L830" s="7" t="s">
        <v>53</v>
      </c>
      <c r="M830" s="34">
        <v>46094</v>
      </c>
      <c r="N830" s="7" t="s">
        <v>41</v>
      </c>
    </row>
    <row r="831" spans="1:15" x14ac:dyDescent="0.25">
      <c r="A831" s="41" t="s">
        <v>632</v>
      </c>
      <c r="B831" s="1">
        <v>1</v>
      </c>
      <c r="C831" s="8">
        <v>46092</v>
      </c>
      <c r="D831" s="1" t="s">
        <v>1225</v>
      </c>
      <c r="E831" s="7" t="s">
        <v>2</v>
      </c>
      <c r="F831" s="1" t="s">
        <v>25</v>
      </c>
      <c r="G831" s="9" t="s">
        <v>35</v>
      </c>
      <c r="H831" s="7">
        <v>5628</v>
      </c>
      <c r="I831" s="18">
        <v>15500000</v>
      </c>
      <c r="J831" s="10">
        <v>50023.7</v>
      </c>
      <c r="K831" s="7" t="s">
        <v>12</v>
      </c>
      <c r="L831" s="7" t="s">
        <v>53</v>
      </c>
      <c r="M831" s="34">
        <v>46094</v>
      </c>
      <c r="N831" s="7" t="s">
        <v>41</v>
      </c>
    </row>
    <row r="832" spans="1:15" x14ac:dyDescent="0.25">
      <c r="A832" s="41" t="s">
        <v>787</v>
      </c>
      <c r="B832" s="1">
        <v>2</v>
      </c>
      <c r="C832" s="8">
        <v>46094</v>
      </c>
      <c r="D832" s="1" t="s">
        <v>1226</v>
      </c>
      <c r="E832" s="7" t="s">
        <v>2</v>
      </c>
      <c r="F832" s="1" t="s">
        <v>25</v>
      </c>
      <c r="G832" s="9" t="s">
        <v>35</v>
      </c>
      <c r="H832" s="7" t="s">
        <v>74</v>
      </c>
      <c r="I832" s="18">
        <v>15001001</v>
      </c>
      <c r="J832" s="10">
        <v>32158.27</v>
      </c>
      <c r="K832" s="7" t="s">
        <v>12</v>
      </c>
      <c r="L832" s="7" t="s">
        <v>53</v>
      </c>
      <c r="M832" s="34">
        <v>46094</v>
      </c>
      <c r="N832" s="7" t="s">
        <v>41</v>
      </c>
    </row>
    <row r="833" spans="1:14" x14ac:dyDescent="0.25">
      <c r="A833" s="41" t="s">
        <v>210</v>
      </c>
      <c r="B833" s="1">
        <v>2</v>
      </c>
      <c r="C833" s="8">
        <v>46097</v>
      </c>
      <c r="D833" s="1" t="s">
        <v>1227</v>
      </c>
      <c r="E833" s="7" t="s">
        <v>16</v>
      </c>
      <c r="F833" s="1" t="s">
        <v>25</v>
      </c>
      <c r="G833" s="9" t="s">
        <v>35</v>
      </c>
      <c r="H833" s="7">
        <v>219009</v>
      </c>
      <c r="I833" s="18">
        <v>15000000</v>
      </c>
      <c r="J833" s="10">
        <v>373.95</v>
      </c>
      <c r="K833" s="7" t="s">
        <v>12</v>
      </c>
      <c r="L833" s="7" t="s">
        <v>53</v>
      </c>
      <c r="M833" s="34">
        <v>46097</v>
      </c>
      <c r="N833" s="7" t="s">
        <v>92</v>
      </c>
    </row>
    <row r="834" spans="1:14" x14ac:dyDescent="0.25">
      <c r="A834" s="41" t="s">
        <v>367</v>
      </c>
      <c r="B834" s="1">
        <v>2</v>
      </c>
      <c r="C834" s="8">
        <v>46092</v>
      </c>
      <c r="D834" s="1" t="s">
        <v>1228</v>
      </c>
      <c r="E834" s="7" t="s">
        <v>12</v>
      </c>
      <c r="F834" s="1" t="s">
        <v>25</v>
      </c>
      <c r="G834" s="9" t="s">
        <v>35</v>
      </c>
      <c r="H834" s="7">
        <v>17543</v>
      </c>
      <c r="I834" s="18">
        <v>15000000</v>
      </c>
      <c r="J834" s="10">
        <v>482.41</v>
      </c>
      <c r="K834" s="7" t="s">
        <v>12</v>
      </c>
      <c r="L834" s="7" t="s">
        <v>53</v>
      </c>
      <c r="M834" s="34">
        <v>46101</v>
      </c>
      <c r="N834" s="7" t="s">
        <v>774</v>
      </c>
    </row>
    <row r="835" spans="1:14" x14ac:dyDescent="0.25">
      <c r="A835" s="41" t="s">
        <v>409</v>
      </c>
      <c r="B835" s="1">
        <v>1</v>
      </c>
      <c r="C835" s="8">
        <v>46092</v>
      </c>
      <c r="D835" s="1" t="s">
        <v>1229</v>
      </c>
      <c r="E835" s="7" t="s">
        <v>14</v>
      </c>
      <c r="F835" s="1" t="s">
        <v>25</v>
      </c>
      <c r="G835" s="9" t="s">
        <v>35</v>
      </c>
      <c r="H835" s="7">
        <v>1078</v>
      </c>
      <c r="I835" s="18">
        <v>17510000</v>
      </c>
      <c r="J835" s="15">
        <v>396994.7</v>
      </c>
      <c r="K835" s="7" t="s">
        <v>12</v>
      </c>
      <c r="L835" s="7" t="s">
        <v>53</v>
      </c>
      <c r="M835" s="34">
        <v>46097</v>
      </c>
      <c r="N835" s="7" t="s">
        <v>774</v>
      </c>
    </row>
    <row r="836" spans="1:14" x14ac:dyDescent="0.25">
      <c r="A836" s="41" t="s">
        <v>227</v>
      </c>
      <c r="B836" s="1">
        <v>1</v>
      </c>
      <c r="C836" s="8">
        <v>46092</v>
      </c>
      <c r="D836" s="1" t="s">
        <v>1230</v>
      </c>
      <c r="E836" s="7" t="s">
        <v>13</v>
      </c>
      <c r="F836" s="1" t="s">
        <v>25</v>
      </c>
      <c r="G836" s="9" t="s">
        <v>35</v>
      </c>
      <c r="H836" s="7">
        <v>739</v>
      </c>
      <c r="I836" s="18">
        <v>15001002</v>
      </c>
      <c r="J836" s="10">
        <v>16903.05</v>
      </c>
      <c r="K836" s="7" t="s">
        <v>13</v>
      </c>
      <c r="L836" s="7" t="s">
        <v>54</v>
      </c>
      <c r="M836" s="34">
        <v>46100</v>
      </c>
      <c r="N836" s="7" t="s">
        <v>41</v>
      </c>
    </row>
    <row r="837" spans="1:14" ht="30" x14ac:dyDescent="0.25">
      <c r="A837" s="41" t="s">
        <v>1232</v>
      </c>
      <c r="B837" s="1">
        <v>1</v>
      </c>
      <c r="C837" s="8">
        <v>46092</v>
      </c>
      <c r="D837" s="1" t="s">
        <v>1231</v>
      </c>
      <c r="E837" s="7" t="s">
        <v>2</v>
      </c>
      <c r="F837" s="1" t="s">
        <v>25</v>
      </c>
      <c r="G837" s="9" t="s">
        <v>47</v>
      </c>
      <c r="H837" s="7" t="s">
        <v>74</v>
      </c>
      <c r="I837" s="18" t="s">
        <v>0</v>
      </c>
      <c r="J837" s="10" t="s">
        <v>61</v>
      </c>
      <c r="K837" s="7" t="s">
        <v>22</v>
      </c>
      <c r="L837" s="7" t="s">
        <v>55</v>
      </c>
      <c r="M837" s="34">
        <v>46104</v>
      </c>
      <c r="N837" s="7" t="s">
        <v>46</v>
      </c>
    </row>
    <row r="838" spans="1:14" x14ac:dyDescent="0.25">
      <c r="A838" s="41" t="s">
        <v>181</v>
      </c>
      <c r="B838" s="1">
        <v>1</v>
      </c>
      <c r="C838" s="8">
        <v>46092</v>
      </c>
      <c r="D838" s="1" t="s">
        <v>1233</v>
      </c>
      <c r="E838" s="7" t="s">
        <v>2</v>
      </c>
      <c r="F838" s="1" t="s">
        <v>25</v>
      </c>
      <c r="G838" s="9" t="s">
        <v>35</v>
      </c>
      <c r="H838" s="7">
        <v>942946544</v>
      </c>
      <c r="I838" s="18">
        <v>15400000</v>
      </c>
      <c r="J838" s="10">
        <v>20267.66</v>
      </c>
      <c r="K838" s="7" t="s">
        <v>12</v>
      </c>
      <c r="L838" s="7" t="s">
        <v>53</v>
      </c>
      <c r="M838" s="34">
        <v>46097</v>
      </c>
      <c r="N838" s="7" t="s">
        <v>774</v>
      </c>
    </row>
    <row r="839" spans="1:14" x14ac:dyDescent="0.25">
      <c r="A839" s="41" t="s">
        <v>181</v>
      </c>
      <c r="B839" s="1">
        <v>1</v>
      </c>
      <c r="C839" s="8">
        <v>46092</v>
      </c>
      <c r="D839" s="1" t="s">
        <v>1234</v>
      </c>
      <c r="E839" s="7" t="s">
        <v>2</v>
      </c>
      <c r="F839" s="1" t="s">
        <v>25</v>
      </c>
      <c r="G839" s="9" t="s">
        <v>35</v>
      </c>
      <c r="H839" s="7">
        <v>942946587</v>
      </c>
      <c r="I839" s="18">
        <v>15001001</v>
      </c>
      <c r="J839" s="10">
        <v>6510.72</v>
      </c>
      <c r="K839" s="7" t="s">
        <v>12</v>
      </c>
      <c r="L839" s="7" t="s">
        <v>53</v>
      </c>
      <c r="M839" s="34">
        <v>46097</v>
      </c>
      <c r="N839" s="7" t="s">
        <v>774</v>
      </c>
    </row>
    <row r="840" spans="1:14" x14ac:dyDescent="0.25">
      <c r="A840" s="41" t="s">
        <v>574</v>
      </c>
      <c r="B840" s="1">
        <v>1</v>
      </c>
      <c r="C840" s="8">
        <v>46093</v>
      </c>
      <c r="D840" s="1" t="s">
        <v>1235</v>
      </c>
      <c r="E840" s="7" t="s">
        <v>20</v>
      </c>
      <c r="F840" s="1" t="s">
        <v>25</v>
      </c>
      <c r="G840" s="9" t="s">
        <v>35</v>
      </c>
      <c r="H840" s="7">
        <v>65</v>
      </c>
      <c r="I840" s="18">
        <v>17400000</v>
      </c>
      <c r="J840" s="10">
        <v>127780.4</v>
      </c>
      <c r="K840" s="7" t="s">
        <v>12</v>
      </c>
      <c r="L840" s="7" t="s">
        <v>53</v>
      </c>
      <c r="M840" s="34">
        <v>46098</v>
      </c>
      <c r="N840" s="7" t="s">
        <v>774</v>
      </c>
    </row>
    <row r="841" spans="1:14" x14ac:dyDescent="0.25">
      <c r="A841" s="41" t="s">
        <v>385</v>
      </c>
      <c r="B841" s="1">
        <v>2</v>
      </c>
      <c r="C841" s="8">
        <v>46094</v>
      </c>
      <c r="D841" s="1" t="s">
        <v>1236</v>
      </c>
      <c r="E841" s="7" t="s">
        <v>14</v>
      </c>
      <c r="F841" s="1" t="s">
        <v>25</v>
      </c>
      <c r="G841" s="9" t="s">
        <v>35</v>
      </c>
      <c r="H841" s="7">
        <v>4509</v>
      </c>
      <c r="I841" s="18">
        <v>15000000</v>
      </c>
      <c r="J841" s="10">
        <v>196753.92000000001</v>
      </c>
      <c r="K841" s="7" t="s">
        <v>12</v>
      </c>
      <c r="L841" s="7" t="s">
        <v>53</v>
      </c>
      <c r="M841" s="34">
        <v>46094</v>
      </c>
      <c r="N841" s="7" t="s">
        <v>91</v>
      </c>
    </row>
    <row r="842" spans="1:14" x14ac:dyDescent="0.25">
      <c r="A842" s="41" t="s">
        <v>385</v>
      </c>
      <c r="B842" s="1">
        <v>1</v>
      </c>
      <c r="C842" s="8">
        <v>46093</v>
      </c>
      <c r="D842" s="1" t="s">
        <v>1237</v>
      </c>
      <c r="E842" s="7" t="s">
        <v>2</v>
      </c>
      <c r="F842" s="1" t="s">
        <v>25</v>
      </c>
      <c r="G842" s="9" t="s">
        <v>35</v>
      </c>
      <c r="H842" s="7">
        <v>4498</v>
      </c>
      <c r="I842" s="18">
        <v>15001001</v>
      </c>
      <c r="J842" s="10">
        <v>12299.19</v>
      </c>
      <c r="K842" s="7" t="s">
        <v>12</v>
      </c>
      <c r="L842" s="7" t="s">
        <v>53</v>
      </c>
      <c r="M842" s="34">
        <v>46094</v>
      </c>
      <c r="N842" s="7" t="s">
        <v>46</v>
      </c>
    </row>
    <row r="843" spans="1:14" x14ac:dyDescent="0.25">
      <c r="A843" s="41" t="s">
        <v>385</v>
      </c>
      <c r="B843" s="1">
        <v>1</v>
      </c>
      <c r="C843" s="8">
        <v>46093</v>
      </c>
      <c r="D843" s="1" t="s">
        <v>1238</v>
      </c>
      <c r="E843" s="7" t="s">
        <v>2</v>
      </c>
      <c r="F843" s="1" t="s">
        <v>25</v>
      </c>
      <c r="G843" s="9" t="s">
        <v>35</v>
      </c>
      <c r="H843" s="7">
        <v>4499</v>
      </c>
      <c r="I843" s="18">
        <v>15001001</v>
      </c>
      <c r="J843" s="10">
        <v>32310.36</v>
      </c>
      <c r="K843" s="7" t="s">
        <v>12</v>
      </c>
      <c r="L843" s="7" t="s">
        <v>53</v>
      </c>
      <c r="M843" s="34">
        <v>46094</v>
      </c>
      <c r="N843" s="7" t="s">
        <v>46</v>
      </c>
    </row>
    <row r="844" spans="1:14" x14ac:dyDescent="0.25">
      <c r="A844" s="41" t="s">
        <v>1239</v>
      </c>
      <c r="B844" s="1">
        <v>2</v>
      </c>
      <c r="C844" s="8">
        <v>46098</v>
      </c>
      <c r="D844" s="1" t="s">
        <v>1240</v>
      </c>
      <c r="E844" s="7" t="s">
        <v>2</v>
      </c>
      <c r="F844" s="1" t="s">
        <v>25</v>
      </c>
      <c r="G844" s="9" t="s">
        <v>35</v>
      </c>
      <c r="H844" s="7" t="s">
        <v>74</v>
      </c>
      <c r="I844" s="18">
        <v>15001001</v>
      </c>
      <c r="J844" s="10">
        <v>20000</v>
      </c>
      <c r="K844" s="7" t="s">
        <v>12</v>
      </c>
      <c r="L844" s="7" t="s">
        <v>53</v>
      </c>
      <c r="M844" s="34">
        <v>46098</v>
      </c>
      <c r="N844" s="7" t="s">
        <v>774</v>
      </c>
    </row>
    <row r="845" spans="1:14" x14ac:dyDescent="0.25">
      <c r="A845" s="41" t="s">
        <v>1322</v>
      </c>
      <c r="B845" s="1">
        <v>2</v>
      </c>
      <c r="C845" s="8">
        <v>46098</v>
      </c>
      <c r="D845" s="1" t="s">
        <v>1321</v>
      </c>
      <c r="E845" s="7" t="s">
        <v>13</v>
      </c>
      <c r="F845" s="1" t="s">
        <v>25</v>
      </c>
      <c r="G845" s="9" t="s">
        <v>35</v>
      </c>
      <c r="H845" s="7" t="s">
        <v>74</v>
      </c>
      <c r="I845" s="18">
        <v>15001001</v>
      </c>
      <c r="K845" s="7" t="s">
        <v>13</v>
      </c>
      <c r="L845" s="7" t="s">
        <v>54</v>
      </c>
      <c r="M845" s="34">
        <v>46101</v>
      </c>
      <c r="N845" s="7" t="s">
        <v>52</v>
      </c>
    </row>
    <row r="846" spans="1:14" ht="30" x14ac:dyDescent="0.25">
      <c r="A846" s="41" t="s">
        <v>1242</v>
      </c>
      <c r="B846" s="1">
        <v>1</v>
      </c>
      <c r="C846" s="8">
        <v>46093</v>
      </c>
      <c r="D846" s="1" t="s">
        <v>1241</v>
      </c>
      <c r="E846" s="7" t="s">
        <v>2</v>
      </c>
      <c r="F846" s="1" t="s">
        <v>25</v>
      </c>
      <c r="G846" s="9" t="s">
        <v>49</v>
      </c>
      <c r="H846" s="7" t="s">
        <v>74</v>
      </c>
      <c r="I846" s="18" t="s">
        <v>0</v>
      </c>
      <c r="J846" s="10" t="s">
        <v>61</v>
      </c>
      <c r="K846" s="7" t="s">
        <v>22</v>
      </c>
      <c r="L846" s="7" t="s">
        <v>40</v>
      </c>
      <c r="M846" s="34">
        <v>46099</v>
      </c>
      <c r="N846" s="7" t="s">
        <v>46</v>
      </c>
    </row>
    <row r="847" spans="1:14" x14ac:dyDescent="0.25">
      <c r="A847" s="41" t="s">
        <v>1243</v>
      </c>
      <c r="B847" s="1">
        <v>1</v>
      </c>
      <c r="C847" s="8">
        <v>46093</v>
      </c>
      <c r="D847" s="1" t="s">
        <v>611</v>
      </c>
      <c r="E847" s="7" t="s">
        <v>13</v>
      </c>
      <c r="F847" s="1" t="s">
        <v>25</v>
      </c>
      <c r="G847" s="9" t="s">
        <v>37</v>
      </c>
      <c r="H847" s="7" t="s">
        <v>74</v>
      </c>
      <c r="I847" s="18" t="s">
        <v>0</v>
      </c>
      <c r="J847" s="10" t="s">
        <v>61</v>
      </c>
      <c r="K847" s="7" t="s">
        <v>22</v>
      </c>
      <c r="L847" s="7" t="s">
        <v>55</v>
      </c>
      <c r="M847" s="34">
        <v>46097</v>
      </c>
    </row>
    <row r="848" spans="1:14" x14ac:dyDescent="0.25">
      <c r="A848" s="41" t="s">
        <v>385</v>
      </c>
      <c r="B848" s="1">
        <v>2</v>
      </c>
      <c r="C848" s="8">
        <v>46094</v>
      </c>
      <c r="D848" s="1" t="s">
        <v>1244</v>
      </c>
      <c r="E848" s="7" t="s">
        <v>13</v>
      </c>
      <c r="F848" s="1" t="s">
        <v>25</v>
      </c>
      <c r="G848" s="9" t="s">
        <v>35</v>
      </c>
      <c r="H848" s="7">
        <v>4484</v>
      </c>
      <c r="I848" s="18">
        <v>15001002</v>
      </c>
      <c r="J848" s="10">
        <v>71125.67</v>
      </c>
      <c r="K848" s="7" t="s">
        <v>13</v>
      </c>
      <c r="L848" s="7" t="s">
        <v>54</v>
      </c>
      <c r="M848" s="34">
        <v>46094</v>
      </c>
      <c r="N848" s="7" t="s">
        <v>46</v>
      </c>
    </row>
    <row r="849" spans="1:15" x14ac:dyDescent="0.25">
      <c r="A849" s="41" t="s">
        <v>385</v>
      </c>
      <c r="B849" s="1">
        <v>1</v>
      </c>
      <c r="C849" s="8">
        <v>46093</v>
      </c>
      <c r="D849" s="1" t="s">
        <v>1245</v>
      </c>
      <c r="E849" s="7" t="s">
        <v>13</v>
      </c>
      <c r="F849" s="1" t="s">
        <v>25</v>
      </c>
      <c r="G849" s="9" t="s">
        <v>35</v>
      </c>
      <c r="H849" s="7">
        <v>4485</v>
      </c>
      <c r="I849" s="18">
        <v>15001002</v>
      </c>
      <c r="J849" s="10">
        <v>24802.3</v>
      </c>
      <c r="K849" s="7" t="s">
        <v>13</v>
      </c>
      <c r="L849" s="7" t="s">
        <v>54</v>
      </c>
      <c r="M849" s="34">
        <v>46094</v>
      </c>
      <c r="N849" s="7" t="s">
        <v>46</v>
      </c>
    </row>
    <row r="850" spans="1:15" x14ac:dyDescent="0.25">
      <c r="A850" s="41" t="s">
        <v>385</v>
      </c>
      <c r="B850" s="1">
        <v>2</v>
      </c>
      <c r="C850" s="8">
        <v>46094</v>
      </c>
      <c r="D850" s="1" t="s">
        <v>1246</v>
      </c>
      <c r="E850" s="7" t="s">
        <v>14</v>
      </c>
      <c r="F850" s="1" t="s">
        <v>25</v>
      </c>
      <c r="G850" s="9" t="s">
        <v>35</v>
      </c>
      <c r="H850" s="7">
        <v>4495</v>
      </c>
      <c r="I850" s="18">
        <v>15000000</v>
      </c>
      <c r="J850" s="10">
        <v>104895</v>
      </c>
      <c r="K850" s="7" t="s">
        <v>12</v>
      </c>
      <c r="L850" s="7" t="s">
        <v>53</v>
      </c>
      <c r="M850" s="34">
        <v>46094</v>
      </c>
      <c r="N850" s="7" t="s">
        <v>91</v>
      </c>
    </row>
    <row r="851" spans="1:15" x14ac:dyDescent="0.25">
      <c r="A851" s="41" t="s">
        <v>385</v>
      </c>
      <c r="B851" s="1">
        <v>1</v>
      </c>
      <c r="C851" s="8">
        <v>46093</v>
      </c>
      <c r="D851" s="1" t="s">
        <v>1247</v>
      </c>
      <c r="E851" s="7" t="s">
        <v>13</v>
      </c>
      <c r="F851" s="1" t="s">
        <v>25</v>
      </c>
      <c r="G851" s="9" t="s">
        <v>35</v>
      </c>
      <c r="H851" s="7">
        <v>4489</v>
      </c>
      <c r="I851" s="18">
        <v>16000000</v>
      </c>
      <c r="J851" s="10">
        <v>20976.35</v>
      </c>
      <c r="K851" s="7" t="s">
        <v>13</v>
      </c>
      <c r="L851" s="7" t="s">
        <v>54</v>
      </c>
      <c r="M851" s="34">
        <v>46094</v>
      </c>
      <c r="N851" s="7" t="s">
        <v>46</v>
      </c>
    </row>
    <row r="852" spans="1:15" x14ac:dyDescent="0.25">
      <c r="A852" s="41" t="s">
        <v>188</v>
      </c>
      <c r="B852" s="1">
        <v>1</v>
      </c>
      <c r="C852" s="8">
        <v>46093</v>
      </c>
      <c r="D852" s="1" t="s">
        <v>1248</v>
      </c>
      <c r="E852" s="7" t="s">
        <v>13</v>
      </c>
      <c r="F852" s="1" t="s">
        <v>25</v>
      </c>
      <c r="G852" s="9" t="s">
        <v>35</v>
      </c>
      <c r="H852" s="7" t="s">
        <v>74</v>
      </c>
      <c r="I852" s="18">
        <v>16000000</v>
      </c>
      <c r="J852" s="10">
        <v>600</v>
      </c>
      <c r="K852" s="7" t="s">
        <v>13</v>
      </c>
      <c r="L852" s="7" t="s">
        <v>54</v>
      </c>
      <c r="M852" s="34">
        <v>46098</v>
      </c>
      <c r="N852" s="7" t="s">
        <v>52</v>
      </c>
    </row>
    <row r="853" spans="1:15" x14ac:dyDescent="0.25">
      <c r="A853" s="41" t="s">
        <v>193</v>
      </c>
      <c r="B853" s="1">
        <v>1</v>
      </c>
      <c r="C853" s="8">
        <v>46093</v>
      </c>
      <c r="D853" s="1" t="s">
        <v>1249</v>
      </c>
      <c r="E853" s="7" t="s">
        <v>13</v>
      </c>
      <c r="F853" s="1" t="s">
        <v>25</v>
      </c>
      <c r="G853" s="9" t="s">
        <v>35</v>
      </c>
      <c r="H853" s="7" t="s">
        <v>74</v>
      </c>
      <c r="I853" s="18">
        <v>16000000</v>
      </c>
      <c r="J853" s="10">
        <v>1680</v>
      </c>
      <c r="K853" s="7" t="s">
        <v>13</v>
      </c>
      <c r="L853" s="7" t="s">
        <v>54</v>
      </c>
      <c r="M853" s="34">
        <v>46098</v>
      </c>
      <c r="N853" s="7" t="s">
        <v>52</v>
      </c>
    </row>
    <row r="854" spans="1:15" x14ac:dyDescent="0.25">
      <c r="A854" s="41" t="s">
        <v>192</v>
      </c>
      <c r="B854" s="1">
        <v>3</v>
      </c>
      <c r="C854" s="8">
        <v>46093</v>
      </c>
      <c r="D854" s="1" t="s">
        <v>1427</v>
      </c>
      <c r="E854" s="7" t="s">
        <v>13</v>
      </c>
      <c r="F854" s="1" t="s">
        <v>25</v>
      </c>
      <c r="G854" s="9" t="s">
        <v>35</v>
      </c>
      <c r="H854" s="7" t="s">
        <v>74</v>
      </c>
      <c r="I854" s="18">
        <v>16000000</v>
      </c>
      <c r="J854" s="10">
        <v>1120</v>
      </c>
      <c r="K854" s="7" t="s">
        <v>13</v>
      </c>
      <c r="L854" s="7" t="s">
        <v>54</v>
      </c>
      <c r="M854" s="34">
        <v>46101</v>
      </c>
      <c r="N854" s="7" t="s">
        <v>52</v>
      </c>
      <c r="O854" s="7" t="s">
        <v>1430</v>
      </c>
    </row>
    <row r="855" spans="1:15" x14ac:dyDescent="0.25">
      <c r="A855" s="41" t="s">
        <v>189</v>
      </c>
      <c r="B855" s="1">
        <v>1</v>
      </c>
      <c r="C855" s="8">
        <v>46093</v>
      </c>
      <c r="D855" s="1" t="s">
        <v>1250</v>
      </c>
      <c r="E855" s="7" t="s">
        <v>13</v>
      </c>
      <c r="F855" s="1" t="s">
        <v>25</v>
      </c>
      <c r="G855" s="9" t="s">
        <v>35</v>
      </c>
      <c r="H855" s="7" t="s">
        <v>74</v>
      </c>
      <c r="I855" s="18">
        <v>16000000</v>
      </c>
      <c r="J855" s="10">
        <v>600</v>
      </c>
      <c r="K855" s="7" t="s">
        <v>13</v>
      </c>
      <c r="L855" s="7" t="s">
        <v>54</v>
      </c>
      <c r="M855" s="34">
        <v>46100</v>
      </c>
      <c r="N855" s="7" t="s">
        <v>52</v>
      </c>
    </row>
    <row r="856" spans="1:15" x14ac:dyDescent="0.25">
      <c r="A856" s="41" t="s">
        <v>616</v>
      </c>
      <c r="B856" s="1">
        <v>1</v>
      </c>
      <c r="C856" s="8">
        <v>46093</v>
      </c>
      <c r="D856" s="1" t="s">
        <v>1251</v>
      </c>
      <c r="E856" s="7" t="s">
        <v>14</v>
      </c>
      <c r="F856" s="1" t="s">
        <v>25</v>
      </c>
      <c r="G856" s="9" t="s">
        <v>35</v>
      </c>
      <c r="H856" s="7">
        <v>1910</v>
      </c>
      <c r="I856" s="18">
        <v>15000000</v>
      </c>
      <c r="J856" s="10">
        <v>3900</v>
      </c>
      <c r="K856" s="7" t="s">
        <v>12</v>
      </c>
      <c r="L856" s="7" t="s">
        <v>53</v>
      </c>
      <c r="M856" s="34">
        <v>46098</v>
      </c>
      <c r="N856" s="7" t="s">
        <v>774</v>
      </c>
    </row>
    <row r="857" spans="1:15" x14ac:dyDescent="0.25">
      <c r="A857" s="41" t="s">
        <v>1078</v>
      </c>
      <c r="B857" s="1">
        <v>2</v>
      </c>
      <c r="C857" s="8">
        <v>46099</v>
      </c>
      <c r="D857" s="1" t="s">
        <v>1252</v>
      </c>
      <c r="E857" s="7" t="s">
        <v>2</v>
      </c>
      <c r="F857" s="1" t="s">
        <v>25</v>
      </c>
      <c r="G857" s="9" t="s">
        <v>35</v>
      </c>
      <c r="H857" s="7">
        <v>35</v>
      </c>
      <c r="I857" s="18">
        <v>15001001</v>
      </c>
      <c r="J857" s="10">
        <v>43117.599999999999</v>
      </c>
      <c r="K857" s="7" t="s">
        <v>12</v>
      </c>
      <c r="L857" s="7" t="s">
        <v>53</v>
      </c>
      <c r="M857" s="34">
        <v>46099</v>
      </c>
      <c r="N857" s="7" t="s">
        <v>774</v>
      </c>
    </row>
    <row r="858" spans="1:15" x14ac:dyDescent="0.25">
      <c r="A858" s="41" t="s">
        <v>1253</v>
      </c>
      <c r="B858" s="1">
        <v>1</v>
      </c>
      <c r="C858" s="8">
        <v>46093</v>
      </c>
      <c r="D858" s="1" t="s">
        <v>1254</v>
      </c>
      <c r="E858" s="7" t="s">
        <v>20</v>
      </c>
      <c r="F858" s="1" t="s">
        <v>25</v>
      </c>
      <c r="G858" s="9" t="s">
        <v>35</v>
      </c>
      <c r="H858" s="7" t="s">
        <v>74</v>
      </c>
      <c r="I858" s="18">
        <v>15001002</v>
      </c>
      <c r="J858" s="10">
        <v>536798.38</v>
      </c>
      <c r="K858" s="7" t="s">
        <v>13</v>
      </c>
      <c r="L858" s="7" t="s">
        <v>54</v>
      </c>
      <c r="M858" s="34">
        <v>46098</v>
      </c>
      <c r="N858" s="7" t="s">
        <v>41</v>
      </c>
    </row>
    <row r="859" spans="1:15" x14ac:dyDescent="0.25">
      <c r="A859" s="41" t="s">
        <v>1112</v>
      </c>
      <c r="B859" s="1">
        <v>1</v>
      </c>
      <c r="C859" s="8">
        <v>46093</v>
      </c>
      <c r="D859" s="1" t="s">
        <v>1255</v>
      </c>
      <c r="E859" s="7" t="s">
        <v>20</v>
      </c>
      <c r="F859" s="1" t="s">
        <v>25</v>
      </c>
      <c r="G859" s="9" t="s">
        <v>35</v>
      </c>
      <c r="H859" s="7" t="s">
        <v>74</v>
      </c>
      <c r="I859" s="18">
        <v>15000000</v>
      </c>
      <c r="J859" s="10">
        <v>249424.79</v>
      </c>
      <c r="K859" s="7" t="s">
        <v>12</v>
      </c>
      <c r="L859" s="7" t="s">
        <v>53</v>
      </c>
      <c r="M859" s="34">
        <v>46094</v>
      </c>
      <c r="N859" s="7" t="s">
        <v>41</v>
      </c>
    </row>
    <row r="860" spans="1:15" x14ac:dyDescent="0.25">
      <c r="A860" s="41" t="s">
        <v>1256</v>
      </c>
      <c r="B860" s="1">
        <v>2</v>
      </c>
      <c r="C860" s="8">
        <v>46108</v>
      </c>
      <c r="D860" s="1" t="s">
        <v>1257</v>
      </c>
      <c r="E860" s="7" t="s">
        <v>13</v>
      </c>
      <c r="F860" s="1" t="s">
        <v>25</v>
      </c>
      <c r="G860" s="9" t="s">
        <v>35</v>
      </c>
      <c r="H860" s="7" t="s">
        <v>74</v>
      </c>
      <c r="I860" s="18" t="s">
        <v>0</v>
      </c>
      <c r="J860" s="10" t="s">
        <v>61</v>
      </c>
      <c r="K860" s="7" t="s">
        <v>22</v>
      </c>
      <c r="L860" s="7" t="s">
        <v>40</v>
      </c>
      <c r="M860" s="34">
        <v>46120</v>
      </c>
      <c r="N860" s="7" t="s">
        <v>46</v>
      </c>
    </row>
    <row r="861" spans="1:15" x14ac:dyDescent="0.25">
      <c r="A861" s="41" t="s">
        <v>1258</v>
      </c>
      <c r="B861" s="1">
        <v>2</v>
      </c>
      <c r="C861" s="8">
        <v>46097</v>
      </c>
      <c r="D861" s="1" t="s">
        <v>1259</v>
      </c>
      <c r="E861" s="7" t="s">
        <v>11</v>
      </c>
      <c r="F861" s="1" t="s">
        <v>25</v>
      </c>
      <c r="G861" s="9" t="s">
        <v>35</v>
      </c>
      <c r="H861" s="7" t="s">
        <v>74</v>
      </c>
      <c r="I861" s="18">
        <v>15000000</v>
      </c>
      <c r="J861" s="10">
        <v>30000</v>
      </c>
      <c r="K861" s="7" t="s">
        <v>12</v>
      </c>
      <c r="L861" s="7" t="s">
        <v>53</v>
      </c>
      <c r="M861" s="34">
        <v>46097</v>
      </c>
      <c r="N861" s="7" t="s">
        <v>41</v>
      </c>
    </row>
    <row r="862" spans="1:15" x14ac:dyDescent="0.25">
      <c r="A862" s="41" t="s">
        <v>483</v>
      </c>
      <c r="B862" s="1">
        <v>3</v>
      </c>
      <c r="C862" s="8">
        <v>46094</v>
      </c>
      <c r="D862" s="1" t="s">
        <v>1260</v>
      </c>
      <c r="E862" s="7" t="s">
        <v>14</v>
      </c>
      <c r="F862" s="1" t="s">
        <v>25</v>
      </c>
      <c r="G862" s="9" t="s">
        <v>35</v>
      </c>
      <c r="H862" s="7">
        <v>2674</v>
      </c>
      <c r="I862" s="18">
        <v>15000000</v>
      </c>
      <c r="J862" s="10">
        <v>100187.9</v>
      </c>
      <c r="K862" s="7" t="s">
        <v>12</v>
      </c>
      <c r="L862" s="7" t="s">
        <v>53</v>
      </c>
      <c r="M862" s="34">
        <v>46101</v>
      </c>
      <c r="N862" s="7" t="s">
        <v>41</v>
      </c>
    </row>
    <row r="863" spans="1:15" x14ac:dyDescent="0.25">
      <c r="A863" s="41" t="s">
        <v>483</v>
      </c>
      <c r="B863" s="1">
        <v>3</v>
      </c>
      <c r="C863" s="8">
        <v>46099</v>
      </c>
      <c r="D863" s="1" t="s">
        <v>1261</v>
      </c>
      <c r="E863" s="7" t="s">
        <v>14</v>
      </c>
      <c r="F863" s="1" t="s">
        <v>25</v>
      </c>
      <c r="G863" s="9" t="s">
        <v>35</v>
      </c>
      <c r="H863" s="7">
        <v>2675</v>
      </c>
      <c r="I863" s="18">
        <v>15000000</v>
      </c>
      <c r="J863" s="10">
        <v>201866.1</v>
      </c>
      <c r="K863" s="7" t="s">
        <v>12</v>
      </c>
      <c r="L863" s="7" t="s">
        <v>53</v>
      </c>
      <c r="M863" s="34">
        <v>46101</v>
      </c>
      <c r="N863" s="7" t="s">
        <v>41</v>
      </c>
    </row>
    <row r="864" spans="1:15" ht="30" x14ac:dyDescent="0.25">
      <c r="A864" s="41" t="s">
        <v>1262</v>
      </c>
      <c r="B864" s="1">
        <v>1</v>
      </c>
      <c r="C864" s="8">
        <v>46094</v>
      </c>
      <c r="D864" s="1" t="s">
        <v>502</v>
      </c>
      <c r="E864" s="7" t="s">
        <v>82</v>
      </c>
      <c r="F864" s="1" t="s">
        <v>25</v>
      </c>
      <c r="G864" s="9" t="s">
        <v>47</v>
      </c>
      <c r="H864" s="7" t="s">
        <v>74</v>
      </c>
      <c r="I864" s="18" t="s">
        <v>0</v>
      </c>
      <c r="J864" s="10" t="s">
        <v>61</v>
      </c>
      <c r="K864" s="7" t="s">
        <v>22</v>
      </c>
      <c r="L864" s="7" t="s">
        <v>55</v>
      </c>
      <c r="M864" s="34">
        <v>46120</v>
      </c>
    </row>
    <row r="865" spans="1:14" x14ac:dyDescent="0.25">
      <c r="A865" s="41" t="s">
        <v>220</v>
      </c>
      <c r="B865" s="1">
        <v>1</v>
      </c>
      <c r="C865" s="8">
        <v>46094</v>
      </c>
      <c r="D865" s="1" t="s">
        <v>1263</v>
      </c>
      <c r="E865" s="7" t="s">
        <v>11</v>
      </c>
      <c r="F865" s="1" t="s">
        <v>25</v>
      </c>
      <c r="G865" s="9" t="s">
        <v>35</v>
      </c>
      <c r="H865" s="7">
        <v>2307</v>
      </c>
      <c r="I865" s="18">
        <v>15000000</v>
      </c>
      <c r="J865" s="10">
        <v>19800</v>
      </c>
      <c r="K865" s="7" t="s">
        <v>12</v>
      </c>
      <c r="L865" s="7" t="s">
        <v>53</v>
      </c>
      <c r="M865" s="34">
        <v>46099</v>
      </c>
      <c r="N865" s="7" t="s">
        <v>41</v>
      </c>
    </row>
    <row r="866" spans="1:14" x14ac:dyDescent="0.25">
      <c r="A866" s="41" t="s">
        <v>220</v>
      </c>
      <c r="B866" s="1">
        <v>1</v>
      </c>
      <c r="C866" s="8">
        <v>46094</v>
      </c>
      <c r="D866" s="1" t="s">
        <v>1264</v>
      </c>
      <c r="E866" s="7" t="s">
        <v>11</v>
      </c>
      <c r="F866" s="1" t="s">
        <v>25</v>
      </c>
      <c r="G866" s="9" t="s">
        <v>35</v>
      </c>
      <c r="H866" s="7">
        <v>2304</v>
      </c>
      <c r="I866" s="18">
        <v>15000000</v>
      </c>
      <c r="J866" s="10">
        <v>1875</v>
      </c>
      <c r="K866" s="7" t="s">
        <v>12</v>
      </c>
      <c r="L866" s="7" t="s">
        <v>53</v>
      </c>
      <c r="M866" s="34">
        <v>46099</v>
      </c>
      <c r="N866" s="7" t="s">
        <v>41</v>
      </c>
    </row>
    <row r="867" spans="1:14" x14ac:dyDescent="0.25">
      <c r="A867" s="41" t="s">
        <v>220</v>
      </c>
      <c r="B867" s="1">
        <v>1</v>
      </c>
      <c r="C867" s="8">
        <v>46094</v>
      </c>
      <c r="D867" s="1" t="s">
        <v>1265</v>
      </c>
      <c r="E867" s="7" t="s">
        <v>11</v>
      </c>
      <c r="F867" s="1" t="s">
        <v>25</v>
      </c>
      <c r="G867" s="9" t="s">
        <v>35</v>
      </c>
      <c r="H867" s="7">
        <v>2305</v>
      </c>
      <c r="I867" s="18">
        <v>15000000</v>
      </c>
      <c r="J867" s="10">
        <v>19800</v>
      </c>
      <c r="K867" s="7" t="s">
        <v>12</v>
      </c>
      <c r="L867" s="7" t="s">
        <v>53</v>
      </c>
      <c r="M867" s="34">
        <v>46099</v>
      </c>
      <c r="N867" s="7" t="s">
        <v>41</v>
      </c>
    </row>
    <row r="868" spans="1:14" x14ac:dyDescent="0.25">
      <c r="A868" s="41" t="s">
        <v>220</v>
      </c>
      <c r="B868" s="1">
        <v>1</v>
      </c>
      <c r="C868" s="8">
        <v>46094</v>
      </c>
      <c r="D868" s="1" t="s">
        <v>1266</v>
      </c>
      <c r="E868" s="7" t="s">
        <v>11</v>
      </c>
      <c r="F868" s="1" t="s">
        <v>25</v>
      </c>
      <c r="G868" s="9" t="s">
        <v>35</v>
      </c>
      <c r="H868" s="7">
        <v>2303</v>
      </c>
      <c r="I868" s="18">
        <v>15000000</v>
      </c>
      <c r="J868" s="10">
        <v>1875</v>
      </c>
      <c r="K868" s="7" t="s">
        <v>12</v>
      </c>
      <c r="L868" s="7" t="s">
        <v>53</v>
      </c>
      <c r="M868" s="34">
        <v>46099</v>
      </c>
      <c r="N868" s="7" t="s">
        <v>41</v>
      </c>
    </row>
    <row r="869" spans="1:14" x14ac:dyDescent="0.25">
      <c r="A869" s="41" t="s">
        <v>220</v>
      </c>
      <c r="B869" s="1">
        <v>2</v>
      </c>
      <c r="C869" s="8">
        <v>46099</v>
      </c>
      <c r="D869" s="1" t="s">
        <v>1267</v>
      </c>
      <c r="E869" s="7" t="s">
        <v>11</v>
      </c>
      <c r="F869" s="1" t="s">
        <v>25</v>
      </c>
      <c r="G869" s="9" t="s">
        <v>35</v>
      </c>
      <c r="H869" s="7">
        <v>2305</v>
      </c>
      <c r="I869" s="18">
        <v>15000000</v>
      </c>
      <c r="J869" s="10">
        <v>5569.24</v>
      </c>
      <c r="K869" s="7" t="s">
        <v>12</v>
      </c>
      <c r="L869" s="7" t="s">
        <v>53</v>
      </c>
      <c r="M869" s="34">
        <v>46099</v>
      </c>
      <c r="N869" s="7" t="s">
        <v>41</v>
      </c>
    </row>
    <row r="870" spans="1:14" x14ac:dyDescent="0.25">
      <c r="A870" s="41" t="s">
        <v>441</v>
      </c>
      <c r="B870" s="1">
        <v>2</v>
      </c>
      <c r="C870" s="8">
        <v>46094</v>
      </c>
      <c r="D870" s="1" t="s">
        <v>1268</v>
      </c>
      <c r="E870" s="7" t="s">
        <v>14</v>
      </c>
      <c r="F870" s="1" t="s">
        <v>25</v>
      </c>
      <c r="G870" s="9" t="s">
        <v>35</v>
      </c>
      <c r="H870" s="7">
        <v>11916</v>
      </c>
      <c r="I870" s="18">
        <v>15000000</v>
      </c>
      <c r="J870" s="10">
        <v>2283.4699999999998</v>
      </c>
      <c r="K870" s="7" t="s">
        <v>58</v>
      </c>
      <c r="L870" s="7" t="s">
        <v>59</v>
      </c>
      <c r="M870" s="34">
        <v>46100</v>
      </c>
      <c r="N870" s="7" t="s">
        <v>774</v>
      </c>
    </row>
    <row r="871" spans="1:14" x14ac:dyDescent="0.25">
      <c r="A871" s="41" t="s">
        <v>1270</v>
      </c>
      <c r="B871" s="1">
        <v>1</v>
      </c>
      <c r="C871" s="8">
        <v>46094</v>
      </c>
      <c r="D871" s="1" t="s">
        <v>1269</v>
      </c>
      <c r="E871" s="7" t="s">
        <v>11</v>
      </c>
      <c r="F871" s="1" t="s">
        <v>25</v>
      </c>
      <c r="G871" s="9" t="s">
        <v>35</v>
      </c>
      <c r="H871" s="7">
        <v>16</v>
      </c>
      <c r="I871" s="18">
        <v>15000000</v>
      </c>
      <c r="J871" s="10">
        <v>80000</v>
      </c>
      <c r="K871" s="7" t="s">
        <v>12</v>
      </c>
      <c r="L871" s="7" t="s">
        <v>53</v>
      </c>
      <c r="M871" s="34">
        <v>46097</v>
      </c>
      <c r="N871" s="7" t="s">
        <v>41</v>
      </c>
    </row>
    <row r="872" spans="1:14" ht="30" x14ac:dyDescent="0.25">
      <c r="A872" s="41" t="s">
        <v>1272</v>
      </c>
      <c r="B872" s="1">
        <v>1</v>
      </c>
      <c r="C872" s="8">
        <v>46094</v>
      </c>
      <c r="D872" s="1" t="s">
        <v>1271</v>
      </c>
      <c r="E872" s="7" t="s">
        <v>14</v>
      </c>
      <c r="F872" s="1" t="s">
        <v>25</v>
      </c>
      <c r="G872" s="9" t="s">
        <v>47</v>
      </c>
      <c r="H872" s="7" t="s">
        <v>74</v>
      </c>
      <c r="I872" s="18" t="s">
        <v>0</v>
      </c>
      <c r="J872" s="10" t="s">
        <v>61</v>
      </c>
      <c r="K872" s="7" t="s">
        <v>22</v>
      </c>
      <c r="L872" s="7" t="s">
        <v>55</v>
      </c>
      <c r="M872" s="34" t="s">
        <v>1407</v>
      </c>
      <c r="N872" s="7" t="s">
        <v>46</v>
      </c>
    </row>
    <row r="873" spans="1:14" x14ac:dyDescent="0.25">
      <c r="A873" s="41" t="s">
        <v>1274</v>
      </c>
      <c r="B873" s="1">
        <v>1</v>
      </c>
      <c r="C873" s="8">
        <v>46094</v>
      </c>
      <c r="D873" s="1" t="s">
        <v>1273</v>
      </c>
      <c r="E873" s="7" t="s">
        <v>13</v>
      </c>
      <c r="F873" s="1" t="s">
        <v>25</v>
      </c>
      <c r="G873" s="9" t="s">
        <v>63</v>
      </c>
      <c r="H873" s="7" t="s">
        <v>74</v>
      </c>
      <c r="I873" s="18" t="s">
        <v>0</v>
      </c>
      <c r="J873" s="10">
        <v>183682.74</v>
      </c>
      <c r="K873" s="7" t="s">
        <v>13</v>
      </c>
      <c r="L873" s="7" t="s">
        <v>54</v>
      </c>
      <c r="M873" s="34">
        <v>46134</v>
      </c>
      <c r="N873" s="7" t="s">
        <v>91</v>
      </c>
    </row>
    <row r="874" spans="1:14" x14ac:dyDescent="0.25">
      <c r="A874" s="41" t="s">
        <v>112</v>
      </c>
      <c r="B874" s="1">
        <v>1</v>
      </c>
      <c r="C874" s="8">
        <v>46094</v>
      </c>
      <c r="D874" s="1" t="s">
        <v>1275</v>
      </c>
      <c r="E874" s="7" t="s">
        <v>13</v>
      </c>
      <c r="F874" s="1" t="s">
        <v>25</v>
      </c>
      <c r="G874" s="9" t="s">
        <v>63</v>
      </c>
      <c r="H874" s="7" t="s">
        <v>74</v>
      </c>
      <c r="I874" s="18" t="s">
        <v>0</v>
      </c>
      <c r="J874" s="10" t="s">
        <v>61</v>
      </c>
      <c r="K874" s="7" t="s">
        <v>17</v>
      </c>
      <c r="L874" s="7" t="s">
        <v>55</v>
      </c>
      <c r="M874" s="34">
        <v>46129</v>
      </c>
    </row>
    <row r="875" spans="1:14" x14ac:dyDescent="0.25">
      <c r="A875" s="41" t="s">
        <v>1276</v>
      </c>
      <c r="B875" s="1">
        <v>1</v>
      </c>
      <c r="C875" s="8">
        <v>46094</v>
      </c>
      <c r="D875" s="1" t="s">
        <v>1277</v>
      </c>
      <c r="E875" s="7" t="s">
        <v>13</v>
      </c>
      <c r="F875" s="1" t="s">
        <v>25</v>
      </c>
      <c r="G875" s="9" t="s">
        <v>35</v>
      </c>
      <c r="H875" s="7" t="s">
        <v>74</v>
      </c>
      <c r="I875" s="18" t="s">
        <v>0</v>
      </c>
      <c r="J875" s="10" t="s">
        <v>61</v>
      </c>
      <c r="K875" s="7" t="s">
        <v>17</v>
      </c>
      <c r="L875" s="7" t="s">
        <v>55</v>
      </c>
      <c r="M875" s="34">
        <v>46129</v>
      </c>
    </row>
    <row r="876" spans="1:14" x14ac:dyDescent="0.25">
      <c r="A876" s="41" t="s">
        <v>339</v>
      </c>
      <c r="B876" s="1">
        <v>1</v>
      </c>
      <c r="C876" s="8">
        <v>46094</v>
      </c>
      <c r="D876" s="1" t="s">
        <v>1278</v>
      </c>
      <c r="E876" s="7" t="s">
        <v>13</v>
      </c>
      <c r="F876" s="1" t="s">
        <v>25</v>
      </c>
      <c r="G876" s="9" t="s">
        <v>35</v>
      </c>
      <c r="H876" s="7">
        <v>121</v>
      </c>
      <c r="I876" s="18">
        <v>15001002</v>
      </c>
      <c r="J876" s="10">
        <v>18000</v>
      </c>
      <c r="K876" s="7" t="s">
        <v>13</v>
      </c>
      <c r="L876" s="7" t="s">
        <v>54</v>
      </c>
      <c r="M876" s="34">
        <v>46097</v>
      </c>
    </row>
    <row r="877" spans="1:14" x14ac:dyDescent="0.25">
      <c r="A877" s="41" t="s">
        <v>1280</v>
      </c>
      <c r="B877" s="1">
        <v>1</v>
      </c>
      <c r="C877" s="8">
        <v>46094</v>
      </c>
      <c r="D877" s="1" t="s">
        <v>1279</v>
      </c>
      <c r="E877" s="7" t="s">
        <v>13</v>
      </c>
      <c r="F877" s="1" t="s">
        <v>25</v>
      </c>
      <c r="G877" s="9" t="s">
        <v>35</v>
      </c>
      <c r="H877" s="7" t="s">
        <v>74</v>
      </c>
      <c r="I877" s="18">
        <v>16000000</v>
      </c>
      <c r="J877" s="10">
        <v>1100</v>
      </c>
      <c r="K877" s="7" t="s">
        <v>13</v>
      </c>
      <c r="L877" s="7" t="s">
        <v>54</v>
      </c>
      <c r="M877" s="34">
        <v>46098</v>
      </c>
      <c r="N877" s="7" t="s">
        <v>52</v>
      </c>
    </row>
    <row r="878" spans="1:14" x14ac:dyDescent="0.25">
      <c r="A878" s="41" t="s">
        <v>412</v>
      </c>
      <c r="B878" s="1">
        <v>1</v>
      </c>
      <c r="C878" s="8">
        <v>46094</v>
      </c>
      <c r="D878" s="1" t="s">
        <v>1281</v>
      </c>
      <c r="E878" s="7" t="s">
        <v>2</v>
      </c>
      <c r="F878" s="1" t="s">
        <v>25</v>
      </c>
      <c r="G878" s="9" t="s">
        <v>35</v>
      </c>
      <c r="H878" s="7" t="s">
        <v>74</v>
      </c>
      <c r="I878" s="18">
        <v>15400000</v>
      </c>
      <c r="J878" s="10">
        <v>3424</v>
      </c>
      <c r="K878" s="7" t="s">
        <v>12</v>
      </c>
      <c r="L878" s="7" t="s">
        <v>53</v>
      </c>
      <c r="M878" s="34">
        <v>46097</v>
      </c>
    </row>
    <row r="879" spans="1:14" x14ac:dyDescent="0.25">
      <c r="A879" s="41" t="s">
        <v>1283</v>
      </c>
      <c r="B879" s="1">
        <v>1</v>
      </c>
      <c r="C879" s="8">
        <v>46094</v>
      </c>
      <c r="D879" s="1" t="s">
        <v>1282</v>
      </c>
      <c r="E879" s="7" t="s">
        <v>83</v>
      </c>
      <c r="F879" s="1" t="s">
        <v>25</v>
      </c>
      <c r="G879" s="9" t="s">
        <v>35</v>
      </c>
      <c r="H879" s="7" t="s">
        <v>74</v>
      </c>
      <c r="I879" s="18">
        <v>15000000</v>
      </c>
      <c r="J879" s="10">
        <v>41134.9</v>
      </c>
      <c r="K879" s="7" t="s">
        <v>12</v>
      </c>
      <c r="L879" s="7" t="s">
        <v>53</v>
      </c>
      <c r="M879" s="34">
        <v>46098</v>
      </c>
      <c r="N879" s="7" t="s">
        <v>774</v>
      </c>
    </row>
    <row r="880" spans="1:14" x14ac:dyDescent="0.25">
      <c r="A880" s="41" t="s">
        <v>428</v>
      </c>
      <c r="B880" s="1">
        <v>1</v>
      </c>
      <c r="C880" s="8">
        <v>46094</v>
      </c>
      <c r="D880" s="1" t="s">
        <v>1284</v>
      </c>
      <c r="E880" s="7" t="s">
        <v>11</v>
      </c>
      <c r="F880" s="1" t="s">
        <v>25</v>
      </c>
      <c r="G880" s="9" t="s">
        <v>35</v>
      </c>
      <c r="H880" s="7">
        <v>243246</v>
      </c>
      <c r="I880" s="18">
        <v>15000000</v>
      </c>
      <c r="J880" s="10">
        <v>27908.86</v>
      </c>
      <c r="K880" s="7" t="s">
        <v>12</v>
      </c>
      <c r="L880" s="7" t="s">
        <v>53</v>
      </c>
      <c r="M880" s="34">
        <v>46098</v>
      </c>
      <c r="N880" s="7" t="s">
        <v>774</v>
      </c>
    </row>
    <row r="881" spans="1:14" x14ac:dyDescent="0.25">
      <c r="A881" s="41" t="s">
        <v>428</v>
      </c>
      <c r="B881" s="1">
        <v>1</v>
      </c>
      <c r="C881" s="8">
        <v>46094</v>
      </c>
      <c r="D881" s="1" t="s">
        <v>1285</v>
      </c>
      <c r="E881" s="7" t="s">
        <v>82</v>
      </c>
      <c r="F881" s="1" t="s">
        <v>25</v>
      </c>
      <c r="G881" s="9" t="s">
        <v>35</v>
      </c>
      <c r="H881" s="7">
        <v>243206</v>
      </c>
      <c r="I881" s="18">
        <v>15000000</v>
      </c>
      <c r="J881" s="10">
        <v>4628.75</v>
      </c>
      <c r="K881" s="7" t="s">
        <v>12</v>
      </c>
      <c r="L881" s="7" t="s">
        <v>53</v>
      </c>
      <c r="M881" s="34">
        <v>46100</v>
      </c>
      <c r="N881" s="7" t="s">
        <v>774</v>
      </c>
    </row>
    <row r="882" spans="1:14" x14ac:dyDescent="0.25">
      <c r="A882" s="41" t="s">
        <v>371</v>
      </c>
      <c r="B882" s="1">
        <v>2</v>
      </c>
      <c r="C882" s="8">
        <v>46094</v>
      </c>
      <c r="D882" s="1" t="s">
        <v>1286</v>
      </c>
      <c r="E882" s="7" t="s">
        <v>83</v>
      </c>
      <c r="F882" s="1" t="s">
        <v>25</v>
      </c>
      <c r="G882" s="9" t="s">
        <v>35</v>
      </c>
      <c r="H882" s="7">
        <v>1024</v>
      </c>
      <c r="I882" s="18">
        <v>15000000</v>
      </c>
      <c r="J882" s="10">
        <v>1284.97</v>
      </c>
      <c r="K882" s="7" t="s">
        <v>12</v>
      </c>
      <c r="L882" s="7" t="s">
        <v>53</v>
      </c>
      <c r="M882" s="34">
        <v>46099</v>
      </c>
      <c r="N882" s="7" t="s">
        <v>92</v>
      </c>
    </row>
    <row r="883" spans="1:14" x14ac:dyDescent="0.25">
      <c r="A883" s="41" t="s">
        <v>513</v>
      </c>
      <c r="B883" s="1">
        <v>3</v>
      </c>
      <c r="C883" s="8">
        <v>46119</v>
      </c>
      <c r="D883" s="1" t="s">
        <v>1287</v>
      </c>
      <c r="E883" s="7" t="s">
        <v>12</v>
      </c>
      <c r="F883" s="1" t="s">
        <v>25</v>
      </c>
      <c r="G883" s="9" t="s">
        <v>35</v>
      </c>
      <c r="H883" s="7">
        <v>5703</v>
      </c>
      <c r="I883" s="18">
        <v>15000000</v>
      </c>
      <c r="J883" s="10">
        <v>7800</v>
      </c>
      <c r="K883" s="7" t="s">
        <v>12</v>
      </c>
      <c r="L883" s="7" t="s">
        <v>53</v>
      </c>
      <c r="M883" s="34">
        <v>46120</v>
      </c>
      <c r="N883" s="7" t="s">
        <v>774</v>
      </c>
    </row>
    <row r="884" spans="1:14" x14ac:dyDescent="0.25">
      <c r="A884" s="41" t="s">
        <v>740</v>
      </c>
      <c r="B884" s="1">
        <v>1</v>
      </c>
      <c r="C884" s="8">
        <v>46094</v>
      </c>
      <c r="D884" s="1" t="s">
        <v>1288</v>
      </c>
      <c r="E884" s="7" t="s">
        <v>14</v>
      </c>
      <c r="F884" s="1" t="s">
        <v>25</v>
      </c>
      <c r="G884" s="9" t="s">
        <v>35</v>
      </c>
      <c r="H884" s="7" t="s">
        <v>74</v>
      </c>
      <c r="I884" s="18">
        <v>15000000</v>
      </c>
      <c r="J884" s="10">
        <v>11626.67</v>
      </c>
      <c r="K884" s="7" t="s">
        <v>12</v>
      </c>
      <c r="L884" s="7" t="s">
        <v>53</v>
      </c>
      <c r="M884" s="34">
        <v>46099</v>
      </c>
      <c r="N884" s="7" t="s">
        <v>52</v>
      </c>
    </row>
    <row r="885" spans="1:14" x14ac:dyDescent="0.25">
      <c r="A885" s="41" t="s">
        <v>220</v>
      </c>
      <c r="B885" s="1">
        <v>1</v>
      </c>
      <c r="C885" s="8">
        <v>46094</v>
      </c>
      <c r="D885" s="1" t="s">
        <v>1289</v>
      </c>
      <c r="E885" s="7" t="s">
        <v>11</v>
      </c>
      <c r="F885" s="1" t="s">
        <v>25</v>
      </c>
      <c r="G885" s="9" t="s">
        <v>35</v>
      </c>
      <c r="H885" s="7">
        <v>2270</v>
      </c>
      <c r="I885" s="18">
        <v>15000000</v>
      </c>
      <c r="J885" s="10">
        <v>2270</v>
      </c>
      <c r="K885" s="7" t="s">
        <v>12</v>
      </c>
      <c r="L885" s="7" t="s">
        <v>53</v>
      </c>
      <c r="M885" s="34">
        <v>46099</v>
      </c>
      <c r="N885" s="7" t="s">
        <v>41</v>
      </c>
    </row>
    <row r="886" spans="1:14" x14ac:dyDescent="0.25">
      <c r="A886" s="41" t="s">
        <v>740</v>
      </c>
      <c r="B886" s="1">
        <v>1</v>
      </c>
      <c r="C886" s="8">
        <v>46094</v>
      </c>
      <c r="D886" s="1" t="s">
        <v>1339</v>
      </c>
      <c r="E886" s="7" t="s">
        <v>2</v>
      </c>
      <c r="F886" s="1" t="s">
        <v>25</v>
      </c>
      <c r="G886" s="9" t="s">
        <v>35</v>
      </c>
      <c r="H886" s="7" t="s">
        <v>74</v>
      </c>
      <c r="I886" s="18">
        <v>15001001</v>
      </c>
      <c r="J886" s="10">
        <v>2446.66</v>
      </c>
      <c r="K886" s="7" t="s">
        <v>12</v>
      </c>
      <c r="L886" s="7" t="s">
        <v>53</v>
      </c>
      <c r="M886" s="34">
        <v>46098</v>
      </c>
      <c r="N886" s="7" t="s">
        <v>52</v>
      </c>
    </row>
    <row r="887" spans="1:14" x14ac:dyDescent="0.25">
      <c r="A887" s="41" t="s">
        <v>441</v>
      </c>
      <c r="B887" s="1">
        <v>2</v>
      </c>
      <c r="C887" s="8">
        <v>46097</v>
      </c>
      <c r="D887" s="1" t="s">
        <v>1290</v>
      </c>
      <c r="E887" s="7" t="s">
        <v>13</v>
      </c>
      <c r="F887" s="1" t="s">
        <v>25</v>
      </c>
      <c r="G887" s="9" t="s">
        <v>35</v>
      </c>
      <c r="H887" s="7">
        <v>11915</v>
      </c>
      <c r="I887" s="18">
        <v>16590000</v>
      </c>
      <c r="J887" s="10">
        <v>4056.8</v>
      </c>
      <c r="K887" s="7" t="s">
        <v>13</v>
      </c>
      <c r="L887" s="7" t="s">
        <v>54</v>
      </c>
      <c r="M887" s="34">
        <v>46101</v>
      </c>
      <c r="N887" s="7" t="s">
        <v>774</v>
      </c>
    </row>
    <row r="888" spans="1:14" x14ac:dyDescent="0.25">
      <c r="A888" s="41" t="s">
        <v>740</v>
      </c>
      <c r="B888" s="1">
        <v>1</v>
      </c>
      <c r="C888" s="8">
        <v>46097</v>
      </c>
      <c r="D888" s="1" t="s">
        <v>1291</v>
      </c>
      <c r="E888" s="7" t="s">
        <v>13</v>
      </c>
      <c r="F888" s="1" t="s">
        <v>25</v>
      </c>
      <c r="G888" s="9" t="s">
        <v>35</v>
      </c>
      <c r="H888" s="7">
        <v>3656</v>
      </c>
      <c r="I888" s="18">
        <v>15001002</v>
      </c>
      <c r="J888" s="10">
        <v>2406.66</v>
      </c>
      <c r="K888" s="7" t="s">
        <v>13</v>
      </c>
      <c r="L888" s="7" t="s">
        <v>54</v>
      </c>
      <c r="M888" s="34">
        <v>46097</v>
      </c>
      <c r="N888" s="7" t="s">
        <v>52</v>
      </c>
    </row>
    <row r="889" spans="1:14" x14ac:dyDescent="0.25">
      <c r="A889" s="41" t="s">
        <v>473</v>
      </c>
      <c r="B889" s="1">
        <v>2</v>
      </c>
      <c r="C889" s="8">
        <v>46097</v>
      </c>
      <c r="D889" s="1" t="s">
        <v>1367</v>
      </c>
      <c r="E889" s="7" t="s">
        <v>11</v>
      </c>
      <c r="F889" s="1" t="s">
        <v>25</v>
      </c>
      <c r="G889" s="9" t="s">
        <v>35</v>
      </c>
      <c r="H889" s="7">
        <v>1</v>
      </c>
      <c r="I889" s="18">
        <v>15000000</v>
      </c>
      <c r="J889" s="10">
        <v>26100</v>
      </c>
      <c r="K889" s="7" t="s">
        <v>12</v>
      </c>
      <c r="L889" s="7" t="s">
        <v>53</v>
      </c>
      <c r="M889" s="34">
        <v>46099</v>
      </c>
      <c r="N889" s="7" t="s">
        <v>92</v>
      </c>
    </row>
    <row r="890" spans="1:14" x14ac:dyDescent="0.25">
      <c r="A890" s="41" t="s">
        <v>1294</v>
      </c>
      <c r="B890" s="1">
        <v>1</v>
      </c>
      <c r="C890" s="8">
        <v>46097</v>
      </c>
      <c r="D890" s="1" t="s">
        <v>1293</v>
      </c>
      <c r="E890" s="7" t="s">
        <v>17</v>
      </c>
      <c r="F890" s="1" t="s">
        <v>25</v>
      </c>
      <c r="G890" s="9" t="s">
        <v>37</v>
      </c>
      <c r="H890" s="7" t="s">
        <v>74</v>
      </c>
      <c r="I890" s="18" t="s">
        <v>0</v>
      </c>
      <c r="J890" s="10" t="s">
        <v>61</v>
      </c>
      <c r="K890" s="7" t="s">
        <v>22</v>
      </c>
      <c r="L890" s="7" t="s">
        <v>55</v>
      </c>
      <c r="M890" s="34">
        <v>46105</v>
      </c>
      <c r="N890" s="7" t="s">
        <v>46</v>
      </c>
    </row>
    <row r="891" spans="1:14" x14ac:dyDescent="0.25">
      <c r="A891" s="41" t="s">
        <v>497</v>
      </c>
      <c r="B891" s="1">
        <v>2</v>
      </c>
      <c r="C891" s="8">
        <v>46160</v>
      </c>
      <c r="D891" s="1" t="s">
        <v>1295</v>
      </c>
      <c r="E891" s="7" t="s">
        <v>16</v>
      </c>
      <c r="F891" s="1" t="s">
        <v>25</v>
      </c>
      <c r="G891" s="9" t="s">
        <v>68</v>
      </c>
      <c r="H891" s="7" t="s">
        <v>74</v>
      </c>
      <c r="I891" s="18" t="s">
        <v>0</v>
      </c>
      <c r="J891" s="10" t="s">
        <v>61</v>
      </c>
      <c r="K891" s="7" t="s">
        <v>58</v>
      </c>
      <c r="L891" s="7" t="s">
        <v>59</v>
      </c>
      <c r="M891" s="34">
        <v>46146</v>
      </c>
      <c r="N891" s="7" t="s">
        <v>41</v>
      </c>
    </row>
    <row r="892" spans="1:14" x14ac:dyDescent="0.25">
      <c r="A892" s="41" t="s">
        <v>223</v>
      </c>
      <c r="B892" s="1">
        <v>1</v>
      </c>
      <c r="C892" s="8">
        <v>46097</v>
      </c>
      <c r="D892" s="1" t="s">
        <v>1296</v>
      </c>
      <c r="E892" s="7" t="s">
        <v>14</v>
      </c>
      <c r="F892" s="1" t="s">
        <v>25</v>
      </c>
      <c r="G892" s="9" t="s">
        <v>63</v>
      </c>
      <c r="H892" s="7" t="s">
        <v>74</v>
      </c>
      <c r="I892" s="18" t="s">
        <v>0</v>
      </c>
      <c r="J892" s="10" t="s">
        <v>61</v>
      </c>
      <c r="K892" s="7" t="s">
        <v>17</v>
      </c>
      <c r="L892" s="7" t="s">
        <v>55</v>
      </c>
      <c r="M892" s="34">
        <v>46101</v>
      </c>
      <c r="N892" s="7" t="s">
        <v>91</v>
      </c>
    </row>
    <row r="893" spans="1:14" x14ac:dyDescent="0.25">
      <c r="A893" s="41" t="s">
        <v>313</v>
      </c>
      <c r="B893" s="1">
        <v>1</v>
      </c>
      <c r="C893" s="8">
        <v>46097</v>
      </c>
      <c r="D893" s="1" t="s">
        <v>1297</v>
      </c>
      <c r="E893" s="7" t="s">
        <v>13</v>
      </c>
      <c r="F893" s="1" t="s">
        <v>25</v>
      </c>
      <c r="G893" s="9" t="s">
        <v>63</v>
      </c>
      <c r="H893" s="7" t="s">
        <v>74</v>
      </c>
      <c r="I893" s="18" t="s">
        <v>0</v>
      </c>
      <c r="J893" s="10" t="s">
        <v>61</v>
      </c>
      <c r="K893" s="7" t="s">
        <v>17</v>
      </c>
      <c r="L893" s="7" t="s">
        <v>55</v>
      </c>
      <c r="M893" s="34">
        <v>46106</v>
      </c>
      <c r="N893" s="7" t="s">
        <v>91</v>
      </c>
    </row>
    <row r="894" spans="1:14" x14ac:dyDescent="0.25">
      <c r="A894" s="41" t="s">
        <v>1299</v>
      </c>
      <c r="B894" s="1">
        <v>2</v>
      </c>
      <c r="C894" s="8">
        <v>46108</v>
      </c>
      <c r="D894" s="1" t="s">
        <v>1298</v>
      </c>
      <c r="E894" s="7" t="s">
        <v>11</v>
      </c>
      <c r="F894" s="1" t="s">
        <v>25</v>
      </c>
      <c r="G894" s="9" t="s">
        <v>63</v>
      </c>
      <c r="H894" s="7" t="s">
        <v>74</v>
      </c>
      <c r="I894" s="18" t="s">
        <v>0</v>
      </c>
      <c r="J894" s="10" t="s">
        <v>61</v>
      </c>
      <c r="K894" s="7" t="s">
        <v>17</v>
      </c>
      <c r="L894" s="7" t="s">
        <v>55</v>
      </c>
      <c r="M894" s="34">
        <v>46112</v>
      </c>
      <c r="N894" s="7" t="s">
        <v>91</v>
      </c>
    </row>
    <row r="895" spans="1:14" x14ac:dyDescent="0.25">
      <c r="A895" s="41" t="s">
        <v>782</v>
      </c>
      <c r="B895" s="1">
        <v>2</v>
      </c>
      <c r="C895" s="8">
        <v>46100</v>
      </c>
      <c r="D895" s="1" t="s">
        <v>1300</v>
      </c>
      <c r="E895" s="7" t="s">
        <v>56</v>
      </c>
      <c r="F895" s="1" t="s">
        <v>25</v>
      </c>
      <c r="G895" s="9" t="s">
        <v>35</v>
      </c>
      <c r="H895" s="7">
        <v>268</v>
      </c>
      <c r="I895" s="18">
        <v>15000000</v>
      </c>
      <c r="J895" s="10">
        <v>13000</v>
      </c>
      <c r="K895" s="7" t="s">
        <v>12</v>
      </c>
      <c r="L895" s="7" t="s">
        <v>53</v>
      </c>
      <c r="M895" s="34">
        <v>46099</v>
      </c>
      <c r="N895" s="7" t="s">
        <v>774</v>
      </c>
    </row>
    <row r="896" spans="1:14" x14ac:dyDescent="0.25">
      <c r="A896" s="41" t="s">
        <v>906</v>
      </c>
      <c r="B896" s="1">
        <v>1</v>
      </c>
      <c r="C896" s="8">
        <v>46097</v>
      </c>
      <c r="D896" s="1" t="s">
        <v>1301</v>
      </c>
      <c r="E896" s="7" t="s">
        <v>2</v>
      </c>
      <c r="F896" s="1" t="s">
        <v>25</v>
      </c>
      <c r="G896" s="9" t="s">
        <v>35</v>
      </c>
      <c r="H896" s="7">
        <v>704</v>
      </c>
      <c r="I896" s="18">
        <v>15500000</v>
      </c>
      <c r="J896" s="10">
        <v>364338.75</v>
      </c>
      <c r="K896" s="7" t="s">
        <v>12</v>
      </c>
      <c r="L896" s="7" t="s">
        <v>53</v>
      </c>
      <c r="M896" s="34">
        <v>46099</v>
      </c>
      <c r="N896" s="7" t="s">
        <v>92</v>
      </c>
    </row>
    <row r="897" spans="1:14" x14ac:dyDescent="0.25">
      <c r="A897" s="41" t="s">
        <v>1302</v>
      </c>
      <c r="B897" s="1">
        <v>1</v>
      </c>
      <c r="C897" s="8">
        <v>46097</v>
      </c>
      <c r="D897" s="1" t="s">
        <v>1303</v>
      </c>
      <c r="E897" s="7" t="s">
        <v>82</v>
      </c>
      <c r="F897" s="1" t="s">
        <v>25</v>
      </c>
      <c r="G897" s="9" t="s">
        <v>35</v>
      </c>
      <c r="H897" s="7">
        <v>14</v>
      </c>
      <c r="I897" s="18">
        <v>15000000</v>
      </c>
      <c r="J897" s="10">
        <v>65300</v>
      </c>
      <c r="K897" s="7" t="s">
        <v>12</v>
      </c>
      <c r="L897" s="7" t="s">
        <v>53</v>
      </c>
      <c r="M897" s="34">
        <v>46099</v>
      </c>
      <c r="N897" s="7" t="s">
        <v>774</v>
      </c>
    </row>
    <row r="898" spans="1:14" x14ac:dyDescent="0.25">
      <c r="A898" s="41" t="s">
        <v>785</v>
      </c>
      <c r="B898" s="1">
        <v>2</v>
      </c>
      <c r="C898" s="8">
        <v>46099</v>
      </c>
      <c r="D898" s="1" t="s">
        <v>1304</v>
      </c>
      <c r="E898" s="7" t="s">
        <v>56</v>
      </c>
      <c r="F898" s="1" t="s">
        <v>25</v>
      </c>
      <c r="G898" s="9" t="s">
        <v>35</v>
      </c>
      <c r="H898" s="7">
        <v>3478</v>
      </c>
      <c r="I898" s="18">
        <v>15000000</v>
      </c>
      <c r="J898" s="10">
        <v>4040.21</v>
      </c>
      <c r="K898" s="7" t="s">
        <v>12</v>
      </c>
      <c r="L898" s="7" t="s">
        <v>53</v>
      </c>
      <c r="M898" s="34">
        <v>46099</v>
      </c>
      <c r="N898" s="7" t="s">
        <v>774</v>
      </c>
    </row>
    <row r="899" spans="1:14" x14ac:dyDescent="0.25">
      <c r="A899" s="41" t="s">
        <v>428</v>
      </c>
      <c r="B899" s="1">
        <v>1</v>
      </c>
      <c r="C899" s="8">
        <v>46097</v>
      </c>
      <c r="D899" s="1" t="s">
        <v>1305</v>
      </c>
      <c r="E899" s="7" t="s">
        <v>2</v>
      </c>
      <c r="F899" s="1" t="s">
        <v>25</v>
      </c>
      <c r="G899" s="9" t="s">
        <v>35</v>
      </c>
      <c r="H899" s="7">
        <v>243207</v>
      </c>
      <c r="I899" s="18">
        <v>15001001</v>
      </c>
      <c r="J899" s="10">
        <v>7524.04</v>
      </c>
      <c r="K899" s="7" t="s">
        <v>12</v>
      </c>
      <c r="L899" s="7" t="s">
        <v>53</v>
      </c>
      <c r="M899" s="34">
        <v>46100</v>
      </c>
      <c r="N899" s="7" t="s">
        <v>774</v>
      </c>
    </row>
    <row r="900" spans="1:14" x14ac:dyDescent="0.25">
      <c r="A900" s="41" t="s">
        <v>1283</v>
      </c>
      <c r="B900" s="1">
        <v>1</v>
      </c>
      <c r="C900" s="8">
        <v>46097</v>
      </c>
      <c r="D900" s="1" t="s">
        <v>1306</v>
      </c>
      <c r="E900" s="7" t="s">
        <v>83</v>
      </c>
      <c r="F900" s="1" t="s">
        <v>25</v>
      </c>
      <c r="G900" s="9" t="s">
        <v>35</v>
      </c>
      <c r="H900" s="7" t="s">
        <v>74</v>
      </c>
      <c r="I900" s="18">
        <v>15000000</v>
      </c>
      <c r="J900" s="10">
        <v>33500</v>
      </c>
      <c r="K900" s="7" t="s">
        <v>12</v>
      </c>
      <c r="L900" s="7" t="s">
        <v>53</v>
      </c>
      <c r="M900" s="34">
        <v>46099</v>
      </c>
      <c r="N900" s="7" t="s">
        <v>774</v>
      </c>
    </row>
    <row r="901" spans="1:14" x14ac:dyDescent="0.25">
      <c r="A901" s="41" t="s">
        <v>441</v>
      </c>
      <c r="B901" s="1">
        <v>1</v>
      </c>
      <c r="C901" s="8">
        <v>46098</v>
      </c>
      <c r="D901" s="1" t="s">
        <v>1307</v>
      </c>
      <c r="E901" s="7" t="s">
        <v>16</v>
      </c>
      <c r="F901" s="1" t="s">
        <v>25</v>
      </c>
      <c r="G901" s="9" t="s">
        <v>35</v>
      </c>
      <c r="H901" s="7">
        <v>11920</v>
      </c>
      <c r="I901" s="18">
        <v>16600000</v>
      </c>
      <c r="J901" s="10">
        <v>374.01</v>
      </c>
      <c r="K901" s="7" t="s">
        <v>12</v>
      </c>
      <c r="L901" s="7" t="s">
        <v>53</v>
      </c>
      <c r="M901" s="34">
        <v>46099</v>
      </c>
      <c r="N901" s="7" t="s">
        <v>92</v>
      </c>
    </row>
    <row r="902" spans="1:14" x14ac:dyDescent="0.25">
      <c r="A902" s="41" t="s">
        <v>441</v>
      </c>
      <c r="B902" s="1">
        <v>1</v>
      </c>
      <c r="C902" s="8">
        <v>46098</v>
      </c>
      <c r="D902" s="1" t="s">
        <v>1308</v>
      </c>
      <c r="E902" s="7" t="s">
        <v>16</v>
      </c>
      <c r="F902" s="1" t="s">
        <v>25</v>
      </c>
      <c r="G902" s="9" t="s">
        <v>35</v>
      </c>
      <c r="H902" s="7">
        <v>11920</v>
      </c>
      <c r="I902" s="18">
        <v>16600000</v>
      </c>
      <c r="J902" s="10">
        <v>57.68</v>
      </c>
      <c r="K902" s="7" t="s">
        <v>12</v>
      </c>
      <c r="L902" s="7" t="s">
        <v>53</v>
      </c>
      <c r="M902" s="34">
        <v>46099</v>
      </c>
      <c r="N902" s="7" t="s">
        <v>92</v>
      </c>
    </row>
    <row r="903" spans="1:14" x14ac:dyDescent="0.25">
      <c r="A903" s="41" t="s">
        <v>441</v>
      </c>
      <c r="B903" s="1">
        <v>1</v>
      </c>
      <c r="C903" s="8">
        <v>46098</v>
      </c>
      <c r="D903" s="1" t="s">
        <v>1309</v>
      </c>
      <c r="E903" s="7" t="s">
        <v>16</v>
      </c>
      <c r="F903" s="1" t="s">
        <v>25</v>
      </c>
      <c r="G903" s="9" t="s">
        <v>35</v>
      </c>
      <c r="H903" s="7">
        <v>11920</v>
      </c>
      <c r="I903" s="18">
        <v>15000000</v>
      </c>
      <c r="J903" s="10">
        <v>712.81</v>
      </c>
      <c r="K903" s="7" t="s">
        <v>12</v>
      </c>
      <c r="L903" s="7" t="s">
        <v>53</v>
      </c>
      <c r="M903" s="34">
        <v>46099</v>
      </c>
      <c r="N903" s="7" t="s">
        <v>92</v>
      </c>
    </row>
    <row r="904" spans="1:14" x14ac:dyDescent="0.25">
      <c r="A904" s="41" t="s">
        <v>441</v>
      </c>
      <c r="B904" s="1">
        <v>1</v>
      </c>
      <c r="C904" s="8">
        <v>46098</v>
      </c>
      <c r="D904" s="1" t="s">
        <v>1310</v>
      </c>
      <c r="E904" s="7" t="s">
        <v>16</v>
      </c>
      <c r="F904" s="1" t="s">
        <v>25</v>
      </c>
      <c r="G904" s="9" t="s">
        <v>35</v>
      </c>
      <c r="H904" s="7">
        <v>11920</v>
      </c>
      <c r="I904" s="18">
        <v>16600000</v>
      </c>
      <c r="J904" s="10">
        <v>459.55</v>
      </c>
      <c r="K904" s="7" t="s">
        <v>12</v>
      </c>
      <c r="L904" s="7" t="s">
        <v>53</v>
      </c>
      <c r="M904" s="34">
        <v>46099</v>
      </c>
      <c r="N904" s="7" t="s">
        <v>92</v>
      </c>
    </row>
    <row r="905" spans="1:14" x14ac:dyDescent="0.25">
      <c r="A905" s="41" t="s">
        <v>1092</v>
      </c>
      <c r="B905" s="1">
        <v>1</v>
      </c>
      <c r="C905" s="8">
        <v>46098</v>
      </c>
      <c r="D905" s="1" t="s">
        <v>1311</v>
      </c>
      <c r="E905" s="7" t="s">
        <v>82</v>
      </c>
      <c r="F905" s="1" t="s">
        <v>25</v>
      </c>
      <c r="G905" s="9" t="s">
        <v>35</v>
      </c>
      <c r="H905" s="7">
        <v>3</v>
      </c>
      <c r="I905" s="18">
        <v>15000000</v>
      </c>
      <c r="J905" s="10">
        <v>12000</v>
      </c>
      <c r="K905" s="7" t="s">
        <v>12</v>
      </c>
      <c r="L905" s="7" t="s">
        <v>53</v>
      </c>
      <c r="M905" s="34">
        <v>46098</v>
      </c>
      <c r="N905" s="7" t="s">
        <v>41</v>
      </c>
    </row>
    <row r="906" spans="1:14" x14ac:dyDescent="0.25">
      <c r="A906" s="41" t="s">
        <v>220</v>
      </c>
      <c r="B906" s="1">
        <v>1</v>
      </c>
      <c r="C906" s="8">
        <v>46098</v>
      </c>
      <c r="D906" s="1" t="s">
        <v>1312</v>
      </c>
      <c r="E906" s="7" t="s">
        <v>11</v>
      </c>
      <c r="F906" s="1" t="s">
        <v>25</v>
      </c>
      <c r="G906" s="9" t="s">
        <v>35</v>
      </c>
      <c r="H906" s="7">
        <v>2165</v>
      </c>
      <c r="I906" s="18">
        <v>15000000</v>
      </c>
      <c r="J906" s="10">
        <v>19800</v>
      </c>
      <c r="K906" s="7" t="s">
        <v>12</v>
      </c>
      <c r="L906" s="7" t="s">
        <v>53</v>
      </c>
      <c r="M906" s="34">
        <v>46099</v>
      </c>
      <c r="N906" s="7" t="s">
        <v>41</v>
      </c>
    </row>
    <row r="907" spans="1:14" x14ac:dyDescent="0.25">
      <c r="A907" s="41" t="s">
        <v>220</v>
      </c>
      <c r="B907" s="1">
        <v>1</v>
      </c>
      <c r="C907" s="8">
        <v>46098</v>
      </c>
      <c r="D907" s="1" t="s">
        <v>1313</v>
      </c>
      <c r="E907" s="7" t="s">
        <v>11</v>
      </c>
      <c r="F907" s="1" t="s">
        <v>25</v>
      </c>
      <c r="G907" s="9" t="s">
        <v>35</v>
      </c>
      <c r="H907" s="7">
        <v>2310</v>
      </c>
      <c r="I907" s="18">
        <v>15000000</v>
      </c>
      <c r="J907" s="10">
        <v>11279.62</v>
      </c>
      <c r="K907" s="7" t="s">
        <v>12</v>
      </c>
      <c r="L907" s="7" t="s">
        <v>53</v>
      </c>
      <c r="M907" s="34">
        <v>46099</v>
      </c>
      <c r="N907" s="7" t="s">
        <v>41</v>
      </c>
    </row>
    <row r="908" spans="1:14" x14ac:dyDescent="0.25">
      <c r="A908" s="41" t="s">
        <v>380</v>
      </c>
      <c r="B908" s="1">
        <v>2</v>
      </c>
      <c r="C908" s="8">
        <v>46098</v>
      </c>
      <c r="D908" s="1" t="s">
        <v>1314</v>
      </c>
      <c r="E908" s="7" t="s">
        <v>12</v>
      </c>
      <c r="F908" s="1" t="s">
        <v>25</v>
      </c>
      <c r="G908" s="9" t="s">
        <v>35</v>
      </c>
      <c r="H908" s="7">
        <v>2026934</v>
      </c>
      <c r="I908" s="18" t="s">
        <v>0</v>
      </c>
      <c r="J908" s="10">
        <v>33000</v>
      </c>
      <c r="K908" s="7" t="s">
        <v>12</v>
      </c>
      <c r="L908" s="7" t="s">
        <v>53</v>
      </c>
      <c r="M908" s="34">
        <v>46101</v>
      </c>
      <c r="N908" s="7" t="s">
        <v>774</v>
      </c>
    </row>
    <row r="909" spans="1:14" x14ac:dyDescent="0.25">
      <c r="A909" s="41" t="s">
        <v>385</v>
      </c>
      <c r="B909" s="1">
        <v>3</v>
      </c>
      <c r="C909" s="8">
        <v>46100</v>
      </c>
      <c r="D909" s="1" t="s">
        <v>1316</v>
      </c>
      <c r="E909" s="7" t="s">
        <v>16</v>
      </c>
      <c r="F909" s="1" t="s">
        <v>25</v>
      </c>
      <c r="G909" s="9" t="s">
        <v>35</v>
      </c>
      <c r="H909" s="7">
        <v>4500</v>
      </c>
      <c r="I909" s="18">
        <v>15000000</v>
      </c>
      <c r="J909" s="10">
        <v>9437.31</v>
      </c>
      <c r="K909" s="7" t="s">
        <v>12</v>
      </c>
      <c r="L909" s="7" t="s">
        <v>53</v>
      </c>
      <c r="M909" s="34">
        <v>46100</v>
      </c>
      <c r="N909" s="7" t="s">
        <v>41</v>
      </c>
    </row>
    <row r="910" spans="1:14" x14ac:dyDescent="0.25">
      <c r="A910" s="41" t="s">
        <v>385</v>
      </c>
      <c r="B910" s="1">
        <v>2</v>
      </c>
      <c r="C910" s="8">
        <v>46098</v>
      </c>
      <c r="D910" s="1" t="s">
        <v>1317</v>
      </c>
      <c r="E910" s="7" t="s">
        <v>16</v>
      </c>
      <c r="F910" s="1" t="s">
        <v>25</v>
      </c>
      <c r="G910" s="9" t="s">
        <v>35</v>
      </c>
      <c r="H910" s="7">
        <v>4501</v>
      </c>
      <c r="I910" s="18">
        <v>16600000</v>
      </c>
      <c r="J910" s="10">
        <v>12768.68</v>
      </c>
      <c r="K910" s="7" t="s">
        <v>12</v>
      </c>
      <c r="L910" s="7" t="s">
        <v>53</v>
      </c>
      <c r="M910" s="34">
        <v>46100</v>
      </c>
      <c r="N910" s="7" t="s">
        <v>41</v>
      </c>
    </row>
    <row r="911" spans="1:14" x14ac:dyDescent="0.25">
      <c r="A911" s="41" t="s">
        <v>385</v>
      </c>
      <c r="B911" s="1">
        <v>2</v>
      </c>
      <c r="C911" s="8">
        <v>46098</v>
      </c>
      <c r="D911" s="1" t="s">
        <v>1318</v>
      </c>
      <c r="E911" s="7" t="s">
        <v>16</v>
      </c>
      <c r="F911" s="1" t="s">
        <v>25</v>
      </c>
      <c r="G911" s="9" t="s">
        <v>35</v>
      </c>
      <c r="H911" s="7">
        <v>4502</v>
      </c>
      <c r="I911" s="18">
        <v>16600000</v>
      </c>
      <c r="J911" s="10">
        <v>4629.01</v>
      </c>
      <c r="K911" s="7" t="s">
        <v>12</v>
      </c>
      <c r="L911" s="7" t="s">
        <v>53</v>
      </c>
      <c r="M911" s="34">
        <v>46100</v>
      </c>
      <c r="N911" s="7" t="s">
        <v>41</v>
      </c>
    </row>
    <row r="912" spans="1:14" x14ac:dyDescent="0.25">
      <c r="A912" s="41" t="s">
        <v>1315</v>
      </c>
      <c r="B912" s="1">
        <v>3</v>
      </c>
      <c r="C912" s="8">
        <v>46098</v>
      </c>
      <c r="D912" s="1" t="s">
        <v>1319</v>
      </c>
      <c r="E912" s="7" t="s">
        <v>14</v>
      </c>
      <c r="F912" s="1" t="s">
        <v>25</v>
      </c>
      <c r="G912" s="9" t="s">
        <v>35</v>
      </c>
      <c r="H912" s="7">
        <v>333</v>
      </c>
      <c r="I912" s="18">
        <v>15000000</v>
      </c>
      <c r="J912" s="10">
        <v>41362.01</v>
      </c>
      <c r="K912" s="7" t="s">
        <v>12</v>
      </c>
      <c r="L912" s="7" t="s">
        <v>53</v>
      </c>
      <c r="M912" s="34">
        <v>46101</v>
      </c>
      <c r="N912" s="7" t="s">
        <v>41</v>
      </c>
    </row>
    <row r="913" spans="1:15" x14ac:dyDescent="0.25">
      <c r="A913" s="41" t="s">
        <v>412</v>
      </c>
      <c r="B913" s="1">
        <v>1</v>
      </c>
      <c r="C913" s="8">
        <v>46098</v>
      </c>
      <c r="D913" s="1" t="s">
        <v>1320</v>
      </c>
      <c r="E913" s="7" t="s">
        <v>14</v>
      </c>
      <c r="F913" s="1" t="s">
        <v>25</v>
      </c>
      <c r="G913" s="9" t="s">
        <v>35</v>
      </c>
      <c r="H913" s="7">
        <v>1637</v>
      </c>
      <c r="I913" s="18">
        <v>15000000</v>
      </c>
      <c r="J913" s="10">
        <v>220</v>
      </c>
      <c r="K913" s="7" t="s">
        <v>12</v>
      </c>
      <c r="L913" s="7" t="s">
        <v>53</v>
      </c>
      <c r="M913" s="34">
        <v>46100</v>
      </c>
      <c r="N913" s="7" t="s">
        <v>62</v>
      </c>
    </row>
    <row r="914" spans="1:15" x14ac:dyDescent="0.25">
      <c r="A914" s="41" t="s">
        <v>364</v>
      </c>
      <c r="B914" s="1">
        <v>2</v>
      </c>
      <c r="C914" s="8">
        <v>46098</v>
      </c>
      <c r="D914" s="1" t="s">
        <v>1324</v>
      </c>
      <c r="E914" s="7" t="s">
        <v>13</v>
      </c>
      <c r="F914" s="1" t="s">
        <v>25</v>
      </c>
      <c r="G914" s="9" t="s">
        <v>35</v>
      </c>
      <c r="H914" s="7">
        <v>2574</v>
      </c>
      <c r="I914" s="18">
        <v>15001002</v>
      </c>
      <c r="J914" s="10">
        <v>12664.48</v>
      </c>
      <c r="K914" s="7" t="s">
        <v>13</v>
      </c>
      <c r="L914" s="7" t="s">
        <v>54</v>
      </c>
      <c r="M914" s="34">
        <v>46101</v>
      </c>
      <c r="N914" s="7" t="s">
        <v>92</v>
      </c>
    </row>
    <row r="915" spans="1:15" x14ac:dyDescent="0.25">
      <c r="A915" s="41" t="s">
        <v>364</v>
      </c>
      <c r="B915" s="1">
        <v>2</v>
      </c>
      <c r="C915" s="8">
        <v>46098</v>
      </c>
      <c r="D915" s="1" t="s">
        <v>1323</v>
      </c>
      <c r="E915" s="7" t="s">
        <v>13</v>
      </c>
      <c r="F915" s="1" t="s">
        <v>25</v>
      </c>
      <c r="G915" s="9" t="s">
        <v>35</v>
      </c>
      <c r="H915" s="7">
        <v>2572</v>
      </c>
      <c r="I915" s="18">
        <v>16000000</v>
      </c>
      <c r="J915" s="10">
        <v>18286.04</v>
      </c>
      <c r="K915" s="7" t="s">
        <v>13</v>
      </c>
      <c r="L915" s="7" t="s">
        <v>54</v>
      </c>
      <c r="M915" s="34">
        <v>46101</v>
      </c>
      <c r="N915" s="7" t="s">
        <v>92</v>
      </c>
    </row>
    <row r="916" spans="1:15" x14ac:dyDescent="0.25">
      <c r="A916" s="41" t="s">
        <v>1325</v>
      </c>
      <c r="B916" s="1">
        <v>2</v>
      </c>
      <c r="C916" s="8">
        <v>46107</v>
      </c>
      <c r="D916" s="1" t="s">
        <v>1326</v>
      </c>
      <c r="E916" s="7" t="s">
        <v>13</v>
      </c>
      <c r="F916" s="1" t="s">
        <v>25</v>
      </c>
      <c r="G916" s="9" t="s">
        <v>35</v>
      </c>
      <c r="H916" s="7">
        <v>6529</v>
      </c>
      <c r="I916" s="18">
        <v>15001002</v>
      </c>
      <c r="J916" s="10">
        <v>3400</v>
      </c>
      <c r="K916" s="7" t="s">
        <v>13</v>
      </c>
      <c r="L916" s="7" t="s">
        <v>54</v>
      </c>
      <c r="M916" s="34">
        <v>46108</v>
      </c>
      <c r="N916" s="7" t="s">
        <v>774</v>
      </c>
    </row>
    <row r="917" spans="1:15" x14ac:dyDescent="0.25">
      <c r="A917" s="41" t="s">
        <v>412</v>
      </c>
      <c r="B917" s="1">
        <v>1</v>
      </c>
      <c r="C917" s="8">
        <v>46098</v>
      </c>
      <c r="D917" s="1" t="s">
        <v>1327</v>
      </c>
      <c r="E917" s="7" t="s">
        <v>13</v>
      </c>
      <c r="F917" s="1" t="s">
        <v>25</v>
      </c>
      <c r="G917" s="9" t="s">
        <v>35</v>
      </c>
      <c r="H917" s="7">
        <v>1635</v>
      </c>
      <c r="I917" s="18">
        <v>15001002</v>
      </c>
      <c r="J917" s="10">
        <v>130</v>
      </c>
      <c r="K917" s="7" t="s">
        <v>13</v>
      </c>
      <c r="L917" s="7" t="s">
        <v>54</v>
      </c>
      <c r="M917" s="34">
        <v>46100</v>
      </c>
      <c r="N917" s="7" t="s">
        <v>62</v>
      </c>
    </row>
    <row r="918" spans="1:15" x14ac:dyDescent="0.25">
      <c r="A918" s="41" t="s">
        <v>1325</v>
      </c>
      <c r="B918" s="1">
        <v>2</v>
      </c>
      <c r="C918" s="8">
        <v>46112</v>
      </c>
      <c r="D918" s="1" t="s">
        <v>1328</v>
      </c>
      <c r="E918" s="7" t="s">
        <v>13</v>
      </c>
      <c r="F918" s="1" t="s">
        <v>25</v>
      </c>
      <c r="G918" s="9" t="s">
        <v>35</v>
      </c>
      <c r="H918" s="7">
        <v>6536</v>
      </c>
      <c r="I918" s="18">
        <v>15001002</v>
      </c>
      <c r="J918" s="10">
        <v>952</v>
      </c>
      <c r="K918" s="7" t="s">
        <v>13</v>
      </c>
      <c r="L918" s="7" t="s">
        <v>54</v>
      </c>
      <c r="M918" s="34">
        <v>46113</v>
      </c>
      <c r="N918" s="7" t="s">
        <v>774</v>
      </c>
    </row>
    <row r="919" spans="1:15" x14ac:dyDescent="0.25">
      <c r="A919" s="41" t="s">
        <v>227</v>
      </c>
      <c r="B919" s="1">
        <v>2</v>
      </c>
      <c r="C919" s="8">
        <v>46098</v>
      </c>
      <c r="D919" s="1" t="s">
        <v>1329</v>
      </c>
      <c r="E919" s="7" t="s">
        <v>16</v>
      </c>
      <c r="F919" s="1" t="s">
        <v>25</v>
      </c>
      <c r="G919" s="9" t="s">
        <v>35</v>
      </c>
      <c r="H919" s="7">
        <v>754</v>
      </c>
      <c r="I919" s="18">
        <v>15000000</v>
      </c>
      <c r="J919" s="10">
        <v>12221.88</v>
      </c>
      <c r="K919" s="7" t="s">
        <v>1454</v>
      </c>
      <c r="L919" s="7" t="s">
        <v>40</v>
      </c>
      <c r="M919" s="34">
        <v>46105</v>
      </c>
      <c r="N919" s="7" t="s">
        <v>774</v>
      </c>
    </row>
    <row r="920" spans="1:15" x14ac:dyDescent="0.25">
      <c r="A920" s="41" t="s">
        <v>412</v>
      </c>
      <c r="B920" s="1">
        <v>1</v>
      </c>
      <c r="C920" s="8">
        <v>46098</v>
      </c>
      <c r="D920" s="1" t="s">
        <v>1330</v>
      </c>
      <c r="E920" s="7" t="s">
        <v>13</v>
      </c>
      <c r="F920" s="1" t="s">
        <v>25</v>
      </c>
      <c r="G920" s="9" t="s">
        <v>35</v>
      </c>
      <c r="H920" s="7">
        <v>1638</v>
      </c>
      <c r="I920" s="18">
        <v>16210000</v>
      </c>
      <c r="J920" s="10">
        <v>2690</v>
      </c>
      <c r="K920" s="7" t="s">
        <v>13</v>
      </c>
      <c r="L920" s="7" t="s">
        <v>54</v>
      </c>
      <c r="M920" s="34">
        <v>46100</v>
      </c>
      <c r="N920" s="7" t="s">
        <v>92</v>
      </c>
    </row>
    <row r="921" spans="1:15" x14ac:dyDescent="0.25">
      <c r="A921" s="41" t="s">
        <v>664</v>
      </c>
      <c r="B921" s="1">
        <v>2</v>
      </c>
      <c r="C921" s="8">
        <v>46105</v>
      </c>
      <c r="D921" s="1" t="s">
        <v>1331</v>
      </c>
      <c r="E921" s="7" t="s">
        <v>13</v>
      </c>
      <c r="F921" s="1" t="s">
        <v>25</v>
      </c>
      <c r="G921" s="9" t="s">
        <v>35</v>
      </c>
      <c r="H921" s="7">
        <v>63</v>
      </c>
      <c r="I921" s="18">
        <v>16210000</v>
      </c>
      <c r="J921" s="10">
        <v>2878.25</v>
      </c>
      <c r="K921" s="7" t="s">
        <v>13</v>
      </c>
      <c r="L921" s="7" t="s">
        <v>54</v>
      </c>
      <c r="M921" s="34">
        <v>46105</v>
      </c>
      <c r="N921" s="7" t="s">
        <v>41</v>
      </c>
    </row>
    <row r="922" spans="1:15" x14ac:dyDescent="0.25">
      <c r="A922" s="41" t="s">
        <v>848</v>
      </c>
      <c r="B922" s="1">
        <v>3</v>
      </c>
      <c r="C922" s="8">
        <v>46113</v>
      </c>
      <c r="D922" s="1" t="s">
        <v>1567</v>
      </c>
      <c r="E922" s="7" t="s">
        <v>13</v>
      </c>
      <c r="F922" s="1" t="s">
        <v>25</v>
      </c>
      <c r="G922" s="9" t="s">
        <v>35</v>
      </c>
      <c r="H922" s="7">
        <v>1197</v>
      </c>
      <c r="I922" s="18">
        <v>16000000</v>
      </c>
      <c r="J922" s="10">
        <v>12891.5</v>
      </c>
      <c r="K922" s="7" t="s">
        <v>13</v>
      </c>
      <c r="L922" s="7" t="s">
        <v>54</v>
      </c>
      <c r="M922" s="34">
        <v>46126</v>
      </c>
      <c r="N922" s="7" t="s">
        <v>774</v>
      </c>
      <c r="O922" s="7" t="s">
        <v>1628</v>
      </c>
    </row>
    <row r="923" spans="1:15" x14ac:dyDescent="0.25">
      <c r="A923" s="41" t="s">
        <v>664</v>
      </c>
      <c r="B923" s="1">
        <v>2</v>
      </c>
      <c r="C923" s="8">
        <v>46105</v>
      </c>
      <c r="D923" s="1" t="s">
        <v>1332</v>
      </c>
      <c r="E923" s="7" t="s">
        <v>13</v>
      </c>
      <c r="F923" s="1" t="s">
        <v>25</v>
      </c>
      <c r="G923" s="9" t="s">
        <v>35</v>
      </c>
      <c r="H923" s="7">
        <v>64</v>
      </c>
      <c r="I923" s="18">
        <v>16003130</v>
      </c>
      <c r="J923" s="10">
        <v>5598.25</v>
      </c>
      <c r="K923" s="7" t="s">
        <v>13</v>
      </c>
      <c r="L923" s="7" t="s">
        <v>54</v>
      </c>
      <c r="M923" s="34">
        <v>46105</v>
      </c>
      <c r="N923" s="7" t="s">
        <v>41</v>
      </c>
    </row>
    <row r="924" spans="1:15" x14ac:dyDescent="0.25">
      <c r="A924" s="41" t="s">
        <v>227</v>
      </c>
      <c r="B924" s="1">
        <v>1</v>
      </c>
      <c r="C924" s="8">
        <v>46098</v>
      </c>
      <c r="D924" s="1" t="s">
        <v>1333</v>
      </c>
      <c r="E924" s="7" t="s">
        <v>13</v>
      </c>
      <c r="F924" s="1" t="s">
        <v>25</v>
      </c>
      <c r="G924" s="9" t="s">
        <v>35</v>
      </c>
      <c r="H924" s="7">
        <v>1905</v>
      </c>
      <c r="I924" s="18">
        <v>15001002</v>
      </c>
      <c r="J924" s="10">
        <v>420</v>
      </c>
      <c r="K924" s="7" t="s">
        <v>13</v>
      </c>
      <c r="L924" s="7" t="s">
        <v>54</v>
      </c>
      <c r="M924" s="34">
        <v>46100</v>
      </c>
      <c r="N924" s="7" t="s">
        <v>774</v>
      </c>
    </row>
    <row r="925" spans="1:15" x14ac:dyDescent="0.25">
      <c r="A925" s="41" t="s">
        <v>292</v>
      </c>
      <c r="B925" s="1">
        <v>2</v>
      </c>
      <c r="C925" s="8">
        <v>46098</v>
      </c>
      <c r="D925" s="1" t="s">
        <v>1334</v>
      </c>
      <c r="E925" s="7" t="s">
        <v>13</v>
      </c>
      <c r="F925" s="1" t="s">
        <v>25</v>
      </c>
      <c r="G925" s="9" t="s">
        <v>35</v>
      </c>
      <c r="H925" s="7">
        <v>854</v>
      </c>
      <c r="I925" s="18">
        <v>15001002</v>
      </c>
      <c r="J925" s="10">
        <v>270</v>
      </c>
      <c r="K925" s="7" t="s">
        <v>13</v>
      </c>
      <c r="L925" s="7" t="s">
        <v>54</v>
      </c>
      <c r="M925" s="34">
        <v>46105</v>
      </c>
      <c r="N925" s="7" t="s">
        <v>41</v>
      </c>
    </row>
    <row r="926" spans="1:15" x14ac:dyDescent="0.25">
      <c r="A926" s="41" t="s">
        <v>497</v>
      </c>
      <c r="B926" s="1">
        <v>1</v>
      </c>
      <c r="C926" s="8">
        <v>46098</v>
      </c>
      <c r="D926" s="1" t="s">
        <v>1335</v>
      </c>
      <c r="E926" s="7" t="s">
        <v>16</v>
      </c>
      <c r="F926" s="1" t="s">
        <v>25</v>
      </c>
      <c r="G926" s="9" t="s">
        <v>35</v>
      </c>
      <c r="H926" s="7" t="s">
        <v>74</v>
      </c>
      <c r="I926" s="18">
        <v>15000000</v>
      </c>
      <c r="J926" s="10">
        <v>35000</v>
      </c>
      <c r="K926" s="7" t="s">
        <v>12</v>
      </c>
      <c r="L926" s="7" t="s">
        <v>53</v>
      </c>
      <c r="M926" s="34">
        <v>46100</v>
      </c>
      <c r="N926" s="7" t="s">
        <v>41</v>
      </c>
    </row>
    <row r="927" spans="1:15" x14ac:dyDescent="0.25">
      <c r="A927" s="41" t="s">
        <v>497</v>
      </c>
      <c r="B927" s="1">
        <v>1</v>
      </c>
      <c r="C927" s="8">
        <v>46098</v>
      </c>
      <c r="D927" s="1" t="s">
        <v>1336</v>
      </c>
      <c r="E927" s="7" t="s">
        <v>16</v>
      </c>
      <c r="F927" s="1" t="s">
        <v>25</v>
      </c>
      <c r="G927" s="9" t="s">
        <v>68</v>
      </c>
      <c r="H927" s="7" t="s">
        <v>74</v>
      </c>
      <c r="I927" s="18" t="s">
        <v>0</v>
      </c>
      <c r="J927" s="10" t="s">
        <v>61</v>
      </c>
      <c r="K927" s="7" t="s">
        <v>58</v>
      </c>
      <c r="L927" s="7" t="s">
        <v>55</v>
      </c>
      <c r="M927" s="34">
        <v>46160</v>
      </c>
      <c r="N927" s="7" t="s">
        <v>41</v>
      </c>
    </row>
    <row r="928" spans="1:15" x14ac:dyDescent="0.25">
      <c r="A928" s="41" t="s">
        <v>1315</v>
      </c>
      <c r="B928" s="1">
        <v>2</v>
      </c>
      <c r="C928" s="8">
        <v>46098</v>
      </c>
      <c r="D928" s="1" t="s">
        <v>1337</v>
      </c>
      <c r="E928" s="7" t="s">
        <v>14</v>
      </c>
      <c r="F928" s="1" t="s">
        <v>25</v>
      </c>
      <c r="G928" s="9" t="s">
        <v>35</v>
      </c>
      <c r="H928" s="7">
        <v>331</v>
      </c>
      <c r="I928" s="18">
        <v>15000000</v>
      </c>
      <c r="J928" s="10">
        <v>47887.66</v>
      </c>
      <c r="K928" s="7" t="s">
        <v>12</v>
      </c>
      <c r="L928" s="7" t="s">
        <v>53</v>
      </c>
      <c r="M928" s="34">
        <v>46101</v>
      </c>
      <c r="N928" s="7" t="s">
        <v>41</v>
      </c>
    </row>
    <row r="929" spans="1:14" x14ac:dyDescent="0.25">
      <c r="A929" s="41" t="s">
        <v>220</v>
      </c>
      <c r="B929" s="1">
        <v>1</v>
      </c>
      <c r="C929" s="8">
        <v>46098</v>
      </c>
      <c r="D929" s="1" t="s">
        <v>1338</v>
      </c>
      <c r="E929" s="7" t="s">
        <v>11</v>
      </c>
      <c r="F929" s="1" t="s">
        <v>25</v>
      </c>
      <c r="G929" s="9" t="s">
        <v>35</v>
      </c>
      <c r="H929" s="7">
        <v>2363</v>
      </c>
      <c r="I929" s="18">
        <v>15000000</v>
      </c>
      <c r="J929" s="10">
        <v>8920</v>
      </c>
      <c r="K929" s="7" t="s">
        <v>12</v>
      </c>
      <c r="L929" s="7" t="s">
        <v>53</v>
      </c>
      <c r="M929" s="34">
        <v>46100</v>
      </c>
      <c r="N929" s="7" t="s">
        <v>92</v>
      </c>
    </row>
    <row r="930" spans="1:14" x14ac:dyDescent="0.25">
      <c r="A930" s="41" t="s">
        <v>220</v>
      </c>
      <c r="B930" s="1">
        <v>1</v>
      </c>
      <c r="C930" s="8">
        <v>46098</v>
      </c>
      <c r="D930" s="1" t="s">
        <v>1340</v>
      </c>
      <c r="E930" s="7" t="s">
        <v>11</v>
      </c>
      <c r="F930" s="1" t="s">
        <v>25</v>
      </c>
      <c r="G930" s="9" t="s">
        <v>35</v>
      </c>
      <c r="H930" s="7">
        <v>2362</v>
      </c>
      <c r="I930" s="18">
        <v>15000000</v>
      </c>
      <c r="J930" s="10">
        <v>11150</v>
      </c>
      <c r="K930" s="7" t="s">
        <v>12</v>
      </c>
      <c r="L930" s="7" t="s">
        <v>53</v>
      </c>
      <c r="M930" s="34">
        <v>46100</v>
      </c>
      <c r="N930" s="7" t="s">
        <v>92</v>
      </c>
    </row>
    <row r="931" spans="1:14" x14ac:dyDescent="0.25">
      <c r="A931" s="41" t="s">
        <v>220</v>
      </c>
      <c r="B931" s="1">
        <v>1</v>
      </c>
      <c r="C931" s="8">
        <v>46098</v>
      </c>
      <c r="D931" s="1" t="s">
        <v>1342</v>
      </c>
      <c r="E931" s="7" t="s">
        <v>11</v>
      </c>
      <c r="F931" s="1" t="s">
        <v>25</v>
      </c>
      <c r="G931" s="9" t="s">
        <v>35</v>
      </c>
      <c r="H931" s="7" t="s">
        <v>74</v>
      </c>
      <c r="I931" s="18">
        <v>15000000</v>
      </c>
      <c r="J931" s="10">
        <v>10500</v>
      </c>
      <c r="K931" s="7" t="s">
        <v>12</v>
      </c>
      <c r="L931" s="7" t="s">
        <v>53</v>
      </c>
      <c r="M931" s="34">
        <v>46100</v>
      </c>
      <c r="N931" s="7" t="s">
        <v>92</v>
      </c>
    </row>
    <row r="932" spans="1:14" x14ac:dyDescent="0.25">
      <c r="A932" s="41" t="s">
        <v>1112</v>
      </c>
      <c r="B932" s="1">
        <v>1</v>
      </c>
      <c r="C932" s="8">
        <v>46098</v>
      </c>
      <c r="D932" s="1" t="s">
        <v>1341</v>
      </c>
      <c r="E932" s="7" t="s">
        <v>20</v>
      </c>
      <c r="F932" s="1" t="s">
        <v>25</v>
      </c>
      <c r="G932" s="9" t="s">
        <v>35</v>
      </c>
      <c r="H932" s="7">
        <v>2808</v>
      </c>
      <c r="I932" s="18">
        <v>16000000</v>
      </c>
      <c r="J932" s="10">
        <v>17116.39</v>
      </c>
      <c r="K932" s="7" t="s">
        <v>13</v>
      </c>
      <c r="L932" s="7" t="s">
        <v>54</v>
      </c>
      <c r="M932" s="34">
        <v>46099</v>
      </c>
      <c r="N932" s="7" t="s">
        <v>62</v>
      </c>
    </row>
    <row r="933" spans="1:14" x14ac:dyDescent="0.25">
      <c r="A933" s="41" t="s">
        <v>1112</v>
      </c>
      <c r="B933" s="1">
        <v>1</v>
      </c>
      <c r="C933" s="8">
        <v>46098</v>
      </c>
      <c r="D933" s="1" t="s">
        <v>1343</v>
      </c>
      <c r="E933" s="7" t="s">
        <v>13</v>
      </c>
      <c r="F933" s="1" t="s">
        <v>25</v>
      </c>
      <c r="G933" s="9" t="s">
        <v>35</v>
      </c>
      <c r="H933" s="7">
        <v>2806</v>
      </c>
      <c r="I933" s="18">
        <v>16210000</v>
      </c>
      <c r="J933" s="10">
        <v>9299.17</v>
      </c>
      <c r="K933" s="7" t="s">
        <v>13</v>
      </c>
      <c r="L933" s="7" t="s">
        <v>53</v>
      </c>
      <c r="M933" s="34">
        <v>46099</v>
      </c>
      <c r="N933" s="7" t="s">
        <v>62</v>
      </c>
    </row>
    <row r="934" spans="1:14" x14ac:dyDescent="0.25">
      <c r="A934" s="41" t="s">
        <v>1344</v>
      </c>
      <c r="B934" s="1">
        <v>1</v>
      </c>
      <c r="C934" s="8">
        <v>46098</v>
      </c>
      <c r="D934" s="1" t="s">
        <v>1345</v>
      </c>
      <c r="E934" s="7" t="s">
        <v>82</v>
      </c>
      <c r="F934" s="1" t="s">
        <v>25</v>
      </c>
      <c r="G934" s="9" t="s">
        <v>36</v>
      </c>
      <c r="H934" s="7" t="s">
        <v>74</v>
      </c>
      <c r="I934" s="18" t="s">
        <v>0</v>
      </c>
      <c r="J934" s="10" t="s">
        <v>61</v>
      </c>
      <c r="K934" s="7" t="s">
        <v>22</v>
      </c>
      <c r="L934" s="7" t="s">
        <v>55</v>
      </c>
      <c r="M934" s="34">
        <v>46101</v>
      </c>
      <c r="N934" s="7" t="s">
        <v>91</v>
      </c>
    </row>
    <row r="935" spans="1:14" x14ac:dyDescent="0.25">
      <c r="A935" s="41" t="s">
        <v>252</v>
      </c>
      <c r="B935" s="1">
        <v>3</v>
      </c>
      <c r="C935" s="8">
        <v>46108</v>
      </c>
      <c r="D935" s="1" t="s">
        <v>1346</v>
      </c>
      <c r="E935" s="7" t="s">
        <v>13</v>
      </c>
      <c r="F935" s="1" t="s">
        <v>25</v>
      </c>
      <c r="G935" s="9" t="s">
        <v>35</v>
      </c>
      <c r="H935" s="7">
        <v>3334</v>
      </c>
      <c r="I935" s="18">
        <v>16000000</v>
      </c>
      <c r="J935" s="10">
        <v>521.48</v>
      </c>
      <c r="K935" s="7" t="s">
        <v>13</v>
      </c>
      <c r="L935" s="7" t="s">
        <v>54</v>
      </c>
      <c r="M935" s="34">
        <v>46108</v>
      </c>
      <c r="N935" s="7" t="s">
        <v>52</v>
      </c>
    </row>
    <row r="936" spans="1:14" x14ac:dyDescent="0.25">
      <c r="A936" s="41" t="s">
        <v>252</v>
      </c>
      <c r="B936" s="1">
        <v>2</v>
      </c>
      <c r="C936" s="8">
        <v>46108</v>
      </c>
      <c r="D936" s="1" t="s">
        <v>1347</v>
      </c>
      <c r="E936" s="7" t="s">
        <v>13</v>
      </c>
      <c r="F936" s="1" t="s">
        <v>25</v>
      </c>
      <c r="G936" s="9" t="s">
        <v>35</v>
      </c>
      <c r="H936" s="7">
        <v>3334</v>
      </c>
      <c r="I936" s="18">
        <v>15001002</v>
      </c>
      <c r="J936" s="10">
        <v>37583.14</v>
      </c>
      <c r="K936" s="7" t="s">
        <v>13</v>
      </c>
      <c r="L936" s="7" t="s">
        <v>54</v>
      </c>
      <c r="M936" s="34">
        <v>46108</v>
      </c>
      <c r="N936" s="7" t="s">
        <v>52</v>
      </c>
    </row>
    <row r="937" spans="1:14" x14ac:dyDescent="0.25">
      <c r="A937" s="41" t="s">
        <v>1348</v>
      </c>
      <c r="B937" s="1">
        <v>2</v>
      </c>
      <c r="C937" s="8">
        <v>46105</v>
      </c>
      <c r="D937" s="1" t="s">
        <v>1349</v>
      </c>
      <c r="E937" s="7" t="s">
        <v>13</v>
      </c>
      <c r="F937" s="1" t="s">
        <v>25</v>
      </c>
      <c r="G937" s="9" t="s">
        <v>35</v>
      </c>
      <c r="H937" s="7">
        <v>84707</v>
      </c>
      <c r="I937" s="18">
        <v>15001002</v>
      </c>
      <c r="J937" s="10">
        <v>82495.199999999997</v>
      </c>
      <c r="K937" s="7" t="s">
        <v>13</v>
      </c>
      <c r="L937" s="7" t="s">
        <v>54</v>
      </c>
      <c r="M937" s="34">
        <v>46106</v>
      </c>
      <c r="N937" s="7" t="s">
        <v>52</v>
      </c>
    </row>
    <row r="938" spans="1:14" x14ac:dyDescent="0.25">
      <c r="A938" s="41" t="s">
        <v>1348</v>
      </c>
      <c r="B938" s="1">
        <v>2</v>
      </c>
      <c r="C938" s="8">
        <v>46105</v>
      </c>
      <c r="D938" s="1" t="s">
        <v>1350</v>
      </c>
      <c r="E938" s="7" t="s">
        <v>13</v>
      </c>
      <c r="F938" s="1" t="s">
        <v>25</v>
      </c>
      <c r="G938" s="9" t="s">
        <v>35</v>
      </c>
      <c r="H938" s="7">
        <v>84706</v>
      </c>
      <c r="I938" s="18">
        <v>15001002</v>
      </c>
      <c r="J938" s="10">
        <v>12275.2</v>
      </c>
      <c r="K938" s="7" t="s">
        <v>13</v>
      </c>
      <c r="L938" s="7" t="s">
        <v>54</v>
      </c>
      <c r="M938" s="34">
        <v>46106</v>
      </c>
      <c r="N938" s="7" t="s">
        <v>52</v>
      </c>
    </row>
    <row r="939" spans="1:14" x14ac:dyDescent="0.25">
      <c r="A939" s="41" t="s">
        <v>1112</v>
      </c>
      <c r="B939" s="1">
        <v>1</v>
      </c>
      <c r="C939" s="8">
        <v>46098</v>
      </c>
      <c r="D939" s="1" t="s">
        <v>1351</v>
      </c>
      <c r="E939" s="7" t="s">
        <v>20</v>
      </c>
      <c r="F939" s="1" t="s">
        <v>25</v>
      </c>
      <c r="G939" s="9" t="s">
        <v>35</v>
      </c>
      <c r="H939" s="7" t="s">
        <v>74</v>
      </c>
      <c r="I939" s="18">
        <v>15001002</v>
      </c>
      <c r="J939" s="10">
        <v>26547.040000000001</v>
      </c>
      <c r="K939" s="7" t="s">
        <v>58</v>
      </c>
      <c r="L939" s="7" t="s">
        <v>59</v>
      </c>
    </row>
    <row r="940" spans="1:14" x14ac:dyDescent="0.25">
      <c r="A940" s="41" t="s">
        <v>1112</v>
      </c>
      <c r="B940" s="1">
        <v>1</v>
      </c>
      <c r="C940" s="8">
        <v>46098</v>
      </c>
      <c r="D940" s="1" t="s">
        <v>1352</v>
      </c>
      <c r="E940" s="7" t="s">
        <v>20</v>
      </c>
      <c r="F940" s="1" t="s">
        <v>25</v>
      </c>
      <c r="G940" s="9" t="s">
        <v>35</v>
      </c>
      <c r="H940" s="7" t="s">
        <v>74</v>
      </c>
      <c r="I940" s="18">
        <v>16210000</v>
      </c>
      <c r="J940" s="10">
        <v>37490.89</v>
      </c>
      <c r="K940" s="7" t="s">
        <v>12</v>
      </c>
      <c r="L940" s="7" t="s">
        <v>53</v>
      </c>
      <c r="M940" s="34">
        <v>46099</v>
      </c>
      <c r="N940" s="7" t="s">
        <v>62</v>
      </c>
    </row>
    <row r="941" spans="1:14" x14ac:dyDescent="0.25">
      <c r="A941" s="41" t="s">
        <v>220</v>
      </c>
      <c r="B941" s="1">
        <v>1</v>
      </c>
      <c r="C941" s="8">
        <v>46098</v>
      </c>
      <c r="D941" s="1" t="s">
        <v>1356</v>
      </c>
      <c r="E941" s="7" t="s">
        <v>11</v>
      </c>
      <c r="F941" s="1" t="s">
        <v>25</v>
      </c>
      <c r="G941" s="9" t="s">
        <v>35</v>
      </c>
      <c r="H941" s="7">
        <v>2327</v>
      </c>
      <c r="I941" s="18">
        <v>15000000</v>
      </c>
      <c r="J941" s="10">
        <v>4000</v>
      </c>
      <c r="K941" s="7" t="s">
        <v>12</v>
      </c>
      <c r="L941" s="7" t="s">
        <v>53</v>
      </c>
      <c r="M941" s="34">
        <v>46100</v>
      </c>
      <c r="N941" s="7" t="s">
        <v>41</v>
      </c>
    </row>
    <row r="942" spans="1:14" x14ac:dyDescent="0.25">
      <c r="A942" s="41" t="s">
        <v>220</v>
      </c>
      <c r="B942" s="1">
        <v>1</v>
      </c>
      <c r="C942" s="8">
        <v>46098</v>
      </c>
      <c r="D942" s="1" t="s">
        <v>1357</v>
      </c>
      <c r="E942" s="7" t="s">
        <v>11</v>
      </c>
      <c r="F942" s="1" t="s">
        <v>25</v>
      </c>
      <c r="G942" s="9" t="s">
        <v>35</v>
      </c>
      <c r="H942" s="7">
        <v>2328</v>
      </c>
      <c r="I942" s="18">
        <v>15000000</v>
      </c>
      <c r="J942" s="10">
        <v>7000</v>
      </c>
      <c r="K942" s="7" t="s">
        <v>12</v>
      </c>
      <c r="L942" s="7" t="s">
        <v>53</v>
      </c>
      <c r="M942" s="34">
        <v>46100</v>
      </c>
      <c r="N942" s="7" t="s">
        <v>41</v>
      </c>
    </row>
    <row r="943" spans="1:14" x14ac:dyDescent="0.25">
      <c r="A943" s="41" t="s">
        <v>220</v>
      </c>
      <c r="B943" s="1">
        <v>3</v>
      </c>
      <c r="C943" s="8">
        <v>46098</v>
      </c>
      <c r="D943" s="1" t="s">
        <v>1358</v>
      </c>
      <c r="E943" s="7" t="s">
        <v>11</v>
      </c>
      <c r="F943" s="1" t="s">
        <v>25</v>
      </c>
      <c r="G943" s="9" t="s">
        <v>35</v>
      </c>
      <c r="H943" s="7">
        <v>2325</v>
      </c>
      <c r="I943" s="18">
        <v>15000000</v>
      </c>
      <c r="J943" s="10">
        <v>5000</v>
      </c>
      <c r="K943" s="7" t="s">
        <v>12</v>
      </c>
      <c r="L943" s="7" t="s">
        <v>53</v>
      </c>
      <c r="M943" s="34">
        <v>46104</v>
      </c>
      <c r="N943" s="7" t="s">
        <v>41</v>
      </c>
    </row>
    <row r="944" spans="1:14" x14ac:dyDescent="0.25">
      <c r="A944" s="41" t="s">
        <v>1355</v>
      </c>
      <c r="B944" s="1">
        <v>1</v>
      </c>
      <c r="C944" s="8">
        <v>46099</v>
      </c>
      <c r="D944" s="1" t="s">
        <v>1359</v>
      </c>
      <c r="E944" s="7" t="s">
        <v>12</v>
      </c>
      <c r="F944" s="1" t="s">
        <v>25</v>
      </c>
      <c r="G944" s="9" t="s">
        <v>35</v>
      </c>
      <c r="H944" s="7">
        <v>655589</v>
      </c>
      <c r="I944" s="18">
        <v>15000000</v>
      </c>
      <c r="J944" s="10">
        <v>29991.360000000001</v>
      </c>
      <c r="K944" s="7" t="s">
        <v>12</v>
      </c>
      <c r="L944" s="7" t="s">
        <v>53</v>
      </c>
      <c r="M944" s="34">
        <v>46100</v>
      </c>
      <c r="N944" s="7" t="s">
        <v>62</v>
      </c>
    </row>
    <row r="945" spans="1:14" x14ac:dyDescent="0.25">
      <c r="A945" s="41" t="s">
        <v>1360</v>
      </c>
      <c r="B945" s="1">
        <v>2</v>
      </c>
      <c r="C945" s="8">
        <v>46105</v>
      </c>
      <c r="D945" s="1" t="s">
        <v>1361</v>
      </c>
      <c r="E945" s="7" t="s">
        <v>13</v>
      </c>
      <c r="F945" s="1" t="s">
        <v>25</v>
      </c>
      <c r="G945" s="9" t="s">
        <v>35</v>
      </c>
      <c r="H945" s="7" t="s">
        <v>74</v>
      </c>
      <c r="I945" s="18">
        <v>16000000</v>
      </c>
      <c r="J945" s="10">
        <v>1509.2</v>
      </c>
      <c r="K945" s="7" t="s">
        <v>13</v>
      </c>
      <c r="L945" s="7" t="s">
        <v>54</v>
      </c>
      <c r="M945" s="34">
        <v>46106</v>
      </c>
      <c r="N945" s="7" t="s">
        <v>774</v>
      </c>
    </row>
    <row r="946" spans="1:14" x14ac:dyDescent="0.25">
      <c r="A946" s="41" t="s">
        <v>515</v>
      </c>
      <c r="B946" s="1">
        <v>3</v>
      </c>
      <c r="C946" s="8">
        <v>46107</v>
      </c>
      <c r="D946" s="1" t="s">
        <v>1362</v>
      </c>
      <c r="E946" s="7" t="s">
        <v>12</v>
      </c>
      <c r="F946" s="1" t="s">
        <v>25</v>
      </c>
      <c r="G946" s="9" t="s">
        <v>35</v>
      </c>
      <c r="H946" s="7">
        <v>237</v>
      </c>
      <c r="I946" s="18">
        <v>15000000</v>
      </c>
      <c r="J946" s="10">
        <v>4229.7</v>
      </c>
      <c r="K946" s="7" t="s">
        <v>12</v>
      </c>
      <c r="L946" s="7" t="s">
        <v>53</v>
      </c>
      <c r="M946" s="34">
        <v>46108</v>
      </c>
      <c r="N946" s="7" t="s">
        <v>774</v>
      </c>
    </row>
    <row r="947" spans="1:14" x14ac:dyDescent="0.25">
      <c r="A947" s="41" t="s">
        <v>515</v>
      </c>
      <c r="B947" s="1">
        <v>4</v>
      </c>
      <c r="C947" s="8">
        <v>46107</v>
      </c>
      <c r="D947" s="1" t="s">
        <v>1363</v>
      </c>
      <c r="E947" s="7" t="s">
        <v>12</v>
      </c>
      <c r="F947" s="1" t="s">
        <v>25</v>
      </c>
      <c r="G947" s="9" t="s">
        <v>35</v>
      </c>
      <c r="H947" s="7">
        <v>430</v>
      </c>
      <c r="I947" s="18">
        <v>15000000</v>
      </c>
      <c r="J947" s="10">
        <v>4229.7</v>
      </c>
      <c r="K947" s="7" t="s">
        <v>12</v>
      </c>
      <c r="L947" s="7" t="s">
        <v>53</v>
      </c>
      <c r="M947" s="34">
        <v>46108</v>
      </c>
      <c r="N947" s="7" t="s">
        <v>774</v>
      </c>
    </row>
    <row r="948" spans="1:14" x14ac:dyDescent="0.25">
      <c r="A948" s="41" t="s">
        <v>515</v>
      </c>
      <c r="B948" s="1">
        <v>3</v>
      </c>
      <c r="C948" s="8">
        <v>46107</v>
      </c>
      <c r="D948" s="1" t="s">
        <v>1364</v>
      </c>
      <c r="E948" s="7" t="s">
        <v>12</v>
      </c>
      <c r="F948" s="1" t="s">
        <v>25</v>
      </c>
      <c r="G948" s="9" t="s">
        <v>35</v>
      </c>
      <c r="H948" s="7">
        <v>25</v>
      </c>
      <c r="I948" s="18">
        <v>15000000</v>
      </c>
      <c r="J948" s="10">
        <v>4229.7</v>
      </c>
      <c r="K948" s="7" t="s">
        <v>12</v>
      </c>
      <c r="L948" s="7" t="s">
        <v>53</v>
      </c>
      <c r="M948" s="34">
        <v>46108</v>
      </c>
      <c r="N948" s="7" t="s">
        <v>774</v>
      </c>
    </row>
    <row r="949" spans="1:14" x14ac:dyDescent="0.25">
      <c r="A949" s="41" t="s">
        <v>441</v>
      </c>
      <c r="B949" s="1">
        <v>1</v>
      </c>
      <c r="C949" s="8">
        <v>46099</v>
      </c>
      <c r="D949" s="1" t="s">
        <v>1366</v>
      </c>
      <c r="E949" s="7" t="s">
        <v>2</v>
      </c>
      <c r="F949" s="1" t="s">
        <v>25</v>
      </c>
      <c r="G949" s="9" t="s">
        <v>35</v>
      </c>
      <c r="H949" s="7">
        <v>11923</v>
      </c>
      <c r="I949" s="18">
        <v>15001001</v>
      </c>
      <c r="J949" s="10">
        <v>12516.18</v>
      </c>
      <c r="K949" s="7" t="s">
        <v>2</v>
      </c>
      <c r="L949" s="7" t="s">
        <v>40</v>
      </c>
      <c r="M949" s="34" t="s">
        <v>1419</v>
      </c>
      <c r="N949" s="7" t="s">
        <v>92</v>
      </c>
    </row>
    <row r="950" spans="1:14" x14ac:dyDescent="0.25">
      <c r="A950" s="41" t="s">
        <v>1054</v>
      </c>
      <c r="B950" s="1">
        <v>2</v>
      </c>
      <c r="C950" s="8">
        <v>46099</v>
      </c>
      <c r="D950" s="1" t="s">
        <v>1365</v>
      </c>
      <c r="E950" s="7" t="s">
        <v>12</v>
      </c>
      <c r="F950" s="1" t="s">
        <v>25</v>
      </c>
      <c r="G950" s="9" t="s">
        <v>35</v>
      </c>
      <c r="H950" s="7" t="s">
        <v>74</v>
      </c>
      <c r="I950" s="18">
        <v>15000000</v>
      </c>
      <c r="J950" s="10">
        <v>1603.93</v>
      </c>
      <c r="K950" s="7" t="s">
        <v>12</v>
      </c>
      <c r="L950" s="7" t="s">
        <v>53</v>
      </c>
      <c r="M950" s="34">
        <v>46101</v>
      </c>
      <c r="N950" s="7" t="s">
        <v>62</v>
      </c>
    </row>
    <row r="951" spans="1:14" x14ac:dyDescent="0.25">
      <c r="A951" s="41" t="s">
        <v>183</v>
      </c>
      <c r="B951" s="1">
        <v>1</v>
      </c>
      <c r="C951" s="8">
        <v>46099</v>
      </c>
      <c r="D951" s="1" t="s">
        <v>1368</v>
      </c>
      <c r="E951" s="7" t="s">
        <v>12</v>
      </c>
      <c r="F951" s="1" t="s">
        <v>25</v>
      </c>
      <c r="G951" s="9" t="s">
        <v>35</v>
      </c>
      <c r="H951" s="7">
        <v>13634</v>
      </c>
      <c r="I951" s="18">
        <v>15000000</v>
      </c>
      <c r="J951" s="10">
        <v>26950.28</v>
      </c>
      <c r="K951" s="7" t="s">
        <v>12</v>
      </c>
      <c r="L951" s="7" t="s">
        <v>53</v>
      </c>
      <c r="M951" s="34">
        <v>46100</v>
      </c>
      <c r="N951" s="7" t="s">
        <v>774</v>
      </c>
    </row>
    <row r="952" spans="1:14" x14ac:dyDescent="0.25">
      <c r="A952" s="41" t="s">
        <v>231</v>
      </c>
      <c r="B952" s="1">
        <v>5</v>
      </c>
      <c r="C952" s="8">
        <v>46105</v>
      </c>
      <c r="D952" s="1" t="s">
        <v>1369</v>
      </c>
      <c r="E952" s="7" t="s">
        <v>11</v>
      </c>
      <c r="F952" s="1" t="s">
        <v>25</v>
      </c>
      <c r="G952" s="9" t="s">
        <v>35</v>
      </c>
      <c r="H952" s="7">
        <v>973</v>
      </c>
      <c r="I952" s="18">
        <v>15000000</v>
      </c>
      <c r="J952" s="10">
        <v>134072</v>
      </c>
      <c r="K952" s="7" t="s">
        <v>12</v>
      </c>
      <c r="L952" s="7" t="s">
        <v>53</v>
      </c>
      <c r="M952" s="34">
        <v>46101</v>
      </c>
      <c r="N952" s="7" t="s">
        <v>41</v>
      </c>
    </row>
    <row r="953" spans="1:14" x14ac:dyDescent="0.25">
      <c r="A953" s="41" t="s">
        <v>385</v>
      </c>
      <c r="B953" s="1">
        <v>2</v>
      </c>
      <c r="C953" s="8">
        <v>46099</v>
      </c>
      <c r="D953" s="1" t="s">
        <v>1370</v>
      </c>
      <c r="E953" s="7" t="s">
        <v>2</v>
      </c>
      <c r="F953" s="1" t="s">
        <v>25</v>
      </c>
      <c r="G953" s="9" t="s">
        <v>35</v>
      </c>
      <c r="H953" s="7">
        <v>4516</v>
      </c>
      <c r="I953" s="18">
        <v>15001001</v>
      </c>
      <c r="J953" s="10">
        <v>12774.58</v>
      </c>
      <c r="K953" s="7" t="s">
        <v>12</v>
      </c>
      <c r="L953" s="7" t="s">
        <v>53</v>
      </c>
      <c r="M953" s="34">
        <v>46101</v>
      </c>
      <c r="N953" s="7" t="s">
        <v>41</v>
      </c>
    </row>
    <row r="954" spans="1:14" x14ac:dyDescent="0.25">
      <c r="A954" s="41" t="s">
        <v>385</v>
      </c>
      <c r="B954" s="1">
        <v>1</v>
      </c>
      <c r="C954" s="8">
        <v>46099</v>
      </c>
      <c r="D954" s="1" t="s">
        <v>1371</v>
      </c>
      <c r="E954" s="7" t="s">
        <v>2</v>
      </c>
      <c r="F954" s="1" t="s">
        <v>25</v>
      </c>
      <c r="G954" s="9" t="s">
        <v>35</v>
      </c>
      <c r="H954" s="7">
        <v>4515</v>
      </c>
      <c r="I954" s="18">
        <v>15001001</v>
      </c>
      <c r="J954" s="10">
        <v>132391.29</v>
      </c>
      <c r="K954" s="7" t="s">
        <v>11</v>
      </c>
      <c r="L954" s="7" t="s">
        <v>40</v>
      </c>
      <c r="M954" s="34">
        <v>46105</v>
      </c>
      <c r="N954" s="7" t="s">
        <v>41</v>
      </c>
    </row>
    <row r="955" spans="1:14" x14ac:dyDescent="0.25">
      <c r="A955" s="41" t="s">
        <v>1112</v>
      </c>
      <c r="B955" s="1">
        <v>1</v>
      </c>
      <c r="C955" s="8">
        <v>46099</v>
      </c>
      <c r="D955" s="1" t="s">
        <v>1372</v>
      </c>
      <c r="E955" s="7" t="s">
        <v>20</v>
      </c>
      <c r="F955" s="1" t="s">
        <v>25</v>
      </c>
      <c r="G955" s="9" t="s">
        <v>35</v>
      </c>
      <c r="H955" s="7" t="s">
        <v>74</v>
      </c>
      <c r="I955" s="18">
        <v>17040000</v>
      </c>
      <c r="J955" s="10">
        <v>208577.3</v>
      </c>
      <c r="K955" s="7" t="s">
        <v>12</v>
      </c>
      <c r="L955" s="7" t="s">
        <v>53</v>
      </c>
      <c r="M955" s="34">
        <v>46100</v>
      </c>
      <c r="N955" s="7" t="s">
        <v>62</v>
      </c>
    </row>
    <row r="956" spans="1:14" x14ac:dyDescent="0.25">
      <c r="A956" s="41" t="s">
        <v>1376</v>
      </c>
      <c r="B956" s="1">
        <v>1</v>
      </c>
      <c r="C956" s="8">
        <v>46099</v>
      </c>
      <c r="D956" s="1" t="s">
        <v>1375</v>
      </c>
      <c r="E956" s="7" t="s">
        <v>13</v>
      </c>
      <c r="F956" s="1" t="s">
        <v>25</v>
      </c>
      <c r="G956" s="9" t="s">
        <v>63</v>
      </c>
      <c r="K956" s="7" t="s">
        <v>17</v>
      </c>
      <c r="L956" s="7" t="s">
        <v>55</v>
      </c>
      <c r="M956" s="34">
        <v>46104</v>
      </c>
      <c r="N956" s="7" t="s">
        <v>91</v>
      </c>
    </row>
    <row r="957" spans="1:14" x14ac:dyDescent="0.25">
      <c r="A957" s="41" t="s">
        <v>1373</v>
      </c>
      <c r="B957" s="1">
        <v>1</v>
      </c>
      <c r="C957" s="8">
        <v>46099</v>
      </c>
      <c r="D957" s="1" t="s">
        <v>1374</v>
      </c>
      <c r="E957" s="7" t="s">
        <v>12</v>
      </c>
      <c r="F957" s="1" t="s">
        <v>25</v>
      </c>
      <c r="G957" s="9" t="s">
        <v>63</v>
      </c>
      <c r="K957" s="7" t="s">
        <v>17</v>
      </c>
      <c r="L957" s="7" t="s">
        <v>55</v>
      </c>
      <c r="M957" s="34">
        <v>46104</v>
      </c>
      <c r="N957" s="7" t="s">
        <v>41</v>
      </c>
    </row>
    <row r="958" spans="1:14" x14ac:dyDescent="0.25">
      <c r="A958" s="41" t="s">
        <v>2167</v>
      </c>
      <c r="B958" s="1">
        <v>1</v>
      </c>
      <c r="C958" s="8">
        <v>46099</v>
      </c>
      <c r="D958" s="1" t="s">
        <v>1377</v>
      </c>
      <c r="E958" s="7" t="s">
        <v>14</v>
      </c>
      <c r="F958" s="1" t="s">
        <v>25</v>
      </c>
      <c r="G958" s="9" t="s">
        <v>63</v>
      </c>
      <c r="K958" s="7" t="s">
        <v>17</v>
      </c>
      <c r="L958" s="7" t="s">
        <v>40</v>
      </c>
      <c r="M958" s="34">
        <v>46196</v>
      </c>
      <c r="N958" s="7" t="s">
        <v>774</v>
      </c>
    </row>
    <row r="959" spans="1:14" x14ac:dyDescent="0.25">
      <c r="A959" s="41" t="s">
        <v>1378</v>
      </c>
      <c r="B959" s="1">
        <v>1</v>
      </c>
      <c r="C959" s="8">
        <v>46099</v>
      </c>
      <c r="D959" s="1" t="s">
        <v>1379</v>
      </c>
      <c r="E959" s="7" t="s">
        <v>13</v>
      </c>
      <c r="F959" s="1" t="s">
        <v>25</v>
      </c>
      <c r="G959" s="9" t="s">
        <v>63</v>
      </c>
      <c r="K959" s="7" t="s">
        <v>17</v>
      </c>
      <c r="L959" s="7" t="s">
        <v>55</v>
      </c>
      <c r="M959" s="34">
        <v>46108</v>
      </c>
      <c r="N959" s="7" t="s">
        <v>41</v>
      </c>
    </row>
    <row r="960" spans="1:14" x14ac:dyDescent="0.25">
      <c r="A960" s="41" t="s">
        <v>884</v>
      </c>
      <c r="B960" s="1">
        <v>1</v>
      </c>
      <c r="C960" s="8">
        <v>46099</v>
      </c>
      <c r="D960" s="1" t="s">
        <v>1380</v>
      </c>
      <c r="E960" s="7" t="s">
        <v>16</v>
      </c>
      <c r="F960" s="1" t="s">
        <v>25</v>
      </c>
      <c r="G960" s="9" t="s">
        <v>63</v>
      </c>
      <c r="K960" s="7" t="s">
        <v>17</v>
      </c>
      <c r="L960" s="7" t="s">
        <v>55</v>
      </c>
      <c r="M960" s="34">
        <v>46196</v>
      </c>
      <c r="N960" s="7" t="s">
        <v>41</v>
      </c>
    </row>
    <row r="961" spans="1:14" x14ac:dyDescent="0.25">
      <c r="A961" s="41" t="s">
        <v>448</v>
      </c>
      <c r="B961" s="1">
        <v>3</v>
      </c>
      <c r="C961" s="8">
        <v>46107</v>
      </c>
      <c r="D961" s="1" t="s">
        <v>1381</v>
      </c>
      <c r="E961" s="7" t="s">
        <v>14</v>
      </c>
      <c r="F961" s="1" t="s">
        <v>25</v>
      </c>
      <c r="G961" s="9" t="s">
        <v>63</v>
      </c>
      <c r="K961" s="7" t="s">
        <v>17</v>
      </c>
      <c r="L961" s="7" t="s">
        <v>55</v>
      </c>
      <c r="M961" s="34">
        <v>46108</v>
      </c>
      <c r="N961" s="7" t="s">
        <v>62</v>
      </c>
    </row>
    <row r="962" spans="1:14" x14ac:dyDescent="0.25">
      <c r="A962" s="41" t="s">
        <v>220</v>
      </c>
      <c r="B962" s="1">
        <v>1</v>
      </c>
      <c r="C962" s="8">
        <v>46098</v>
      </c>
      <c r="D962" s="1" t="s">
        <v>1384</v>
      </c>
      <c r="E962" s="7" t="s">
        <v>11</v>
      </c>
      <c r="F962" s="1" t="s">
        <v>25</v>
      </c>
      <c r="G962" s="9" t="s">
        <v>35</v>
      </c>
      <c r="H962" s="7">
        <v>2312</v>
      </c>
      <c r="I962" s="18">
        <v>15000000</v>
      </c>
      <c r="J962" s="10">
        <v>10565.72</v>
      </c>
      <c r="K962" s="7" t="s">
        <v>12</v>
      </c>
      <c r="L962" s="7" t="s">
        <v>53</v>
      </c>
      <c r="M962" s="34">
        <v>46099</v>
      </c>
      <c r="N962" s="7" t="s">
        <v>41</v>
      </c>
    </row>
    <row r="963" spans="1:14" x14ac:dyDescent="0.25">
      <c r="A963" s="41" t="s">
        <v>220</v>
      </c>
      <c r="B963" s="1">
        <v>1</v>
      </c>
      <c r="C963" s="8">
        <v>46098</v>
      </c>
      <c r="D963" s="1" t="s">
        <v>1385</v>
      </c>
      <c r="E963" s="7" t="s">
        <v>11</v>
      </c>
      <c r="F963" s="1" t="s">
        <v>25</v>
      </c>
      <c r="G963" s="9" t="s">
        <v>35</v>
      </c>
      <c r="H963" s="7">
        <v>2309</v>
      </c>
      <c r="I963" s="18">
        <v>15000000</v>
      </c>
      <c r="J963" s="10">
        <v>8566.7999999999993</v>
      </c>
      <c r="K963" s="7" t="s">
        <v>12</v>
      </c>
      <c r="L963" s="7" t="s">
        <v>53</v>
      </c>
      <c r="M963" s="34">
        <v>46099</v>
      </c>
      <c r="N963" s="7" t="s">
        <v>41</v>
      </c>
    </row>
    <row r="964" spans="1:14" x14ac:dyDescent="0.25">
      <c r="A964" s="41" t="s">
        <v>220</v>
      </c>
      <c r="B964" s="1">
        <v>1</v>
      </c>
      <c r="C964" s="8">
        <v>46098</v>
      </c>
      <c r="D964" s="1" t="s">
        <v>1386</v>
      </c>
      <c r="E964" s="7" t="s">
        <v>11</v>
      </c>
      <c r="F964" s="1" t="s">
        <v>25</v>
      </c>
      <c r="G964" s="9" t="s">
        <v>35</v>
      </c>
      <c r="H964" s="7">
        <v>2301</v>
      </c>
      <c r="I964" s="18">
        <v>15000000</v>
      </c>
      <c r="J964" s="10">
        <v>1875</v>
      </c>
      <c r="K964" s="7" t="s">
        <v>12</v>
      </c>
      <c r="L964" s="7" t="s">
        <v>53</v>
      </c>
      <c r="M964" s="34">
        <v>46099</v>
      </c>
      <c r="N964" s="7" t="s">
        <v>41</v>
      </c>
    </row>
    <row r="965" spans="1:14" x14ac:dyDescent="0.25">
      <c r="A965" s="41" t="s">
        <v>220</v>
      </c>
      <c r="B965" s="1">
        <v>1</v>
      </c>
      <c r="C965" s="8">
        <v>46098</v>
      </c>
      <c r="D965" s="1" t="s">
        <v>1387</v>
      </c>
      <c r="E965" s="7" t="s">
        <v>11</v>
      </c>
      <c r="F965" s="1" t="s">
        <v>25</v>
      </c>
      <c r="G965" s="9" t="s">
        <v>35</v>
      </c>
      <c r="H965" s="7">
        <v>2302</v>
      </c>
      <c r="I965" s="18">
        <v>15000000</v>
      </c>
      <c r="J965" s="10">
        <v>1875</v>
      </c>
      <c r="K965" s="7" t="s">
        <v>12</v>
      </c>
      <c r="L965" s="7" t="s">
        <v>53</v>
      </c>
      <c r="M965" s="34">
        <v>46099</v>
      </c>
      <c r="N965" s="7" t="s">
        <v>41</v>
      </c>
    </row>
    <row r="966" spans="1:14" x14ac:dyDescent="0.25">
      <c r="A966" s="41" t="s">
        <v>1078</v>
      </c>
      <c r="B966" s="1">
        <v>1</v>
      </c>
      <c r="C966" s="8">
        <v>46099</v>
      </c>
      <c r="D966" s="1" t="s">
        <v>1388</v>
      </c>
      <c r="E966" s="7" t="s">
        <v>2</v>
      </c>
      <c r="F966" s="1" t="s">
        <v>25</v>
      </c>
      <c r="G966" s="9" t="s">
        <v>63</v>
      </c>
      <c r="K966" s="7" t="s">
        <v>17</v>
      </c>
      <c r="L966" s="7" t="s">
        <v>40</v>
      </c>
      <c r="M966" s="34">
        <v>46104</v>
      </c>
      <c r="N966" s="7" t="s">
        <v>41</v>
      </c>
    </row>
    <row r="967" spans="1:14" x14ac:dyDescent="0.25">
      <c r="A967" s="41" t="s">
        <v>1283</v>
      </c>
      <c r="B967" s="1">
        <v>1</v>
      </c>
      <c r="C967" s="8">
        <v>46099</v>
      </c>
      <c r="D967" s="1" t="s">
        <v>1389</v>
      </c>
      <c r="E967" s="7" t="s">
        <v>83</v>
      </c>
      <c r="F967" s="1" t="s">
        <v>25</v>
      </c>
      <c r="G967" s="9" t="s">
        <v>63</v>
      </c>
      <c r="K967" s="7" t="s">
        <v>17</v>
      </c>
      <c r="L967" s="7" t="s">
        <v>40</v>
      </c>
      <c r="M967" s="34">
        <v>46101</v>
      </c>
      <c r="N967" s="7" t="s">
        <v>62</v>
      </c>
    </row>
    <row r="968" spans="1:14" x14ac:dyDescent="0.25">
      <c r="A968" s="41" t="s">
        <v>1283</v>
      </c>
      <c r="B968" s="1">
        <v>1</v>
      </c>
      <c r="C968" s="8">
        <v>46099</v>
      </c>
      <c r="D968" s="1" t="s">
        <v>1390</v>
      </c>
      <c r="E968" s="7" t="s">
        <v>83</v>
      </c>
      <c r="F968" s="1" t="s">
        <v>25</v>
      </c>
      <c r="G968" s="9" t="s">
        <v>63</v>
      </c>
      <c r="K968" s="7" t="s">
        <v>17</v>
      </c>
      <c r="L968" s="7" t="s">
        <v>40</v>
      </c>
      <c r="M968" s="34">
        <v>46101</v>
      </c>
      <c r="N968" s="7" t="s">
        <v>62</v>
      </c>
    </row>
    <row r="969" spans="1:14" x14ac:dyDescent="0.25">
      <c r="A969" s="41" t="s">
        <v>1393</v>
      </c>
      <c r="B969" s="1">
        <v>1</v>
      </c>
      <c r="C969" s="8">
        <v>46100</v>
      </c>
      <c r="D969" s="1" t="s">
        <v>1394</v>
      </c>
      <c r="E969" s="7" t="s">
        <v>13</v>
      </c>
      <c r="F969" s="1" t="s">
        <v>25</v>
      </c>
      <c r="G969" s="9" t="s">
        <v>35</v>
      </c>
      <c r="H969" s="7">
        <v>71</v>
      </c>
      <c r="I969" s="18">
        <v>16000000</v>
      </c>
      <c r="J969" s="10">
        <v>3026.57</v>
      </c>
      <c r="K969" s="7" t="s">
        <v>13</v>
      </c>
      <c r="L969" s="7" t="s">
        <v>54</v>
      </c>
      <c r="M969" s="34">
        <v>46101</v>
      </c>
      <c r="N969" s="7" t="s">
        <v>774</v>
      </c>
    </row>
    <row r="970" spans="1:14" x14ac:dyDescent="0.25">
      <c r="A970" s="41" t="s">
        <v>825</v>
      </c>
      <c r="B970" s="1">
        <v>2</v>
      </c>
      <c r="C970" s="8">
        <v>46100</v>
      </c>
      <c r="D970" s="1" t="s">
        <v>1395</v>
      </c>
      <c r="E970" s="7" t="s">
        <v>2</v>
      </c>
      <c r="F970" s="1" t="s">
        <v>25</v>
      </c>
      <c r="G970" s="9" t="s">
        <v>35</v>
      </c>
      <c r="H970" s="7">
        <v>13</v>
      </c>
      <c r="I970" s="18">
        <v>15001001</v>
      </c>
      <c r="J970" s="10">
        <v>142000</v>
      </c>
      <c r="K970" s="7" t="s">
        <v>12</v>
      </c>
      <c r="L970" s="7" t="s">
        <v>53</v>
      </c>
      <c r="M970" s="34">
        <v>46101</v>
      </c>
      <c r="N970" s="7" t="s">
        <v>92</v>
      </c>
    </row>
    <row r="971" spans="1:14" x14ac:dyDescent="0.25">
      <c r="A971" s="41" t="s">
        <v>943</v>
      </c>
      <c r="B971" s="1">
        <v>2</v>
      </c>
      <c r="C971" s="8">
        <v>46105</v>
      </c>
      <c r="D971" s="1" t="s">
        <v>1396</v>
      </c>
      <c r="E971" s="7" t="s">
        <v>13</v>
      </c>
      <c r="F971" s="1" t="s">
        <v>25</v>
      </c>
      <c r="G971" s="9" t="s">
        <v>35</v>
      </c>
      <c r="H971" s="7">
        <v>5750</v>
      </c>
      <c r="I971" s="18">
        <v>16000000</v>
      </c>
      <c r="J971" s="10">
        <v>8000</v>
      </c>
      <c r="K971" s="7" t="s">
        <v>13</v>
      </c>
      <c r="L971" s="7" t="s">
        <v>54</v>
      </c>
      <c r="M971" s="34">
        <v>46106</v>
      </c>
      <c r="N971" s="7" t="s">
        <v>92</v>
      </c>
    </row>
    <row r="972" spans="1:14" x14ac:dyDescent="0.25">
      <c r="A972" s="41" t="s">
        <v>1021</v>
      </c>
      <c r="B972" s="1">
        <v>1</v>
      </c>
      <c r="C972" s="8">
        <v>46100</v>
      </c>
      <c r="D972" s="1" t="s">
        <v>1397</v>
      </c>
      <c r="E972" s="7" t="s">
        <v>13</v>
      </c>
      <c r="F972" s="1" t="s">
        <v>25</v>
      </c>
      <c r="G972" s="9" t="s">
        <v>35</v>
      </c>
      <c r="H972" s="7">
        <v>1957</v>
      </c>
      <c r="I972" s="18">
        <v>15001002</v>
      </c>
      <c r="J972" s="10">
        <v>5640</v>
      </c>
      <c r="K972" s="7" t="s">
        <v>13</v>
      </c>
      <c r="L972" s="7" t="s">
        <v>54</v>
      </c>
      <c r="M972" s="34">
        <v>46101</v>
      </c>
      <c r="N972" s="7" t="s">
        <v>92</v>
      </c>
    </row>
    <row r="973" spans="1:14" x14ac:dyDescent="0.25">
      <c r="A973" s="41" t="s">
        <v>939</v>
      </c>
      <c r="B973" s="1">
        <v>1</v>
      </c>
      <c r="C973" s="8">
        <v>46100</v>
      </c>
      <c r="D973" s="1" t="s">
        <v>1398</v>
      </c>
      <c r="E973" s="7" t="s">
        <v>13</v>
      </c>
      <c r="F973" s="1" t="s">
        <v>25</v>
      </c>
      <c r="G973" s="9" t="s">
        <v>35</v>
      </c>
      <c r="H973" s="7">
        <v>7806</v>
      </c>
      <c r="I973" s="18">
        <v>16000000</v>
      </c>
      <c r="J973" s="10">
        <v>2848.2</v>
      </c>
      <c r="K973" s="7" t="s">
        <v>13</v>
      </c>
      <c r="L973" s="7" t="s">
        <v>54</v>
      </c>
      <c r="M973" s="34">
        <v>46101</v>
      </c>
      <c r="N973" s="7" t="s">
        <v>92</v>
      </c>
    </row>
    <row r="974" spans="1:14" x14ac:dyDescent="0.25">
      <c r="A974" s="41" t="s">
        <v>1325</v>
      </c>
      <c r="B974" s="1">
        <v>2</v>
      </c>
      <c r="C974" s="8">
        <v>46107</v>
      </c>
      <c r="D974" s="1" t="s">
        <v>1399</v>
      </c>
      <c r="E974" s="7" t="s">
        <v>13</v>
      </c>
      <c r="F974" s="1" t="s">
        <v>25</v>
      </c>
      <c r="G974" s="9" t="s">
        <v>35</v>
      </c>
      <c r="H974" s="7">
        <v>6541</v>
      </c>
      <c r="I974" s="18">
        <v>16210000</v>
      </c>
      <c r="J974" s="10">
        <v>8274</v>
      </c>
      <c r="K974" s="7" t="s">
        <v>13</v>
      </c>
      <c r="L974" s="7" t="s">
        <v>54</v>
      </c>
      <c r="M974" s="34">
        <v>46108</v>
      </c>
      <c r="N974" s="7" t="s">
        <v>774</v>
      </c>
    </row>
    <row r="975" spans="1:14" x14ac:dyDescent="0.25">
      <c r="A975" s="41" t="s">
        <v>971</v>
      </c>
      <c r="B975" s="1">
        <v>2</v>
      </c>
      <c r="C975" s="8">
        <v>46107</v>
      </c>
      <c r="D975" s="1" t="s">
        <v>1400</v>
      </c>
      <c r="E975" s="7" t="s">
        <v>13</v>
      </c>
      <c r="F975" s="1" t="s">
        <v>25</v>
      </c>
      <c r="G975" s="9" t="s">
        <v>35</v>
      </c>
      <c r="H975" s="7">
        <v>3706</v>
      </c>
      <c r="I975" s="18">
        <v>15001002</v>
      </c>
      <c r="J975" s="10">
        <v>2582.5</v>
      </c>
      <c r="K975" s="7" t="s">
        <v>13</v>
      </c>
      <c r="L975" s="7" t="s">
        <v>54</v>
      </c>
      <c r="M975" s="34">
        <v>46108</v>
      </c>
      <c r="N975" s="7" t="s">
        <v>774</v>
      </c>
    </row>
    <row r="976" spans="1:14" x14ac:dyDescent="0.25">
      <c r="A976" s="41" t="s">
        <v>939</v>
      </c>
      <c r="B976" s="1">
        <v>1</v>
      </c>
      <c r="C976" s="8">
        <v>46100</v>
      </c>
      <c r="D976" s="1" t="s">
        <v>1401</v>
      </c>
      <c r="E976" s="7" t="s">
        <v>13</v>
      </c>
      <c r="F976" s="1" t="s">
        <v>25</v>
      </c>
      <c r="G976" s="9" t="s">
        <v>35</v>
      </c>
      <c r="H976" s="7">
        <v>7764</v>
      </c>
      <c r="I976" s="18">
        <v>15001002</v>
      </c>
      <c r="J976" s="10">
        <v>1414.04</v>
      </c>
      <c r="K976" s="7" t="s">
        <v>13</v>
      </c>
      <c r="L976" s="7" t="s">
        <v>54</v>
      </c>
      <c r="M976" s="34">
        <v>46101</v>
      </c>
      <c r="N976" s="7" t="s">
        <v>774</v>
      </c>
    </row>
    <row r="977" spans="1:14" x14ac:dyDescent="0.25">
      <c r="A977" s="41" t="s">
        <v>412</v>
      </c>
      <c r="B977" s="1">
        <v>2</v>
      </c>
      <c r="C977" s="8">
        <v>46100</v>
      </c>
      <c r="D977" s="1" t="s">
        <v>1402</v>
      </c>
      <c r="E977" s="7" t="s">
        <v>2</v>
      </c>
      <c r="F977" s="1" t="s">
        <v>25</v>
      </c>
      <c r="G977" s="9" t="s">
        <v>35</v>
      </c>
      <c r="H977" s="7">
        <v>1640</v>
      </c>
      <c r="I977" s="18">
        <v>15400000</v>
      </c>
      <c r="J977" s="10">
        <v>2996</v>
      </c>
      <c r="K977" s="7" t="s">
        <v>12</v>
      </c>
      <c r="L977" s="7" t="s">
        <v>53</v>
      </c>
      <c r="M977" s="34">
        <v>46104</v>
      </c>
      <c r="N977" s="7" t="s">
        <v>92</v>
      </c>
    </row>
    <row r="978" spans="1:14" x14ac:dyDescent="0.25">
      <c r="A978" s="41" t="s">
        <v>1393</v>
      </c>
      <c r="B978" s="1">
        <v>1</v>
      </c>
      <c r="C978" s="8">
        <v>46100</v>
      </c>
      <c r="D978" s="1" t="s">
        <v>1403</v>
      </c>
      <c r="E978" s="7" t="s">
        <v>13</v>
      </c>
      <c r="F978" s="1" t="s">
        <v>25</v>
      </c>
      <c r="G978" s="9" t="s">
        <v>35</v>
      </c>
      <c r="H978" s="7" t="s">
        <v>898</v>
      </c>
      <c r="I978" s="18">
        <v>16000000</v>
      </c>
      <c r="J978" s="10">
        <v>2193.96</v>
      </c>
      <c r="K978" s="7" t="s">
        <v>13</v>
      </c>
      <c r="L978" s="7" t="s">
        <v>54</v>
      </c>
      <c r="M978" s="34">
        <v>46101</v>
      </c>
      <c r="N978" s="7" t="s">
        <v>774</v>
      </c>
    </row>
    <row r="979" spans="1:14" x14ac:dyDescent="0.25">
      <c r="A979" s="41" t="s">
        <v>1393</v>
      </c>
      <c r="B979" s="1">
        <v>1</v>
      </c>
      <c r="C979" s="8">
        <v>46100</v>
      </c>
      <c r="D979" s="1" t="s">
        <v>1404</v>
      </c>
      <c r="E979" s="7" t="s">
        <v>13</v>
      </c>
      <c r="F979" s="1" t="s">
        <v>25</v>
      </c>
      <c r="G979" s="9" t="s">
        <v>35</v>
      </c>
      <c r="H979" s="7" t="s">
        <v>898</v>
      </c>
      <c r="I979" s="18">
        <v>16000000</v>
      </c>
      <c r="J979" s="10">
        <v>1872.51</v>
      </c>
      <c r="K979" s="7" t="s">
        <v>13</v>
      </c>
      <c r="L979" s="7" t="s">
        <v>54</v>
      </c>
      <c r="M979" s="34">
        <v>46101</v>
      </c>
      <c r="N979" s="7" t="s">
        <v>774</v>
      </c>
    </row>
    <row r="980" spans="1:14" x14ac:dyDescent="0.25">
      <c r="A980" s="41" t="s">
        <v>1405</v>
      </c>
      <c r="B980" s="1">
        <v>2</v>
      </c>
      <c r="C980" s="8">
        <v>46104</v>
      </c>
      <c r="D980" s="1" t="s">
        <v>1406</v>
      </c>
      <c r="E980" s="7" t="s">
        <v>14</v>
      </c>
      <c r="F980" s="1" t="s">
        <v>25</v>
      </c>
      <c r="G980" s="9" t="s">
        <v>35</v>
      </c>
      <c r="H980" s="7">
        <v>804</v>
      </c>
      <c r="I980" s="18">
        <v>15000000</v>
      </c>
      <c r="J980" s="10">
        <v>32200</v>
      </c>
      <c r="K980" s="7" t="s">
        <v>12</v>
      </c>
      <c r="L980" s="7" t="s">
        <v>53</v>
      </c>
      <c r="M980" s="34">
        <v>46104</v>
      </c>
      <c r="N980" s="7" t="s">
        <v>41</v>
      </c>
    </row>
    <row r="981" spans="1:14" x14ac:dyDescent="0.25">
      <c r="A981" s="41" t="s">
        <v>128</v>
      </c>
      <c r="B981" s="1">
        <v>1</v>
      </c>
      <c r="C981" s="8">
        <v>46100</v>
      </c>
      <c r="D981" s="1" t="s">
        <v>1408</v>
      </c>
      <c r="E981" s="7" t="s">
        <v>13</v>
      </c>
      <c r="F981" s="1" t="s">
        <v>25</v>
      </c>
      <c r="G981" s="9" t="s">
        <v>38</v>
      </c>
      <c r="K981" s="7" t="s">
        <v>22</v>
      </c>
      <c r="L981" s="7" t="s">
        <v>55</v>
      </c>
      <c r="M981" s="34">
        <v>46105</v>
      </c>
      <c r="N981" s="7" t="s">
        <v>92</v>
      </c>
    </row>
    <row r="982" spans="1:14" x14ac:dyDescent="0.25">
      <c r="A982" s="41" t="s">
        <v>1054</v>
      </c>
      <c r="B982" s="1">
        <v>1</v>
      </c>
      <c r="C982" s="8">
        <v>46100</v>
      </c>
      <c r="D982" s="1" t="s">
        <v>1409</v>
      </c>
      <c r="E982" s="7" t="s">
        <v>12</v>
      </c>
      <c r="F982" s="1" t="s">
        <v>25</v>
      </c>
      <c r="G982" s="9" t="s">
        <v>81</v>
      </c>
      <c r="K982" s="7" t="s">
        <v>58</v>
      </c>
      <c r="L982" s="7" t="s">
        <v>59</v>
      </c>
    </row>
    <row r="983" spans="1:14" x14ac:dyDescent="0.25">
      <c r="A983" s="41" t="s">
        <v>1410</v>
      </c>
      <c r="B983" s="1">
        <v>1</v>
      </c>
      <c r="C983" s="8">
        <v>46100</v>
      </c>
      <c r="D983" s="1" t="s">
        <v>1411</v>
      </c>
      <c r="E983" s="7" t="s">
        <v>13</v>
      </c>
      <c r="F983" s="1" t="s">
        <v>25</v>
      </c>
      <c r="G983" s="9" t="s">
        <v>35</v>
      </c>
      <c r="H983" s="7">
        <v>396</v>
      </c>
      <c r="I983" s="18">
        <v>15001002</v>
      </c>
      <c r="J983" s="10">
        <v>4395</v>
      </c>
      <c r="K983" s="7" t="s">
        <v>13</v>
      </c>
      <c r="L983" s="7" t="s">
        <v>54</v>
      </c>
      <c r="M983" s="34">
        <v>46104</v>
      </c>
      <c r="N983" s="7" t="s">
        <v>774</v>
      </c>
    </row>
    <row r="984" spans="1:14" x14ac:dyDescent="0.25">
      <c r="A984" s="41" t="s">
        <v>231</v>
      </c>
      <c r="B984" s="1">
        <v>2</v>
      </c>
      <c r="C984" s="8">
        <v>46100</v>
      </c>
      <c r="D984" s="1" t="s">
        <v>1412</v>
      </c>
      <c r="E984" s="7" t="s">
        <v>11</v>
      </c>
      <c r="F984" s="1" t="s">
        <v>25</v>
      </c>
      <c r="G984" s="9" t="s">
        <v>35</v>
      </c>
      <c r="H984" s="7" t="s">
        <v>551</v>
      </c>
      <c r="I984" s="18">
        <v>15000000</v>
      </c>
      <c r="J984" s="10">
        <v>180650</v>
      </c>
      <c r="K984" s="7" t="s">
        <v>12</v>
      </c>
      <c r="L984" s="7" t="s">
        <v>53</v>
      </c>
      <c r="M984" s="34">
        <v>46101</v>
      </c>
      <c r="N984" s="7" t="s">
        <v>41</v>
      </c>
    </row>
    <row r="985" spans="1:14" x14ac:dyDescent="0.25">
      <c r="A985" s="41" t="s">
        <v>1413</v>
      </c>
      <c r="B985" s="1">
        <v>1</v>
      </c>
      <c r="C985" s="8">
        <v>46100</v>
      </c>
      <c r="D985" s="1" t="s">
        <v>1414</v>
      </c>
      <c r="E985" s="7" t="s">
        <v>11</v>
      </c>
      <c r="F985" s="1" t="s">
        <v>25</v>
      </c>
      <c r="G985" s="9" t="s">
        <v>35</v>
      </c>
      <c r="H985" s="7">
        <v>2365</v>
      </c>
      <c r="I985" s="18">
        <v>15000000</v>
      </c>
      <c r="J985" s="10">
        <v>16250</v>
      </c>
      <c r="K985" s="7" t="s">
        <v>12</v>
      </c>
      <c r="L985" s="7" t="s">
        <v>53</v>
      </c>
      <c r="M985" s="34">
        <v>46101</v>
      </c>
      <c r="N985" s="7" t="s">
        <v>41</v>
      </c>
    </row>
    <row r="986" spans="1:14" x14ac:dyDescent="0.25">
      <c r="A986" s="41" t="s">
        <v>1413</v>
      </c>
      <c r="B986" s="1">
        <v>1</v>
      </c>
      <c r="C986" s="8">
        <v>46100</v>
      </c>
      <c r="D986" s="1" t="s">
        <v>1415</v>
      </c>
      <c r="E986" s="7" t="s">
        <v>11</v>
      </c>
      <c r="F986" s="1" t="s">
        <v>25</v>
      </c>
      <c r="G986" s="9" t="s">
        <v>35</v>
      </c>
      <c r="H986" s="7">
        <v>2366</v>
      </c>
      <c r="I986" s="18">
        <v>15000000</v>
      </c>
      <c r="J986" s="10">
        <v>19800</v>
      </c>
      <c r="K986" s="7" t="s">
        <v>12</v>
      </c>
      <c r="L986" s="7" t="s">
        <v>53</v>
      </c>
      <c r="M986" s="34">
        <v>46101</v>
      </c>
      <c r="N986" s="7" t="s">
        <v>41</v>
      </c>
    </row>
    <row r="987" spans="1:14" ht="30" x14ac:dyDescent="0.25">
      <c r="A987" s="41" t="s">
        <v>1417</v>
      </c>
      <c r="B987" s="1">
        <v>1</v>
      </c>
      <c r="C987" s="8">
        <v>46100</v>
      </c>
      <c r="D987" s="1" t="s">
        <v>1416</v>
      </c>
      <c r="E987" s="7" t="s">
        <v>13</v>
      </c>
      <c r="F987" s="1" t="s">
        <v>25</v>
      </c>
      <c r="G987" s="9" t="s">
        <v>721</v>
      </c>
      <c r="K987" s="7" t="s">
        <v>58</v>
      </c>
      <c r="L987" s="7" t="s">
        <v>59</v>
      </c>
    </row>
    <row r="988" spans="1:14" x14ac:dyDescent="0.25">
      <c r="A988" s="41" t="s">
        <v>441</v>
      </c>
      <c r="B988" s="1">
        <v>1</v>
      </c>
      <c r="C988" s="8">
        <v>46100</v>
      </c>
      <c r="D988" s="1" t="s">
        <v>1418</v>
      </c>
      <c r="E988" s="7" t="s">
        <v>14</v>
      </c>
      <c r="F988" s="1" t="s">
        <v>25</v>
      </c>
      <c r="G988" s="9" t="s">
        <v>35</v>
      </c>
      <c r="H988" s="7">
        <v>11916</v>
      </c>
      <c r="I988" s="18">
        <v>15000000</v>
      </c>
      <c r="J988" s="10">
        <v>7302.77</v>
      </c>
      <c r="K988" s="7" t="s">
        <v>12</v>
      </c>
      <c r="L988" s="7" t="s">
        <v>53</v>
      </c>
      <c r="M988" s="34">
        <v>46100</v>
      </c>
      <c r="N988" s="7" t="s">
        <v>41</v>
      </c>
    </row>
    <row r="989" spans="1:14" x14ac:dyDescent="0.25">
      <c r="A989" s="41" t="s">
        <v>367</v>
      </c>
      <c r="B989" s="1">
        <v>2</v>
      </c>
      <c r="C989" s="8">
        <v>46105</v>
      </c>
      <c r="D989" s="1" t="s">
        <v>1420</v>
      </c>
      <c r="E989" s="7" t="s">
        <v>13</v>
      </c>
      <c r="F989" s="1" t="s">
        <v>25</v>
      </c>
      <c r="G989" s="9" t="s">
        <v>35</v>
      </c>
      <c r="H989" s="7">
        <v>17551</v>
      </c>
      <c r="I989" s="18">
        <v>15010000</v>
      </c>
      <c r="J989" s="10">
        <v>399.96</v>
      </c>
      <c r="K989" s="7" t="s">
        <v>13</v>
      </c>
      <c r="L989" s="7" t="s">
        <v>54</v>
      </c>
      <c r="M989" s="34">
        <v>46105</v>
      </c>
      <c r="N989" s="7" t="s">
        <v>41</v>
      </c>
    </row>
    <row r="990" spans="1:14" x14ac:dyDescent="0.25">
      <c r="A990" s="41" t="s">
        <v>236</v>
      </c>
      <c r="B990" s="1">
        <v>1</v>
      </c>
      <c r="C990" s="8">
        <v>46101</v>
      </c>
      <c r="D990" s="1" t="s">
        <v>1421</v>
      </c>
      <c r="E990" s="7" t="s">
        <v>13</v>
      </c>
      <c r="F990" s="1" t="s">
        <v>25</v>
      </c>
      <c r="G990" s="9" t="s">
        <v>35</v>
      </c>
      <c r="H990" s="73">
        <v>189609</v>
      </c>
      <c r="I990" s="18">
        <v>16003110</v>
      </c>
      <c r="J990" s="10">
        <v>5400</v>
      </c>
      <c r="K990" s="7" t="s">
        <v>13</v>
      </c>
      <c r="L990" s="7" t="s">
        <v>54</v>
      </c>
      <c r="M990" s="34">
        <v>46104</v>
      </c>
      <c r="N990" s="7" t="s">
        <v>92</v>
      </c>
    </row>
    <row r="991" spans="1:14" x14ac:dyDescent="0.25">
      <c r="A991" s="41" t="s">
        <v>236</v>
      </c>
      <c r="B991" s="1">
        <v>1</v>
      </c>
      <c r="C991" s="8">
        <v>46101</v>
      </c>
      <c r="D991" s="1" t="s">
        <v>1422</v>
      </c>
      <c r="E991" s="7" t="s">
        <v>13</v>
      </c>
      <c r="F991" s="1" t="s">
        <v>25</v>
      </c>
      <c r="G991" s="9" t="s">
        <v>35</v>
      </c>
      <c r="H991" s="73">
        <v>189004</v>
      </c>
      <c r="I991" s="18">
        <v>16210000</v>
      </c>
      <c r="J991" s="10">
        <v>9000</v>
      </c>
      <c r="K991" s="7" t="s">
        <v>13</v>
      </c>
      <c r="L991" s="7" t="s">
        <v>54</v>
      </c>
      <c r="M991" s="34">
        <v>46104</v>
      </c>
      <c r="N991" s="7" t="s">
        <v>92</v>
      </c>
    </row>
    <row r="992" spans="1:14" x14ac:dyDescent="0.25">
      <c r="A992" s="41" t="s">
        <v>629</v>
      </c>
      <c r="B992" s="1">
        <v>1</v>
      </c>
      <c r="C992" s="8">
        <v>46101</v>
      </c>
      <c r="D992" s="1" t="s">
        <v>1423</v>
      </c>
      <c r="E992" s="7" t="s">
        <v>2</v>
      </c>
      <c r="F992" s="1" t="s">
        <v>25</v>
      </c>
      <c r="G992" s="9" t="s">
        <v>35</v>
      </c>
      <c r="H992" s="7">
        <v>76</v>
      </c>
      <c r="I992" s="18">
        <v>15500000</v>
      </c>
      <c r="J992" s="10">
        <v>75520</v>
      </c>
      <c r="K992" s="7" t="s">
        <v>12</v>
      </c>
      <c r="L992" s="7" t="s">
        <v>53</v>
      </c>
      <c r="M992" s="34">
        <v>46104</v>
      </c>
      <c r="N992" s="7" t="s">
        <v>92</v>
      </c>
    </row>
    <row r="993" spans="1:14" x14ac:dyDescent="0.25">
      <c r="A993" s="41" t="s">
        <v>546</v>
      </c>
      <c r="B993" s="1">
        <v>2</v>
      </c>
      <c r="C993" s="8">
        <v>46101</v>
      </c>
      <c r="D993" s="1" t="s">
        <v>1424</v>
      </c>
      <c r="E993" s="7" t="s">
        <v>20</v>
      </c>
      <c r="F993" s="1" t="s">
        <v>25</v>
      </c>
      <c r="G993" s="9" t="s">
        <v>35</v>
      </c>
      <c r="H993" s="7">
        <v>5113</v>
      </c>
      <c r="I993" s="18">
        <v>15000000</v>
      </c>
      <c r="J993" s="10">
        <v>767579.81</v>
      </c>
      <c r="K993" s="7" t="s">
        <v>12</v>
      </c>
      <c r="L993" s="7" t="s">
        <v>53</v>
      </c>
      <c r="M993" s="34">
        <v>46104</v>
      </c>
      <c r="N993" s="7" t="s">
        <v>62</v>
      </c>
    </row>
    <row r="994" spans="1:14" x14ac:dyDescent="0.25">
      <c r="A994" s="41" t="s">
        <v>1425</v>
      </c>
      <c r="B994" s="1">
        <v>1</v>
      </c>
      <c r="C994" s="8">
        <v>46101</v>
      </c>
      <c r="D994" s="1" t="s">
        <v>1426</v>
      </c>
      <c r="E994" s="7" t="s">
        <v>13</v>
      </c>
      <c r="F994" s="1" t="s">
        <v>25</v>
      </c>
      <c r="G994" s="9" t="s">
        <v>35</v>
      </c>
      <c r="H994" s="7">
        <v>16947</v>
      </c>
      <c r="I994" s="18">
        <v>16000000</v>
      </c>
      <c r="J994" s="10">
        <v>1598.4</v>
      </c>
      <c r="K994" s="7" t="s">
        <v>13</v>
      </c>
      <c r="L994" s="7" t="s">
        <v>54</v>
      </c>
      <c r="M994" s="34">
        <v>46104</v>
      </c>
      <c r="N994" s="7" t="s">
        <v>92</v>
      </c>
    </row>
    <row r="995" spans="1:14" x14ac:dyDescent="0.25">
      <c r="A995" s="41" t="s">
        <v>590</v>
      </c>
      <c r="B995" s="1">
        <v>1</v>
      </c>
      <c r="C995" s="8">
        <v>46101</v>
      </c>
      <c r="D995" s="1" t="s">
        <v>1428</v>
      </c>
      <c r="E995" s="7" t="s">
        <v>14</v>
      </c>
      <c r="F995" s="1" t="s">
        <v>25</v>
      </c>
      <c r="G995" s="9" t="s">
        <v>35</v>
      </c>
      <c r="H995" s="7" t="s">
        <v>890</v>
      </c>
      <c r="I995" s="18">
        <v>15000000</v>
      </c>
      <c r="J995" s="10">
        <v>179.52</v>
      </c>
      <c r="K995" s="7" t="s">
        <v>12</v>
      </c>
      <c r="L995" s="7" t="s">
        <v>53</v>
      </c>
      <c r="M995" s="34">
        <v>46101</v>
      </c>
      <c r="N995" s="7" t="s">
        <v>92</v>
      </c>
    </row>
    <row r="996" spans="1:14" x14ac:dyDescent="0.25">
      <c r="A996" s="41" t="s">
        <v>412</v>
      </c>
      <c r="B996" s="1">
        <v>2</v>
      </c>
      <c r="C996" s="8">
        <v>46101</v>
      </c>
      <c r="D996" s="1" t="s">
        <v>1429</v>
      </c>
      <c r="E996" s="7" t="s">
        <v>14</v>
      </c>
      <c r="F996" s="1" t="s">
        <v>25</v>
      </c>
      <c r="G996" s="9" t="s">
        <v>35</v>
      </c>
      <c r="H996" s="7">
        <v>1644</v>
      </c>
      <c r="I996" s="18">
        <v>15000000</v>
      </c>
      <c r="J996" s="10">
        <v>110</v>
      </c>
      <c r="K996" s="7" t="s">
        <v>12</v>
      </c>
      <c r="L996" s="7" t="s">
        <v>53</v>
      </c>
      <c r="M996" s="34">
        <v>46104</v>
      </c>
      <c r="N996" s="7" t="s">
        <v>41</v>
      </c>
    </row>
    <row r="997" spans="1:14" x14ac:dyDescent="0.25">
      <c r="A997" s="41" t="s">
        <v>1431</v>
      </c>
      <c r="B997" s="1">
        <v>1</v>
      </c>
      <c r="C997" s="8">
        <v>46101</v>
      </c>
      <c r="D997" s="1" t="s">
        <v>1432</v>
      </c>
      <c r="E997" s="7" t="s">
        <v>13</v>
      </c>
      <c r="F997" s="1" t="s">
        <v>25</v>
      </c>
      <c r="G997" s="9" t="s">
        <v>38</v>
      </c>
      <c r="K997" s="7" t="s">
        <v>22</v>
      </c>
      <c r="L997" s="7" t="s">
        <v>55</v>
      </c>
      <c r="M997" s="34">
        <v>46105</v>
      </c>
      <c r="N997" s="7" t="s">
        <v>46</v>
      </c>
    </row>
    <row r="998" spans="1:14" x14ac:dyDescent="0.25">
      <c r="A998" s="41" t="s">
        <v>513</v>
      </c>
      <c r="B998" s="1">
        <v>2</v>
      </c>
      <c r="C998" s="8">
        <v>46088</v>
      </c>
      <c r="D998" s="1" t="s">
        <v>1433</v>
      </c>
      <c r="E998" s="7" t="s">
        <v>12</v>
      </c>
      <c r="F998" s="1" t="s">
        <v>25</v>
      </c>
      <c r="G998" s="9" t="s">
        <v>35</v>
      </c>
      <c r="H998" s="7">
        <v>5730</v>
      </c>
      <c r="I998" s="18">
        <v>15000000</v>
      </c>
      <c r="J998" s="10">
        <v>7800</v>
      </c>
      <c r="K998" s="7" t="s">
        <v>12</v>
      </c>
      <c r="L998" s="7" t="s">
        <v>53</v>
      </c>
      <c r="M998" s="34">
        <v>46120</v>
      </c>
      <c r="N998" s="7" t="s">
        <v>774</v>
      </c>
    </row>
    <row r="999" spans="1:14" x14ac:dyDescent="0.25">
      <c r="A999" s="41" t="s">
        <v>1413</v>
      </c>
      <c r="B999" s="1">
        <v>1</v>
      </c>
      <c r="C999" s="8">
        <v>46104</v>
      </c>
      <c r="D999" s="1" t="s">
        <v>1434</v>
      </c>
      <c r="E999" s="7" t="s">
        <v>11</v>
      </c>
      <c r="F999" s="1" t="s">
        <v>25</v>
      </c>
      <c r="G999" s="9" t="s">
        <v>35</v>
      </c>
      <c r="H999" s="7">
        <v>2326</v>
      </c>
      <c r="I999" s="18">
        <v>15000000</v>
      </c>
      <c r="J999" s="10">
        <v>10500</v>
      </c>
      <c r="K999" s="7" t="s">
        <v>12</v>
      </c>
      <c r="L999" s="7" t="s">
        <v>53</v>
      </c>
      <c r="M999" s="34">
        <v>46108</v>
      </c>
    </row>
    <row r="1000" spans="1:14" x14ac:dyDescent="0.25">
      <c r="A1000" s="41" t="s">
        <v>1315</v>
      </c>
      <c r="B1000" s="1">
        <v>2</v>
      </c>
      <c r="C1000" s="8">
        <v>46106</v>
      </c>
      <c r="D1000" s="1" t="s">
        <v>1435</v>
      </c>
      <c r="E1000" s="7" t="s">
        <v>14</v>
      </c>
      <c r="F1000" s="1" t="s">
        <v>25</v>
      </c>
      <c r="G1000" s="9" t="s">
        <v>35</v>
      </c>
      <c r="H1000" s="7">
        <v>335</v>
      </c>
      <c r="I1000" s="18">
        <v>15000000</v>
      </c>
      <c r="J1000" s="10">
        <v>11522.51</v>
      </c>
      <c r="K1000" s="7" t="s">
        <v>12</v>
      </c>
      <c r="L1000" s="7" t="s">
        <v>53</v>
      </c>
      <c r="M1000" s="34">
        <v>46108</v>
      </c>
      <c r="N1000" s="7" t="s">
        <v>46</v>
      </c>
    </row>
    <row r="1001" spans="1:14" x14ac:dyDescent="0.25">
      <c r="A1001" s="41" t="s">
        <v>1436</v>
      </c>
      <c r="B1001" s="1">
        <v>2</v>
      </c>
      <c r="C1001" s="8">
        <v>46106</v>
      </c>
      <c r="D1001" s="1" t="s">
        <v>1437</v>
      </c>
      <c r="E1001" s="7" t="s">
        <v>2</v>
      </c>
      <c r="F1001" s="1" t="s">
        <v>25</v>
      </c>
      <c r="G1001" s="9" t="s">
        <v>35</v>
      </c>
      <c r="H1001" s="7">
        <v>1616</v>
      </c>
      <c r="I1001" s="18">
        <v>15420000</v>
      </c>
      <c r="J1001" s="10">
        <v>17694.400000000001</v>
      </c>
      <c r="K1001" s="7" t="s">
        <v>12</v>
      </c>
      <c r="L1001" s="7" t="s">
        <v>53</v>
      </c>
      <c r="M1001" s="34">
        <v>46108</v>
      </c>
      <c r="N1001" s="7" t="s">
        <v>46</v>
      </c>
    </row>
    <row r="1002" spans="1:14" x14ac:dyDescent="0.25">
      <c r="A1002" s="41" t="s">
        <v>1438</v>
      </c>
      <c r="B1002" s="1">
        <v>2</v>
      </c>
      <c r="C1002" s="8">
        <v>46106</v>
      </c>
      <c r="D1002" s="1" t="s">
        <v>1439</v>
      </c>
      <c r="E1002" s="7" t="s">
        <v>14</v>
      </c>
      <c r="F1002" s="1" t="s">
        <v>25</v>
      </c>
      <c r="G1002" s="9" t="s">
        <v>35</v>
      </c>
      <c r="H1002" s="7" t="s">
        <v>551</v>
      </c>
      <c r="I1002" s="18">
        <v>15000000</v>
      </c>
      <c r="J1002" s="10">
        <v>18946.03</v>
      </c>
      <c r="K1002" s="7" t="s">
        <v>12</v>
      </c>
      <c r="L1002" s="7" t="s">
        <v>53</v>
      </c>
      <c r="M1002" s="34">
        <v>46108</v>
      </c>
      <c r="N1002" s="7" t="s">
        <v>46</v>
      </c>
    </row>
    <row r="1003" spans="1:14" x14ac:dyDescent="0.25">
      <c r="A1003" s="41" t="s">
        <v>1438</v>
      </c>
      <c r="B1003" s="1">
        <v>1</v>
      </c>
      <c r="C1003" s="8">
        <v>46104</v>
      </c>
      <c r="D1003" s="1" t="s">
        <v>1440</v>
      </c>
      <c r="E1003" s="7" t="s">
        <v>82</v>
      </c>
      <c r="F1003" s="1" t="s">
        <v>25</v>
      </c>
      <c r="G1003" s="9" t="s">
        <v>35</v>
      </c>
      <c r="H1003" s="7" t="s">
        <v>551</v>
      </c>
      <c r="I1003" s="18">
        <v>15000000</v>
      </c>
      <c r="J1003" s="10">
        <v>1287.5</v>
      </c>
      <c r="K1003" s="7" t="s">
        <v>12</v>
      </c>
      <c r="L1003" s="7" t="s">
        <v>53</v>
      </c>
      <c r="M1003" s="34">
        <v>46106</v>
      </c>
      <c r="N1003" s="7" t="s">
        <v>46</v>
      </c>
    </row>
    <row r="1004" spans="1:14" x14ac:dyDescent="0.25">
      <c r="A1004" s="41" t="s">
        <v>1438</v>
      </c>
      <c r="B1004" s="1">
        <v>1</v>
      </c>
      <c r="C1004" s="8">
        <v>46104</v>
      </c>
      <c r="D1004" s="1" t="s">
        <v>1441</v>
      </c>
      <c r="E1004" s="7" t="s">
        <v>83</v>
      </c>
      <c r="F1004" s="1" t="s">
        <v>25</v>
      </c>
      <c r="G1004" s="9" t="s">
        <v>35</v>
      </c>
      <c r="H1004" s="7" t="s">
        <v>551</v>
      </c>
      <c r="I1004" s="18">
        <v>15000000</v>
      </c>
      <c r="J1004" s="10">
        <v>2825.67</v>
      </c>
      <c r="K1004" s="7" t="s">
        <v>12</v>
      </c>
      <c r="L1004" s="7" t="s">
        <v>53</v>
      </c>
      <c r="M1004" s="34">
        <v>46106</v>
      </c>
      <c r="N1004" s="7" t="s">
        <v>46</v>
      </c>
    </row>
    <row r="1005" spans="1:14" x14ac:dyDescent="0.25">
      <c r="A1005" s="41" t="s">
        <v>435</v>
      </c>
      <c r="B1005" s="1">
        <v>2</v>
      </c>
      <c r="C1005" s="8">
        <v>46108</v>
      </c>
      <c r="D1005" s="1" t="s">
        <v>1442</v>
      </c>
      <c r="E1005" s="7" t="s">
        <v>13</v>
      </c>
      <c r="F1005" s="1" t="s">
        <v>25</v>
      </c>
      <c r="G1005" s="9" t="s">
        <v>35</v>
      </c>
      <c r="H1005" s="7">
        <v>2796379</v>
      </c>
      <c r="I1005" s="18">
        <v>15001002</v>
      </c>
      <c r="J1005" s="10">
        <v>1064.27</v>
      </c>
      <c r="K1005" s="7" t="s">
        <v>13</v>
      </c>
      <c r="L1005" s="7" t="s">
        <v>54</v>
      </c>
      <c r="M1005" s="34">
        <v>46111</v>
      </c>
      <c r="N1005" s="7" t="s">
        <v>91</v>
      </c>
    </row>
    <row r="1006" spans="1:14" x14ac:dyDescent="0.25">
      <c r="A1006" s="41" t="s">
        <v>435</v>
      </c>
      <c r="B1006" s="1">
        <v>1</v>
      </c>
      <c r="C1006" s="8">
        <v>46105</v>
      </c>
      <c r="D1006" s="1" t="s">
        <v>1443</v>
      </c>
      <c r="E1006" s="7" t="s">
        <v>13</v>
      </c>
      <c r="F1006" s="1" t="s">
        <v>25</v>
      </c>
      <c r="G1006" s="9" t="s">
        <v>35</v>
      </c>
      <c r="H1006" s="7">
        <v>2796384</v>
      </c>
      <c r="I1006" s="18">
        <v>16000000</v>
      </c>
      <c r="J1006" s="10">
        <v>3829.12</v>
      </c>
      <c r="K1006" s="7" t="s">
        <v>13</v>
      </c>
      <c r="L1006" s="7" t="s">
        <v>54</v>
      </c>
      <c r="M1006" s="34">
        <v>46108</v>
      </c>
      <c r="N1006" s="7" t="s">
        <v>41</v>
      </c>
    </row>
    <row r="1007" spans="1:14" x14ac:dyDescent="0.25">
      <c r="A1007" s="41" t="s">
        <v>435</v>
      </c>
      <c r="B1007" s="1">
        <v>1</v>
      </c>
      <c r="C1007" s="8">
        <v>46105</v>
      </c>
      <c r="D1007" s="1" t="s">
        <v>1444</v>
      </c>
      <c r="E1007" s="7" t="s">
        <v>13</v>
      </c>
      <c r="F1007" s="1" t="s">
        <v>25</v>
      </c>
      <c r="G1007" s="9" t="s">
        <v>35</v>
      </c>
      <c r="H1007" s="7">
        <v>2798046</v>
      </c>
      <c r="I1007" s="18">
        <v>15001002</v>
      </c>
      <c r="J1007" s="10">
        <v>2230.4899999999998</v>
      </c>
      <c r="K1007" s="7" t="s">
        <v>13</v>
      </c>
      <c r="L1007" s="7" t="s">
        <v>54</v>
      </c>
      <c r="M1007" s="34">
        <v>2</v>
      </c>
      <c r="N1007" s="7" t="s">
        <v>41</v>
      </c>
    </row>
    <row r="1008" spans="1:14" x14ac:dyDescent="0.25">
      <c r="A1008" s="41" t="s">
        <v>435</v>
      </c>
      <c r="B1008" s="1">
        <v>3</v>
      </c>
      <c r="C1008" s="8">
        <v>46108</v>
      </c>
      <c r="D1008" s="1" t="s">
        <v>1445</v>
      </c>
      <c r="E1008" s="7" t="s">
        <v>13</v>
      </c>
      <c r="F1008" s="1" t="s">
        <v>25</v>
      </c>
      <c r="G1008" s="9" t="s">
        <v>35</v>
      </c>
      <c r="H1008" s="7">
        <v>2798048</v>
      </c>
      <c r="I1008" s="18">
        <v>15001002</v>
      </c>
      <c r="J1008" s="10">
        <v>2631.84</v>
      </c>
      <c r="K1008" s="7" t="s">
        <v>13</v>
      </c>
      <c r="L1008" s="7" t="s">
        <v>54</v>
      </c>
      <c r="M1008" s="34">
        <v>46108</v>
      </c>
      <c r="N1008" s="7" t="s">
        <v>41</v>
      </c>
    </row>
    <row r="1009" spans="1:14" x14ac:dyDescent="0.25">
      <c r="A1009" s="41" t="s">
        <v>435</v>
      </c>
      <c r="B1009" s="1">
        <v>1</v>
      </c>
      <c r="C1009" s="8">
        <v>46105</v>
      </c>
      <c r="D1009" s="1" t="s">
        <v>1446</v>
      </c>
      <c r="E1009" s="7" t="s">
        <v>13</v>
      </c>
      <c r="F1009" s="1" t="s">
        <v>25</v>
      </c>
      <c r="G1009" s="9" t="s">
        <v>35</v>
      </c>
      <c r="H1009" s="7">
        <v>2796382</v>
      </c>
      <c r="I1009" s="18">
        <v>16000000</v>
      </c>
      <c r="J1009" s="10">
        <v>4947.7700000000004</v>
      </c>
      <c r="K1009" s="7" t="s">
        <v>13</v>
      </c>
      <c r="L1009" s="7" t="s">
        <v>54</v>
      </c>
      <c r="M1009" s="34">
        <v>46108</v>
      </c>
      <c r="N1009" s="7" t="s">
        <v>41</v>
      </c>
    </row>
    <row r="1010" spans="1:14" x14ac:dyDescent="0.25">
      <c r="A1010" s="41" t="s">
        <v>435</v>
      </c>
      <c r="B1010" s="1">
        <v>2</v>
      </c>
      <c r="C1010" s="8">
        <v>46108</v>
      </c>
      <c r="D1010" s="1" t="s">
        <v>1447</v>
      </c>
      <c r="E1010" s="7" t="s">
        <v>13</v>
      </c>
      <c r="F1010" s="1" t="s">
        <v>25</v>
      </c>
      <c r="G1010" s="9" t="s">
        <v>35</v>
      </c>
      <c r="H1010" s="7">
        <v>2796385</v>
      </c>
      <c r="I1010" s="18">
        <v>16000000</v>
      </c>
      <c r="J1010" s="10">
        <v>2579.2800000000002</v>
      </c>
      <c r="K1010" s="7" t="s">
        <v>13</v>
      </c>
      <c r="L1010" s="7" t="s">
        <v>54</v>
      </c>
      <c r="M1010" s="34">
        <v>46108</v>
      </c>
      <c r="N1010" s="7" t="s">
        <v>41</v>
      </c>
    </row>
    <row r="1011" spans="1:14" x14ac:dyDescent="0.25">
      <c r="A1011" s="41" t="s">
        <v>435</v>
      </c>
      <c r="B1011" s="1">
        <v>1</v>
      </c>
      <c r="C1011" s="8">
        <v>46105</v>
      </c>
      <c r="D1011" s="1" t="s">
        <v>1448</v>
      </c>
      <c r="E1011" s="7" t="s">
        <v>13</v>
      </c>
      <c r="F1011" s="1" t="s">
        <v>25</v>
      </c>
      <c r="G1011" s="9" t="s">
        <v>35</v>
      </c>
      <c r="H1011" s="7">
        <v>2798047</v>
      </c>
      <c r="I1011" s="18">
        <v>15001002</v>
      </c>
      <c r="J1011" s="10">
        <v>12958.33</v>
      </c>
      <c r="K1011" s="7" t="s">
        <v>13</v>
      </c>
      <c r="L1011" s="7" t="s">
        <v>54</v>
      </c>
      <c r="M1011" s="34">
        <v>46108</v>
      </c>
      <c r="N1011" s="7" t="s">
        <v>41</v>
      </c>
    </row>
    <row r="1012" spans="1:14" x14ac:dyDescent="0.25">
      <c r="A1012" s="41" t="s">
        <v>435</v>
      </c>
      <c r="B1012" s="1">
        <v>2</v>
      </c>
      <c r="C1012" s="8">
        <v>46108</v>
      </c>
      <c r="D1012" s="1" t="s">
        <v>1449</v>
      </c>
      <c r="E1012" s="7" t="s">
        <v>13</v>
      </c>
      <c r="F1012" s="1" t="s">
        <v>25</v>
      </c>
      <c r="G1012" s="9" t="s">
        <v>35</v>
      </c>
      <c r="H1012" s="7">
        <v>2796378</v>
      </c>
      <c r="I1012" s="18">
        <v>15001002</v>
      </c>
      <c r="J1012" s="10">
        <v>10197.219999999999</v>
      </c>
      <c r="K1012" s="7" t="s">
        <v>13</v>
      </c>
      <c r="L1012" s="7" t="s">
        <v>54</v>
      </c>
      <c r="M1012" s="34">
        <v>46111</v>
      </c>
      <c r="N1012" s="7" t="s">
        <v>46</v>
      </c>
    </row>
    <row r="1013" spans="1:14" x14ac:dyDescent="0.25">
      <c r="A1013" s="41" t="s">
        <v>435</v>
      </c>
      <c r="B1013" s="1">
        <v>1</v>
      </c>
      <c r="C1013" s="8">
        <v>46105</v>
      </c>
      <c r="D1013" s="1" t="s">
        <v>1450</v>
      </c>
      <c r="E1013" s="7" t="s">
        <v>13</v>
      </c>
      <c r="F1013" s="1" t="s">
        <v>25</v>
      </c>
      <c r="G1013" s="9" t="s">
        <v>35</v>
      </c>
      <c r="H1013" s="7">
        <v>2796381</v>
      </c>
      <c r="I1013" s="18">
        <v>15001002</v>
      </c>
      <c r="J1013" s="10">
        <v>7337.15</v>
      </c>
      <c r="K1013" s="7" t="s">
        <v>13</v>
      </c>
      <c r="L1013" s="7" t="s">
        <v>54</v>
      </c>
      <c r="M1013" s="34">
        <v>46107</v>
      </c>
      <c r="N1013" s="7" t="s">
        <v>46</v>
      </c>
    </row>
    <row r="1014" spans="1:14" x14ac:dyDescent="0.25">
      <c r="A1014" s="41" t="s">
        <v>435</v>
      </c>
      <c r="B1014" s="1">
        <v>1</v>
      </c>
      <c r="C1014" s="8">
        <v>46105</v>
      </c>
      <c r="D1014" s="1" t="s">
        <v>1451</v>
      </c>
      <c r="E1014" s="7" t="s">
        <v>13</v>
      </c>
      <c r="F1014" s="1" t="s">
        <v>25</v>
      </c>
      <c r="G1014" s="9" t="s">
        <v>35</v>
      </c>
      <c r="H1014" s="7">
        <v>2796380</v>
      </c>
      <c r="I1014" s="18">
        <v>15001002</v>
      </c>
      <c r="J1014" s="10">
        <v>13739.81</v>
      </c>
      <c r="K1014" s="7" t="s">
        <v>13</v>
      </c>
      <c r="L1014" s="7" t="s">
        <v>54</v>
      </c>
      <c r="M1014" s="34">
        <v>46107</v>
      </c>
      <c r="N1014" s="7" t="s">
        <v>46</v>
      </c>
    </row>
    <row r="1015" spans="1:14" x14ac:dyDescent="0.25">
      <c r="A1015" s="41" t="s">
        <v>435</v>
      </c>
      <c r="B1015" s="1">
        <v>2</v>
      </c>
      <c r="C1015" s="8">
        <v>46105</v>
      </c>
      <c r="D1015" s="1" t="s">
        <v>1452</v>
      </c>
      <c r="E1015" s="7" t="s">
        <v>13</v>
      </c>
      <c r="F1015" s="1" t="s">
        <v>25</v>
      </c>
      <c r="G1015" s="9" t="s">
        <v>35</v>
      </c>
      <c r="H1015" s="7">
        <v>2796386</v>
      </c>
      <c r="I1015" s="18">
        <v>16000000</v>
      </c>
      <c r="J1015" s="10">
        <v>3203.16</v>
      </c>
      <c r="K1015" s="7" t="s">
        <v>13</v>
      </c>
      <c r="L1015" s="7" t="s">
        <v>54</v>
      </c>
      <c r="M1015" s="34">
        <v>46111</v>
      </c>
      <c r="N1015" s="7" t="s">
        <v>46</v>
      </c>
    </row>
    <row r="1016" spans="1:14" x14ac:dyDescent="0.25">
      <c r="A1016" s="41" t="s">
        <v>435</v>
      </c>
      <c r="B1016" s="1">
        <v>2</v>
      </c>
      <c r="C1016" s="8">
        <v>46108</v>
      </c>
      <c r="D1016" s="1" t="s">
        <v>1453</v>
      </c>
      <c r="E1016" s="7" t="s">
        <v>13</v>
      </c>
      <c r="F1016" s="1" t="s">
        <v>25</v>
      </c>
      <c r="G1016" s="9" t="s">
        <v>35</v>
      </c>
      <c r="H1016" s="7">
        <v>2797680</v>
      </c>
      <c r="I1016" s="18">
        <v>15001002</v>
      </c>
      <c r="J1016" s="10">
        <v>1351.97</v>
      </c>
      <c r="K1016" s="7" t="s">
        <v>13</v>
      </c>
      <c r="L1016" s="7" t="s">
        <v>54</v>
      </c>
      <c r="M1016" s="34">
        <v>46111</v>
      </c>
      <c r="N1016" s="7" t="s">
        <v>46</v>
      </c>
    </row>
    <row r="1017" spans="1:14" x14ac:dyDescent="0.25">
      <c r="A1017" s="41" t="s">
        <v>249</v>
      </c>
      <c r="B1017" s="1">
        <v>2</v>
      </c>
      <c r="C1017" s="8">
        <v>46112</v>
      </c>
      <c r="D1017" s="1" t="s">
        <v>1455</v>
      </c>
      <c r="E1017" s="7" t="s">
        <v>13</v>
      </c>
      <c r="F1017" s="1" t="s">
        <v>25</v>
      </c>
      <c r="G1017" s="9" t="s">
        <v>63</v>
      </c>
      <c r="H1017" s="7" t="s">
        <v>74</v>
      </c>
      <c r="I1017" s="18">
        <v>16000000</v>
      </c>
      <c r="J1017" s="10" t="s">
        <v>61</v>
      </c>
      <c r="K1017" s="7" t="s">
        <v>17</v>
      </c>
      <c r="L1017" s="7" t="s">
        <v>55</v>
      </c>
      <c r="M1017" s="34">
        <v>46121</v>
      </c>
      <c r="N1017" s="7" t="s">
        <v>46</v>
      </c>
    </row>
    <row r="1018" spans="1:14" x14ac:dyDescent="0.25">
      <c r="A1018" s="41" t="s">
        <v>473</v>
      </c>
      <c r="B1018" s="1">
        <v>1</v>
      </c>
      <c r="C1018" s="8">
        <v>46105</v>
      </c>
      <c r="D1018" s="1" t="s">
        <v>1456</v>
      </c>
      <c r="E1018" s="7" t="s">
        <v>11</v>
      </c>
      <c r="F1018" s="1" t="s">
        <v>25</v>
      </c>
      <c r="G1018" s="9" t="s">
        <v>63</v>
      </c>
      <c r="H1018" s="7" t="s">
        <v>74</v>
      </c>
      <c r="I1018" s="18">
        <v>15000000</v>
      </c>
      <c r="J1018" s="10" t="s">
        <v>61</v>
      </c>
      <c r="K1018" s="7" t="s">
        <v>17</v>
      </c>
      <c r="L1018" s="7" t="s">
        <v>55</v>
      </c>
      <c r="M1018" s="34">
        <v>46121</v>
      </c>
      <c r="N1018" s="7" t="s">
        <v>91</v>
      </c>
    </row>
    <row r="1019" spans="1:14" x14ac:dyDescent="0.25">
      <c r="A1019" s="41" t="s">
        <v>782</v>
      </c>
      <c r="B1019" s="1">
        <v>2</v>
      </c>
      <c r="C1019" s="8">
        <v>46128</v>
      </c>
      <c r="D1019" s="1" t="s">
        <v>1457</v>
      </c>
      <c r="E1019" s="7" t="s">
        <v>56</v>
      </c>
      <c r="F1019" s="1" t="s">
        <v>25</v>
      </c>
      <c r="G1019" s="9" t="s">
        <v>63</v>
      </c>
      <c r="H1019" s="7" t="s">
        <v>74</v>
      </c>
      <c r="I1019" s="18">
        <v>16000000</v>
      </c>
      <c r="J1019" s="10" t="s">
        <v>61</v>
      </c>
      <c r="K1019" s="7" t="s">
        <v>17</v>
      </c>
      <c r="L1019" s="7" t="s">
        <v>55</v>
      </c>
      <c r="M1019" s="34">
        <v>46129</v>
      </c>
      <c r="N1019" s="7" t="s">
        <v>46</v>
      </c>
    </row>
    <row r="1020" spans="1:14" x14ac:dyDescent="0.25">
      <c r="A1020" s="41" t="s">
        <v>1458</v>
      </c>
      <c r="B1020" s="1">
        <v>2</v>
      </c>
      <c r="C1020" s="8">
        <v>46108</v>
      </c>
      <c r="D1020" s="1" t="s">
        <v>1459</v>
      </c>
      <c r="E1020" s="7" t="s">
        <v>13</v>
      </c>
      <c r="F1020" s="1" t="s">
        <v>25</v>
      </c>
      <c r="G1020" s="9" t="s">
        <v>35</v>
      </c>
      <c r="H1020" s="7" t="s">
        <v>74</v>
      </c>
      <c r="I1020" s="18">
        <v>15001001</v>
      </c>
      <c r="J1020" s="10">
        <v>7975.01</v>
      </c>
      <c r="K1020" s="7" t="s">
        <v>13</v>
      </c>
      <c r="L1020" s="7" t="s">
        <v>54</v>
      </c>
      <c r="M1020" s="34">
        <v>46108</v>
      </c>
      <c r="N1020" s="7" t="s">
        <v>41</v>
      </c>
    </row>
    <row r="1021" spans="1:14" x14ac:dyDescent="0.25">
      <c r="A1021" s="41" t="s">
        <v>1460</v>
      </c>
      <c r="B1021" s="1">
        <v>1</v>
      </c>
      <c r="C1021" s="8">
        <v>46105</v>
      </c>
      <c r="D1021" s="1" t="s">
        <v>1461</v>
      </c>
      <c r="E1021" s="7" t="s">
        <v>2</v>
      </c>
      <c r="F1021" s="1" t="s">
        <v>25</v>
      </c>
      <c r="G1021" s="9" t="s">
        <v>35</v>
      </c>
      <c r="H1021" s="7" t="s">
        <v>74</v>
      </c>
      <c r="I1021" s="18">
        <v>15001001</v>
      </c>
      <c r="J1021" s="10">
        <v>1017.72</v>
      </c>
      <c r="K1021" s="7" t="s">
        <v>12</v>
      </c>
      <c r="L1021" s="7" t="s">
        <v>53</v>
      </c>
      <c r="M1021" s="34">
        <v>46332</v>
      </c>
    </row>
    <row r="1022" spans="1:14" x14ac:dyDescent="0.25">
      <c r="A1022" s="41" t="s">
        <v>428</v>
      </c>
      <c r="B1022" s="1">
        <v>2</v>
      </c>
      <c r="C1022" s="8">
        <v>46127</v>
      </c>
      <c r="D1022" s="1" t="s">
        <v>1462</v>
      </c>
      <c r="E1022" s="7" t="s">
        <v>13</v>
      </c>
      <c r="F1022" s="1" t="s">
        <v>25</v>
      </c>
      <c r="G1022" s="9" t="s">
        <v>35</v>
      </c>
      <c r="H1022" s="7">
        <v>243858</v>
      </c>
      <c r="I1022" s="18">
        <v>16210000</v>
      </c>
      <c r="J1022" s="10">
        <v>24226.6</v>
      </c>
      <c r="K1022" s="7" t="s">
        <v>13</v>
      </c>
      <c r="L1022" s="7" t="s">
        <v>54</v>
      </c>
      <c r="M1022" s="34">
        <v>46127</v>
      </c>
      <c r="N1022" s="7" t="s">
        <v>91</v>
      </c>
    </row>
    <row r="1023" spans="1:14" x14ac:dyDescent="0.25">
      <c r="A1023" s="41" t="s">
        <v>428</v>
      </c>
      <c r="B1023" s="1">
        <v>2</v>
      </c>
      <c r="C1023" s="8">
        <v>46127</v>
      </c>
      <c r="D1023" s="1" t="s">
        <v>1463</v>
      </c>
      <c r="E1023" s="7" t="s">
        <v>13</v>
      </c>
      <c r="F1023" s="1" t="s">
        <v>25</v>
      </c>
      <c r="G1023" s="9" t="s">
        <v>35</v>
      </c>
      <c r="H1023" s="7">
        <v>243856</v>
      </c>
      <c r="I1023" s="18">
        <v>16210000</v>
      </c>
      <c r="J1023" s="10">
        <v>6950</v>
      </c>
      <c r="K1023" s="7" t="s">
        <v>13</v>
      </c>
      <c r="L1023" s="7" t="s">
        <v>54</v>
      </c>
      <c r="M1023" s="34">
        <v>46127</v>
      </c>
      <c r="N1023" s="7" t="s">
        <v>91</v>
      </c>
    </row>
    <row r="1024" spans="1:14" x14ac:dyDescent="0.25">
      <c r="A1024" s="41" t="s">
        <v>457</v>
      </c>
      <c r="B1024" s="1">
        <v>2</v>
      </c>
      <c r="C1024" s="8">
        <v>46126</v>
      </c>
      <c r="D1024" s="1" t="s">
        <v>1464</v>
      </c>
      <c r="E1024" s="7" t="s">
        <v>16</v>
      </c>
      <c r="F1024" s="1" t="s">
        <v>25</v>
      </c>
      <c r="G1024" s="9" t="s">
        <v>35</v>
      </c>
      <c r="H1024" s="7">
        <v>327</v>
      </c>
      <c r="I1024" s="18">
        <v>15000000</v>
      </c>
      <c r="J1024" s="10">
        <v>27013.79</v>
      </c>
      <c r="K1024" s="7" t="s">
        <v>12</v>
      </c>
      <c r="L1024" s="7" t="s">
        <v>53</v>
      </c>
      <c r="M1024" s="34">
        <v>46127</v>
      </c>
      <c r="N1024" s="7" t="s">
        <v>774</v>
      </c>
    </row>
    <row r="1025" spans="1:15" x14ac:dyDescent="0.25">
      <c r="A1025" s="41" t="s">
        <v>569</v>
      </c>
      <c r="B1025" s="1">
        <v>2</v>
      </c>
      <c r="C1025" s="8">
        <v>46107</v>
      </c>
      <c r="D1025" s="1" t="s">
        <v>1499</v>
      </c>
      <c r="E1025" s="7" t="s">
        <v>13</v>
      </c>
      <c r="F1025" s="1" t="s">
        <v>25</v>
      </c>
      <c r="G1025" s="9" t="s">
        <v>35</v>
      </c>
      <c r="H1025" s="7" t="s">
        <v>581</v>
      </c>
      <c r="I1025" s="18">
        <v>15001002</v>
      </c>
      <c r="J1025" s="10">
        <v>78372.73</v>
      </c>
      <c r="K1025" s="7" t="s">
        <v>13</v>
      </c>
      <c r="L1025" s="7" t="s">
        <v>54</v>
      </c>
      <c r="M1025" s="34">
        <v>46107</v>
      </c>
      <c r="N1025" s="7" t="s">
        <v>52</v>
      </c>
      <c r="O1025" s="7" t="s">
        <v>1500</v>
      </c>
    </row>
    <row r="1026" spans="1:15" x14ac:dyDescent="0.25">
      <c r="A1026" s="41" t="s">
        <v>569</v>
      </c>
      <c r="B1026" s="1">
        <v>1</v>
      </c>
      <c r="C1026" s="8">
        <v>46105</v>
      </c>
      <c r="D1026" s="1" t="s">
        <v>1465</v>
      </c>
      <c r="E1026" s="7" t="s">
        <v>16</v>
      </c>
      <c r="F1026" s="1" t="s">
        <v>25</v>
      </c>
      <c r="G1026" s="9" t="s">
        <v>35</v>
      </c>
      <c r="H1026" s="7" t="s">
        <v>581</v>
      </c>
      <c r="I1026" s="18">
        <v>16610000</v>
      </c>
      <c r="J1026" s="10">
        <v>755.67</v>
      </c>
      <c r="K1026" s="7" t="s">
        <v>12</v>
      </c>
      <c r="L1026" s="7" t="s">
        <v>53</v>
      </c>
      <c r="M1026" s="34">
        <v>46106</v>
      </c>
      <c r="N1026" s="7" t="s">
        <v>52</v>
      </c>
    </row>
    <row r="1027" spans="1:15" x14ac:dyDescent="0.25">
      <c r="A1027" s="41" t="s">
        <v>569</v>
      </c>
      <c r="B1027" s="1">
        <v>2</v>
      </c>
      <c r="C1027" s="8">
        <v>46107</v>
      </c>
      <c r="D1027" s="1" t="s">
        <v>1466</v>
      </c>
      <c r="E1027" s="7" t="s">
        <v>16</v>
      </c>
      <c r="F1027" s="1" t="s">
        <v>25</v>
      </c>
      <c r="G1027" s="9" t="s">
        <v>35</v>
      </c>
      <c r="H1027" s="7">
        <v>73502960</v>
      </c>
      <c r="I1027" s="18">
        <v>15000000</v>
      </c>
      <c r="J1027" s="10">
        <v>225.82</v>
      </c>
      <c r="K1027" s="7" t="s">
        <v>12</v>
      </c>
      <c r="L1027" s="7" t="s">
        <v>53</v>
      </c>
      <c r="M1027" s="34">
        <v>46107</v>
      </c>
      <c r="N1027" s="7" t="s">
        <v>52</v>
      </c>
    </row>
    <row r="1028" spans="1:15" x14ac:dyDescent="0.25">
      <c r="A1028" s="41" t="s">
        <v>569</v>
      </c>
      <c r="B1028" s="1">
        <v>2</v>
      </c>
      <c r="C1028" s="8">
        <v>46107</v>
      </c>
      <c r="D1028" s="1" t="s">
        <v>1467</v>
      </c>
      <c r="E1028" s="7" t="s">
        <v>13</v>
      </c>
      <c r="F1028" s="1" t="s">
        <v>25</v>
      </c>
      <c r="G1028" s="9" t="s">
        <v>35</v>
      </c>
      <c r="H1028" s="7">
        <v>73643521</v>
      </c>
      <c r="I1028" s="18">
        <v>16000000</v>
      </c>
      <c r="J1028" s="10">
        <v>1052.8900000000001</v>
      </c>
      <c r="K1028" s="7" t="s">
        <v>13</v>
      </c>
      <c r="L1028" s="7" t="s">
        <v>54</v>
      </c>
      <c r="M1028" s="34">
        <v>46107</v>
      </c>
      <c r="N1028" s="34" t="s">
        <v>52</v>
      </c>
    </row>
    <row r="1029" spans="1:15" x14ac:dyDescent="0.25">
      <c r="A1029" s="41" t="s">
        <v>961</v>
      </c>
      <c r="B1029" s="1">
        <v>1</v>
      </c>
      <c r="C1029" s="8">
        <v>46105</v>
      </c>
      <c r="D1029" s="1" t="s">
        <v>1469</v>
      </c>
      <c r="E1029" s="7" t="s">
        <v>14</v>
      </c>
      <c r="F1029" s="1" t="s">
        <v>25</v>
      </c>
      <c r="G1029" s="9" t="s">
        <v>35</v>
      </c>
      <c r="H1029" s="7" t="s">
        <v>1468</v>
      </c>
      <c r="I1029" s="18">
        <v>15000000</v>
      </c>
      <c r="J1029" s="10">
        <v>9000</v>
      </c>
      <c r="K1029" s="7" t="s">
        <v>12</v>
      </c>
      <c r="L1029" s="7" t="s">
        <v>53</v>
      </c>
      <c r="M1029" s="34">
        <v>46107</v>
      </c>
      <c r="N1029" s="7" t="s">
        <v>41</v>
      </c>
    </row>
    <row r="1030" spans="1:15" x14ac:dyDescent="0.25">
      <c r="A1030" s="41" t="s">
        <v>497</v>
      </c>
      <c r="B1030" s="1">
        <v>2</v>
      </c>
      <c r="C1030" s="8">
        <v>46111</v>
      </c>
      <c r="D1030" s="1" t="s">
        <v>1470</v>
      </c>
      <c r="E1030" s="7" t="s">
        <v>2</v>
      </c>
      <c r="F1030" s="1" t="s">
        <v>25</v>
      </c>
      <c r="G1030" s="9" t="s">
        <v>35</v>
      </c>
      <c r="H1030" s="7">
        <v>7659</v>
      </c>
      <c r="I1030" s="18">
        <v>15000000</v>
      </c>
      <c r="J1030" s="10">
        <v>15702.5</v>
      </c>
      <c r="K1030" s="7" t="s">
        <v>12</v>
      </c>
      <c r="L1030" s="7" t="s">
        <v>53</v>
      </c>
      <c r="M1030" s="34">
        <v>46111</v>
      </c>
      <c r="N1030" s="7" t="s">
        <v>41</v>
      </c>
    </row>
    <row r="1031" spans="1:15" x14ac:dyDescent="0.25">
      <c r="A1031" s="41" t="s">
        <v>569</v>
      </c>
      <c r="B1031" s="1">
        <v>2</v>
      </c>
      <c r="C1031" s="8">
        <v>46107</v>
      </c>
      <c r="D1031" s="1" t="s">
        <v>1471</v>
      </c>
      <c r="E1031" s="7" t="s">
        <v>16</v>
      </c>
      <c r="F1031" s="1" t="s">
        <v>25</v>
      </c>
      <c r="G1031" s="9" t="s">
        <v>35</v>
      </c>
      <c r="H1031" s="7">
        <v>73506311</v>
      </c>
      <c r="I1031" s="18">
        <v>16600000</v>
      </c>
      <c r="J1031" s="10">
        <v>251.69</v>
      </c>
      <c r="K1031" s="7" t="s">
        <v>12</v>
      </c>
      <c r="L1031" s="7" t="s">
        <v>53</v>
      </c>
      <c r="M1031" s="34">
        <v>46107</v>
      </c>
      <c r="N1031" s="7" t="s">
        <v>41</v>
      </c>
    </row>
    <row r="1032" spans="1:15" x14ac:dyDescent="0.25">
      <c r="A1032" s="41" t="s">
        <v>1472</v>
      </c>
      <c r="B1032" s="1">
        <v>3</v>
      </c>
      <c r="C1032" s="8">
        <v>46111</v>
      </c>
      <c r="D1032" s="1" t="s">
        <v>1473</v>
      </c>
      <c r="E1032" s="7" t="s">
        <v>2</v>
      </c>
      <c r="F1032" s="1" t="s">
        <v>25</v>
      </c>
      <c r="G1032" s="9" t="s">
        <v>35</v>
      </c>
      <c r="H1032" s="7">
        <v>225068</v>
      </c>
      <c r="I1032" s="18">
        <v>15500000</v>
      </c>
      <c r="J1032" s="10">
        <v>28480.400000000001</v>
      </c>
      <c r="K1032" s="7" t="s">
        <v>12</v>
      </c>
      <c r="L1032" s="7" t="s">
        <v>53</v>
      </c>
      <c r="M1032" s="34">
        <v>46111</v>
      </c>
      <c r="N1032" s="7" t="s">
        <v>41</v>
      </c>
    </row>
    <row r="1033" spans="1:15" x14ac:dyDescent="0.25">
      <c r="A1033" s="41" t="s">
        <v>751</v>
      </c>
      <c r="B1033" s="1">
        <v>2</v>
      </c>
      <c r="C1033" s="8">
        <v>46112</v>
      </c>
      <c r="D1033" s="1" t="s">
        <v>1474</v>
      </c>
      <c r="E1033" s="7" t="s">
        <v>2</v>
      </c>
      <c r="F1033" s="1" t="s">
        <v>25</v>
      </c>
      <c r="G1033" s="9" t="s">
        <v>35</v>
      </c>
      <c r="H1033" s="7">
        <v>363</v>
      </c>
      <c r="I1033" s="18">
        <v>15500000</v>
      </c>
      <c r="J1033" s="10">
        <v>16589</v>
      </c>
      <c r="K1033" s="7" t="s">
        <v>12</v>
      </c>
      <c r="L1033" s="7" t="s">
        <v>53</v>
      </c>
      <c r="M1033" s="34">
        <v>46113</v>
      </c>
      <c r="N1033" s="7" t="s">
        <v>774</v>
      </c>
    </row>
    <row r="1034" spans="1:15" x14ac:dyDescent="0.25">
      <c r="A1034" s="41" t="s">
        <v>1476</v>
      </c>
      <c r="B1034" s="1">
        <v>1</v>
      </c>
      <c r="C1034" s="8">
        <v>46106</v>
      </c>
      <c r="D1034" s="1" t="s">
        <v>1475</v>
      </c>
      <c r="E1034" s="7" t="s">
        <v>16</v>
      </c>
      <c r="F1034" s="1" t="s">
        <v>25</v>
      </c>
      <c r="G1034" s="9" t="s">
        <v>35</v>
      </c>
      <c r="H1034" s="7" t="s">
        <v>74</v>
      </c>
      <c r="I1034" s="18">
        <v>15000000</v>
      </c>
      <c r="J1034" s="10">
        <v>125428.8</v>
      </c>
      <c r="K1034" s="7" t="s">
        <v>12</v>
      </c>
      <c r="L1034" s="7" t="s">
        <v>53</v>
      </c>
      <c r="M1034" s="34">
        <v>46107</v>
      </c>
      <c r="N1034" s="7" t="s">
        <v>41</v>
      </c>
    </row>
    <row r="1035" spans="1:15" x14ac:dyDescent="0.25">
      <c r="A1035" s="41" t="s">
        <v>563</v>
      </c>
      <c r="B1035" s="1">
        <v>2</v>
      </c>
      <c r="C1035" s="8">
        <v>46108</v>
      </c>
      <c r="D1035" s="1" t="s">
        <v>1477</v>
      </c>
      <c r="E1035" s="7" t="s">
        <v>16</v>
      </c>
      <c r="F1035" s="1" t="s">
        <v>25</v>
      </c>
      <c r="G1035" s="9" t="s">
        <v>35</v>
      </c>
      <c r="H1035" s="7" t="s">
        <v>74</v>
      </c>
      <c r="I1035" s="18">
        <v>16610000</v>
      </c>
      <c r="J1035" s="10">
        <v>2638.75</v>
      </c>
      <c r="K1035" s="7" t="s">
        <v>12</v>
      </c>
      <c r="L1035" s="7" t="s">
        <v>53</v>
      </c>
      <c r="M1035" s="34">
        <v>46108</v>
      </c>
      <c r="N1035" s="7" t="s">
        <v>52</v>
      </c>
    </row>
    <row r="1036" spans="1:15" x14ac:dyDescent="0.25">
      <c r="A1036" s="41" t="s">
        <v>1478</v>
      </c>
      <c r="B1036" s="1">
        <v>1</v>
      </c>
      <c r="C1036" s="8">
        <v>46098</v>
      </c>
      <c r="D1036" s="1" t="s">
        <v>1479</v>
      </c>
      <c r="E1036" s="7" t="s">
        <v>12</v>
      </c>
      <c r="F1036" s="1" t="s">
        <v>25</v>
      </c>
      <c r="G1036" s="9" t="s">
        <v>35</v>
      </c>
      <c r="H1036" s="7" t="s">
        <v>74</v>
      </c>
      <c r="I1036" s="18" t="s">
        <v>0</v>
      </c>
      <c r="J1036" s="10" t="s">
        <v>61</v>
      </c>
      <c r="K1036" s="7" t="s">
        <v>12</v>
      </c>
      <c r="L1036" s="7" t="s">
        <v>53</v>
      </c>
      <c r="M1036" s="34">
        <v>46332</v>
      </c>
    </row>
    <row r="1037" spans="1:15" x14ac:dyDescent="0.25">
      <c r="A1037" s="41" t="s">
        <v>844</v>
      </c>
      <c r="B1037" s="1">
        <v>1</v>
      </c>
      <c r="C1037" s="8">
        <v>46106</v>
      </c>
      <c r="D1037" s="1" t="s">
        <v>1480</v>
      </c>
      <c r="E1037" s="7" t="s">
        <v>17</v>
      </c>
      <c r="F1037" s="1" t="s">
        <v>25</v>
      </c>
      <c r="G1037" s="9" t="s">
        <v>35</v>
      </c>
      <c r="H1037" s="7">
        <v>13</v>
      </c>
      <c r="I1037" s="18">
        <v>15000000</v>
      </c>
      <c r="J1037" s="10">
        <v>34252</v>
      </c>
      <c r="K1037" s="7" t="s">
        <v>12</v>
      </c>
      <c r="L1037" s="7" t="s">
        <v>53</v>
      </c>
      <c r="M1037" s="34">
        <v>46119</v>
      </c>
      <c r="N1037" s="7" t="s">
        <v>774</v>
      </c>
    </row>
    <row r="1038" spans="1:15" x14ac:dyDescent="0.25">
      <c r="A1038" s="41" t="s">
        <v>181</v>
      </c>
      <c r="B1038" s="1">
        <v>1</v>
      </c>
      <c r="C1038" s="8">
        <v>46106</v>
      </c>
      <c r="D1038" s="1" t="s">
        <v>1481</v>
      </c>
      <c r="E1038" s="7" t="s">
        <v>14</v>
      </c>
      <c r="F1038" s="1" t="s">
        <v>25</v>
      </c>
      <c r="G1038" s="9" t="s">
        <v>35</v>
      </c>
      <c r="H1038" s="7" t="s">
        <v>74</v>
      </c>
      <c r="I1038" s="18">
        <v>15000000</v>
      </c>
      <c r="J1038" s="10">
        <v>61.5</v>
      </c>
      <c r="K1038" s="7" t="s">
        <v>12</v>
      </c>
      <c r="L1038" s="7" t="s">
        <v>53</v>
      </c>
      <c r="M1038" s="34">
        <v>46107</v>
      </c>
      <c r="N1038" s="7" t="s">
        <v>41</v>
      </c>
    </row>
    <row r="1039" spans="1:15" x14ac:dyDescent="0.25">
      <c r="A1039" s="41" t="s">
        <v>616</v>
      </c>
      <c r="B1039" s="1">
        <v>1</v>
      </c>
      <c r="C1039" s="8">
        <v>46106</v>
      </c>
      <c r="D1039" s="1" t="s">
        <v>1482</v>
      </c>
      <c r="E1039" s="7" t="s">
        <v>14</v>
      </c>
      <c r="F1039" s="1" t="s">
        <v>25</v>
      </c>
      <c r="G1039" s="9" t="s">
        <v>35</v>
      </c>
      <c r="H1039" s="7">
        <v>1942</v>
      </c>
      <c r="I1039" s="18">
        <v>15000000</v>
      </c>
      <c r="J1039" s="10">
        <v>3900</v>
      </c>
      <c r="K1039" s="7" t="s">
        <v>12</v>
      </c>
      <c r="L1039" s="7" t="s">
        <v>53</v>
      </c>
      <c r="M1039" s="34">
        <v>46112</v>
      </c>
      <c r="N1039" s="7" t="s">
        <v>774</v>
      </c>
    </row>
    <row r="1040" spans="1:15" x14ac:dyDescent="0.25">
      <c r="A1040" s="41" t="s">
        <v>1484</v>
      </c>
      <c r="B1040" s="1">
        <v>2</v>
      </c>
      <c r="C1040" s="8">
        <v>46111</v>
      </c>
      <c r="D1040" s="1" t="s">
        <v>1483</v>
      </c>
      <c r="E1040" s="7" t="s">
        <v>2</v>
      </c>
      <c r="F1040" s="1" t="s">
        <v>25</v>
      </c>
      <c r="G1040" s="9" t="s">
        <v>35</v>
      </c>
      <c r="H1040" s="7">
        <v>8759</v>
      </c>
      <c r="I1040" s="18">
        <v>15000000</v>
      </c>
      <c r="J1040" s="10">
        <v>14306.5</v>
      </c>
      <c r="K1040" s="7" t="s">
        <v>12</v>
      </c>
      <c r="L1040" s="7" t="s">
        <v>53</v>
      </c>
      <c r="M1040" s="34">
        <v>46111</v>
      </c>
      <c r="N1040" s="7" t="s">
        <v>41</v>
      </c>
    </row>
    <row r="1041" spans="1:15" x14ac:dyDescent="0.25">
      <c r="A1041" s="41" t="s">
        <v>751</v>
      </c>
      <c r="B1041" s="1">
        <v>1</v>
      </c>
      <c r="C1041" s="8">
        <v>46106</v>
      </c>
      <c r="D1041" s="1" t="s">
        <v>1485</v>
      </c>
      <c r="E1041" s="7" t="s">
        <v>2</v>
      </c>
      <c r="F1041" s="1" t="s">
        <v>25</v>
      </c>
      <c r="G1041" s="9" t="s">
        <v>35</v>
      </c>
      <c r="H1041" s="7" t="s">
        <v>74</v>
      </c>
      <c r="I1041" s="18" t="s">
        <v>0</v>
      </c>
      <c r="J1041" s="10" t="s">
        <v>61</v>
      </c>
      <c r="K1041" s="7" t="s">
        <v>17</v>
      </c>
      <c r="L1041" s="7" t="s">
        <v>55</v>
      </c>
      <c r="M1041" s="34">
        <v>46107</v>
      </c>
      <c r="N1041" s="7" t="s">
        <v>46</v>
      </c>
    </row>
    <row r="1042" spans="1:15" x14ac:dyDescent="0.25">
      <c r="A1042" s="41" t="s">
        <v>590</v>
      </c>
      <c r="B1042" s="1">
        <v>1</v>
      </c>
      <c r="C1042" s="8">
        <v>46106</v>
      </c>
      <c r="D1042" s="1" t="s">
        <v>1486</v>
      </c>
      <c r="E1042" s="7" t="s">
        <v>14</v>
      </c>
      <c r="F1042" s="1" t="s">
        <v>25</v>
      </c>
      <c r="G1042" s="9" t="s">
        <v>35</v>
      </c>
      <c r="H1042" s="7">
        <v>1109833</v>
      </c>
      <c r="I1042" s="18">
        <v>15000000</v>
      </c>
      <c r="J1042" s="10">
        <v>179.52</v>
      </c>
      <c r="K1042" s="7" t="s">
        <v>12</v>
      </c>
      <c r="L1042" s="7" t="s">
        <v>53</v>
      </c>
      <c r="M1042" s="34">
        <v>46107</v>
      </c>
      <c r="N1042" s="7" t="s">
        <v>92</v>
      </c>
    </row>
    <row r="1043" spans="1:15" x14ac:dyDescent="0.25">
      <c r="A1043" s="41" t="s">
        <v>603</v>
      </c>
      <c r="B1043" s="1">
        <v>1</v>
      </c>
      <c r="C1043" s="8">
        <v>46106</v>
      </c>
      <c r="D1043" s="1" t="s">
        <v>1487</v>
      </c>
      <c r="E1043" s="7" t="s">
        <v>14</v>
      </c>
      <c r="F1043" s="1" t="s">
        <v>25</v>
      </c>
      <c r="G1043" s="9" t="s">
        <v>35</v>
      </c>
      <c r="H1043" s="7">
        <v>277</v>
      </c>
      <c r="I1043" s="18">
        <v>15000000</v>
      </c>
      <c r="J1043" s="10">
        <v>12399.43</v>
      </c>
      <c r="K1043" s="7" t="s">
        <v>12</v>
      </c>
      <c r="L1043" s="7" t="s">
        <v>53</v>
      </c>
      <c r="M1043" s="34">
        <v>46107</v>
      </c>
      <c r="N1043" s="7" t="s">
        <v>92</v>
      </c>
    </row>
    <row r="1044" spans="1:15" x14ac:dyDescent="0.25">
      <c r="A1044" s="41" t="s">
        <v>1488</v>
      </c>
      <c r="B1044" s="1">
        <v>2</v>
      </c>
      <c r="C1044" s="8">
        <v>46111</v>
      </c>
      <c r="D1044" s="1" t="s">
        <v>1489</v>
      </c>
      <c r="E1044" s="7" t="s">
        <v>12</v>
      </c>
      <c r="F1044" s="1" t="s">
        <v>25</v>
      </c>
      <c r="G1044" s="9" t="s">
        <v>35</v>
      </c>
      <c r="H1044" s="7">
        <v>58847325</v>
      </c>
      <c r="I1044" s="18">
        <v>15000000</v>
      </c>
      <c r="J1044" s="10">
        <v>40496.9</v>
      </c>
      <c r="K1044" s="7" t="s">
        <v>12</v>
      </c>
      <c r="L1044" s="7" t="s">
        <v>53</v>
      </c>
      <c r="M1044" s="34">
        <v>46111</v>
      </c>
      <c r="N1044" s="7" t="s">
        <v>41</v>
      </c>
    </row>
    <row r="1045" spans="1:15" x14ac:dyDescent="0.25">
      <c r="A1045" s="41" t="s">
        <v>1491</v>
      </c>
      <c r="B1045" s="1">
        <v>1</v>
      </c>
      <c r="C1045" s="8">
        <v>46107</v>
      </c>
      <c r="D1045" s="1" t="s">
        <v>1490</v>
      </c>
      <c r="E1045" s="7" t="s">
        <v>2</v>
      </c>
      <c r="F1045" s="1" t="s">
        <v>25</v>
      </c>
      <c r="G1045" s="9" t="s">
        <v>36</v>
      </c>
      <c r="H1045" s="7" t="s">
        <v>74</v>
      </c>
      <c r="I1045" s="18" t="s">
        <v>0</v>
      </c>
      <c r="J1045" s="10" t="s">
        <v>61</v>
      </c>
      <c r="K1045" s="7" t="s">
        <v>22</v>
      </c>
      <c r="L1045" s="7" t="s">
        <v>40</v>
      </c>
      <c r="M1045" s="34">
        <v>46107</v>
      </c>
      <c r="N1045" s="7" t="s">
        <v>91</v>
      </c>
    </row>
    <row r="1046" spans="1:15" x14ac:dyDescent="0.25">
      <c r="A1046" s="41" t="s">
        <v>1493</v>
      </c>
      <c r="B1046" s="1">
        <v>1</v>
      </c>
      <c r="C1046" s="8">
        <v>46107</v>
      </c>
      <c r="D1046" s="1" t="s">
        <v>1492</v>
      </c>
      <c r="E1046" s="7" t="s">
        <v>13</v>
      </c>
      <c r="F1046" s="1" t="s">
        <v>25</v>
      </c>
      <c r="G1046" s="9" t="s">
        <v>35</v>
      </c>
      <c r="H1046" s="7" t="s">
        <v>74</v>
      </c>
      <c r="I1046" s="18" t="s">
        <v>0</v>
      </c>
      <c r="J1046" s="10" t="s">
        <v>61</v>
      </c>
      <c r="K1046" s="7" t="s">
        <v>22</v>
      </c>
      <c r="L1046" s="7" t="s">
        <v>40</v>
      </c>
      <c r="M1046" s="34">
        <v>46111</v>
      </c>
      <c r="N1046" s="7" t="s">
        <v>46</v>
      </c>
    </row>
    <row r="1047" spans="1:15" x14ac:dyDescent="0.25">
      <c r="A1047" s="41" t="s">
        <v>1494</v>
      </c>
      <c r="B1047" s="1">
        <v>1</v>
      </c>
      <c r="C1047" s="8">
        <v>46107</v>
      </c>
      <c r="D1047" s="1" t="s">
        <v>1495</v>
      </c>
      <c r="E1047" s="7" t="s">
        <v>12</v>
      </c>
      <c r="F1047" s="1" t="s">
        <v>25</v>
      </c>
      <c r="G1047" s="9" t="s">
        <v>35</v>
      </c>
      <c r="K1047" s="7" t="s">
        <v>12</v>
      </c>
      <c r="L1047" s="7" t="s">
        <v>40</v>
      </c>
      <c r="M1047" s="34">
        <v>46107</v>
      </c>
      <c r="N1047" s="7" t="s">
        <v>41</v>
      </c>
    </row>
    <row r="1048" spans="1:15" x14ac:dyDescent="0.25">
      <c r="A1048" s="41" t="s">
        <v>577</v>
      </c>
      <c r="B1048" s="1">
        <v>1</v>
      </c>
      <c r="C1048" s="8">
        <v>46107</v>
      </c>
      <c r="D1048" s="1" t="s">
        <v>1496</v>
      </c>
      <c r="E1048" s="7" t="s">
        <v>14</v>
      </c>
      <c r="F1048" s="1" t="s">
        <v>25</v>
      </c>
      <c r="G1048" s="9" t="s">
        <v>35</v>
      </c>
      <c r="H1048" s="7">
        <v>42931</v>
      </c>
      <c r="I1048" s="18">
        <v>15000000</v>
      </c>
      <c r="J1048" s="10">
        <v>280</v>
      </c>
      <c r="K1048" s="7" t="s">
        <v>12</v>
      </c>
      <c r="L1048" s="7" t="s">
        <v>53</v>
      </c>
      <c r="M1048" s="34">
        <v>46107</v>
      </c>
      <c r="N1048" s="7" t="s">
        <v>774</v>
      </c>
    </row>
    <row r="1049" spans="1:15" x14ac:dyDescent="0.25">
      <c r="A1049" s="41" t="s">
        <v>416</v>
      </c>
      <c r="B1049" s="1">
        <v>1</v>
      </c>
      <c r="C1049" s="8">
        <v>46107</v>
      </c>
      <c r="D1049" s="1" t="s">
        <v>1497</v>
      </c>
      <c r="E1049" s="7" t="s">
        <v>14</v>
      </c>
      <c r="F1049" s="1" t="s">
        <v>25</v>
      </c>
      <c r="G1049" s="9" t="s">
        <v>35</v>
      </c>
      <c r="H1049" s="7" t="s">
        <v>74</v>
      </c>
      <c r="I1049" s="18">
        <v>15000000</v>
      </c>
      <c r="J1049" s="10">
        <v>3340</v>
      </c>
      <c r="K1049" s="7" t="s">
        <v>12</v>
      </c>
      <c r="L1049" s="7" t="s">
        <v>53</v>
      </c>
      <c r="M1049" s="34">
        <v>46107</v>
      </c>
      <c r="N1049" s="7" t="s">
        <v>52</v>
      </c>
      <c r="O1049" s="14"/>
    </row>
    <row r="1050" spans="1:15" x14ac:dyDescent="0.25">
      <c r="A1050" s="41" t="s">
        <v>1498</v>
      </c>
      <c r="B1050" s="1">
        <v>2</v>
      </c>
      <c r="C1050" s="8">
        <v>46108</v>
      </c>
      <c r="D1050" s="1" t="s">
        <v>1505</v>
      </c>
      <c r="E1050" s="7" t="s">
        <v>11</v>
      </c>
      <c r="F1050" s="1" t="s">
        <v>25</v>
      </c>
      <c r="G1050" s="9" t="s">
        <v>35</v>
      </c>
      <c r="H1050" s="7" t="s">
        <v>74</v>
      </c>
      <c r="I1050" s="18" t="s">
        <v>0</v>
      </c>
      <c r="J1050" s="10">
        <v>25000</v>
      </c>
      <c r="K1050" s="7" t="s">
        <v>12</v>
      </c>
      <c r="L1050" s="7" t="s">
        <v>53</v>
      </c>
      <c r="M1050" s="34">
        <v>46108</v>
      </c>
      <c r="N1050" s="7" t="s">
        <v>41</v>
      </c>
    </row>
    <row r="1051" spans="1:15" x14ac:dyDescent="0.25">
      <c r="A1051" s="41" t="s">
        <v>412</v>
      </c>
      <c r="B1051" s="1">
        <v>1</v>
      </c>
      <c r="C1051" s="8">
        <v>46107</v>
      </c>
      <c r="D1051" s="1" t="s">
        <v>1501</v>
      </c>
      <c r="E1051" s="7" t="s">
        <v>2</v>
      </c>
      <c r="F1051" s="1" t="s">
        <v>25</v>
      </c>
      <c r="G1051" s="9" t="s">
        <v>35</v>
      </c>
      <c r="H1051" s="7" t="s">
        <v>74</v>
      </c>
      <c r="I1051" s="18">
        <v>15400000</v>
      </c>
      <c r="J1051" s="10">
        <v>4280</v>
      </c>
      <c r="K1051" s="7" t="s">
        <v>12</v>
      </c>
      <c r="L1051" s="7" t="s">
        <v>53</v>
      </c>
      <c r="M1051" s="34">
        <v>46113</v>
      </c>
      <c r="N1051" s="7" t="s">
        <v>774</v>
      </c>
    </row>
    <row r="1052" spans="1:15" x14ac:dyDescent="0.25">
      <c r="A1052" s="41" t="s">
        <v>906</v>
      </c>
      <c r="B1052" s="1">
        <v>1</v>
      </c>
      <c r="C1052" s="8">
        <v>46107</v>
      </c>
      <c r="D1052" s="1" t="s">
        <v>1502</v>
      </c>
      <c r="E1052" s="7" t="s">
        <v>2</v>
      </c>
      <c r="F1052" s="1" t="s">
        <v>25</v>
      </c>
      <c r="G1052" s="9" t="s">
        <v>35</v>
      </c>
      <c r="H1052" s="7">
        <v>880</v>
      </c>
      <c r="I1052" s="18">
        <v>15500000</v>
      </c>
      <c r="J1052" s="10">
        <v>39093.57</v>
      </c>
      <c r="K1052" s="7" t="s">
        <v>12</v>
      </c>
      <c r="L1052" s="7" t="s">
        <v>53</v>
      </c>
      <c r="M1052" s="34">
        <v>46113</v>
      </c>
      <c r="N1052" s="7" t="s">
        <v>774</v>
      </c>
    </row>
    <row r="1053" spans="1:15" x14ac:dyDescent="0.25">
      <c r="A1053" s="41" t="s">
        <v>629</v>
      </c>
      <c r="B1053" s="1">
        <v>1</v>
      </c>
      <c r="C1053" s="8">
        <v>46108</v>
      </c>
      <c r="D1053" s="1" t="s">
        <v>1503</v>
      </c>
      <c r="E1053" s="7" t="s">
        <v>2</v>
      </c>
      <c r="F1053" s="1" t="s">
        <v>25</v>
      </c>
      <c r="G1053" s="9" t="s">
        <v>35</v>
      </c>
      <c r="H1053" s="7">
        <v>78</v>
      </c>
      <c r="I1053" s="18">
        <v>15500000</v>
      </c>
      <c r="J1053" s="10">
        <v>121634.85</v>
      </c>
      <c r="K1053" s="7" t="s">
        <v>12</v>
      </c>
      <c r="L1053" s="7" t="s">
        <v>53</v>
      </c>
      <c r="M1053" s="34">
        <v>46111</v>
      </c>
      <c r="N1053" s="7" t="s">
        <v>41</v>
      </c>
    </row>
    <row r="1054" spans="1:15" x14ac:dyDescent="0.25">
      <c r="A1054" s="41" t="s">
        <v>332</v>
      </c>
      <c r="B1054" s="1">
        <v>1</v>
      </c>
      <c r="C1054" s="8">
        <v>46108</v>
      </c>
      <c r="D1054" s="1" t="s">
        <v>1504</v>
      </c>
      <c r="E1054" s="7" t="s">
        <v>13</v>
      </c>
      <c r="G1054" s="9" t="s">
        <v>35</v>
      </c>
      <c r="H1054" s="7" t="s">
        <v>74</v>
      </c>
      <c r="I1054" s="18">
        <v>15001002</v>
      </c>
      <c r="J1054" s="10">
        <v>35580.61</v>
      </c>
      <c r="K1054" s="7" t="s">
        <v>13</v>
      </c>
      <c r="L1054" s="7" t="s">
        <v>54</v>
      </c>
      <c r="M1054" s="34">
        <v>46112</v>
      </c>
      <c r="N1054" s="7" t="s">
        <v>774</v>
      </c>
    </row>
    <row r="1055" spans="1:15" ht="30" x14ac:dyDescent="0.25">
      <c r="A1055" s="41" t="s">
        <v>1507</v>
      </c>
      <c r="B1055" s="1">
        <v>1</v>
      </c>
      <c r="C1055" s="8">
        <v>46108</v>
      </c>
      <c r="D1055" s="1" t="s">
        <v>1506</v>
      </c>
      <c r="E1055" s="7" t="s">
        <v>14</v>
      </c>
      <c r="F1055" s="1" t="s">
        <v>25</v>
      </c>
      <c r="G1055" s="9" t="s">
        <v>47</v>
      </c>
      <c r="H1055" s="7" t="s">
        <v>74</v>
      </c>
      <c r="I1055" s="18" t="s">
        <v>0</v>
      </c>
      <c r="J1055" s="10" t="s">
        <v>61</v>
      </c>
      <c r="K1055" s="7" t="s">
        <v>22</v>
      </c>
      <c r="L1055" s="7" t="s">
        <v>55</v>
      </c>
      <c r="M1055" s="34">
        <v>46112</v>
      </c>
      <c r="N1055" s="7" t="s">
        <v>46</v>
      </c>
    </row>
    <row r="1056" spans="1:15" x14ac:dyDescent="0.25">
      <c r="A1056" s="41" t="s">
        <v>210</v>
      </c>
      <c r="B1056" s="1">
        <v>2</v>
      </c>
      <c r="C1056" s="8">
        <v>46113</v>
      </c>
      <c r="D1056" s="1" t="s">
        <v>1508</v>
      </c>
      <c r="E1056" s="7" t="s">
        <v>13</v>
      </c>
      <c r="F1056" s="1" t="s">
        <v>25</v>
      </c>
      <c r="G1056" s="9" t="s">
        <v>35</v>
      </c>
      <c r="H1056" s="7">
        <v>962890</v>
      </c>
      <c r="I1056" s="18">
        <v>15001002</v>
      </c>
      <c r="J1056" s="10">
        <v>897.47</v>
      </c>
      <c r="K1056" s="7" t="s">
        <v>13</v>
      </c>
      <c r="L1056" s="7" t="s">
        <v>54</v>
      </c>
      <c r="M1056" s="34">
        <v>46111</v>
      </c>
      <c r="N1056" s="7" t="s">
        <v>41</v>
      </c>
    </row>
    <row r="1057" spans="1:15" x14ac:dyDescent="0.25">
      <c r="A1057" s="41" t="s">
        <v>381</v>
      </c>
      <c r="B1057" s="1">
        <v>2</v>
      </c>
      <c r="C1057" s="8">
        <v>46118</v>
      </c>
      <c r="D1057" s="1" t="s">
        <v>1509</v>
      </c>
      <c r="E1057" s="7" t="s">
        <v>14</v>
      </c>
      <c r="F1057" s="1" t="s">
        <v>25</v>
      </c>
      <c r="G1057" s="9" t="s">
        <v>35</v>
      </c>
      <c r="H1057" s="7">
        <v>2110</v>
      </c>
      <c r="I1057" s="18">
        <v>15000000</v>
      </c>
      <c r="J1057" s="10">
        <v>23260</v>
      </c>
      <c r="K1057" s="7" t="s">
        <v>12</v>
      </c>
      <c r="L1057" s="7" t="s">
        <v>53</v>
      </c>
      <c r="M1057" s="34">
        <v>46119</v>
      </c>
      <c r="N1057" s="7" t="s">
        <v>774</v>
      </c>
    </row>
    <row r="1058" spans="1:15" x14ac:dyDescent="0.25">
      <c r="A1058" s="41" t="s">
        <v>961</v>
      </c>
      <c r="B1058" s="1">
        <v>1</v>
      </c>
      <c r="C1058" s="8">
        <v>46108</v>
      </c>
      <c r="D1058" s="1" t="s">
        <v>1510</v>
      </c>
      <c r="E1058" s="7" t="s">
        <v>16</v>
      </c>
      <c r="F1058" s="1" t="s">
        <v>25</v>
      </c>
      <c r="G1058" s="9" t="s">
        <v>35</v>
      </c>
      <c r="H1058" s="7" t="s">
        <v>74</v>
      </c>
      <c r="I1058" s="18">
        <v>15000000</v>
      </c>
      <c r="J1058" s="10" t="s">
        <v>61</v>
      </c>
      <c r="K1058" s="7" t="s">
        <v>12</v>
      </c>
      <c r="L1058" s="7" t="s">
        <v>53</v>
      </c>
      <c r="M1058" s="34">
        <v>46112</v>
      </c>
      <c r="N1058" s="7" t="s">
        <v>774</v>
      </c>
    </row>
    <row r="1059" spans="1:15" x14ac:dyDescent="0.25">
      <c r="A1059" s="41" t="s">
        <v>891</v>
      </c>
      <c r="B1059" s="1">
        <v>1</v>
      </c>
      <c r="C1059" s="8">
        <v>46108</v>
      </c>
      <c r="D1059" s="1" t="s">
        <v>1511</v>
      </c>
      <c r="E1059" s="7" t="s">
        <v>2</v>
      </c>
      <c r="F1059" s="1" t="s">
        <v>25</v>
      </c>
      <c r="G1059" s="9" t="s">
        <v>63</v>
      </c>
      <c r="H1059" s="7" t="s">
        <v>74</v>
      </c>
      <c r="I1059" s="18">
        <v>15001001</v>
      </c>
      <c r="J1059" s="10" t="s">
        <v>61</v>
      </c>
      <c r="K1059" s="7" t="s">
        <v>17</v>
      </c>
      <c r="L1059" s="7" t="s">
        <v>55</v>
      </c>
      <c r="M1059" s="34">
        <v>46112</v>
      </c>
      <c r="N1059" s="7" t="s">
        <v>91</v>
      </c>
    </row>
    <row r="1060" spans="1:15" x14ac:dyDescent="0.25">
      <c r="A1060" s="41" t="s">
        <v>1112</v>
      </c>
      <c r="B1060" s="1">
        <v>2</v>
      </c>
      <c r="C1060" s="8">
        <v>46112</v>
      </c>
      <c r="D1060" s="1" t="s">
        <v>1512</v>
      </c>
      <c r="E1060" s="7" t="s">
        <v>20</v>
      </c>
      <c r="F1060" s="1" t="s">
        <v>25</v>
      </c>
      <c r="G1060" s="9" t="s">
        <v>63</v>
      </c>
      <c r="H1060" s="7" t="s">
        <v>74</v>
      </c>
      <c r="I1060" s="18" t="s">
        <v>0</v>
      </c>
      <c r="J1060" s="10" t="s">
        <v>61</v>
      </c>
      <c r="K1060" s="7" t="s">
        <v>17</v>
      </c>
      <c r="L1060" s="7" t="s">
        <v>55</v>
      </c>
      <c r="M1060" s="34" t="s">
        <v>1552</v>
      </c>
      <c r="N1060" s="7" t="s">
        <v>91</v>
      </c>
    </row>
    <row r="1061" spans="1:15" x14ac:dyDescent="0.25">
      <c r="A1061" s="41" t="s">
        <v>1460</v>
      </c>
      <c r="B1061" s="1">
        <v>2</v>
      </c>
      <c r="C1061" s="8">
        <v>46111</v>
      </c>
      <c r="D1061" s="1" t="s">
        <v>1513</v>
      </c>
      <c r="E1061" s="7" t="s">
        <v>2</v>
      </c>
      <c r="F1061" s="1" t="s">
        <v>25</v>
      </c>
      <c r="G1061" s="9" t="s">
        <v>35</v>
      </c>
      <c r="H1061" s="7" t="s">
        <v>74</v>
      </c>
      <c r="I1061" s="18">
        <v>15000000</v>
      </c>
      <c r="J1061" s="10">
        <v>508.86</v>
      </c>
      <c r="K1061" s="7" t="s">
        <v>12</v>
      </c>
      <c r="L1061" s="7" t="s">
        <v>53</v>
      </c>
      <c r="M1061" s="34">
        <v>46111</v>
      </c>
      <c r="N1061" s="7" t="s">
        <v>41</v>
      </c>
    </row>
    <row r="1062" spans="1:15" x14ac:dyDescent="0.25">
      <c r="A1062" s="41" t="s">
        <v>590</v>
      </c>
      <c r="B1062" s="1">
        <v>1</v>
      </c>
      <c r="C1062" s="8">
        <v>46108</v>
      </c>
      <c r="D1062" s="1" t="s">
        <v>1514</v>
      </c>
      <c r="E1062" s="7" t="s">
        <v>14</v>
      </c>
      <c r="F1062" s="1" t="s">
        <v>25</v>
      </c>
      <c r="G1062" s="9" t="s">
        <v>35</v>
      </c>
      <c r="H1062" s="7" t="s">
        <v>74</v>
      </c>
      <c r="I1062" s="18">
        <v>15000000</v>
      </c>
      <c r="J1062" s="10">
        <v>179.52</v>
      </c>
      <c r="K1062" s="7" t="s">
        <v>12</v>
      </c>
      <c r="L1062" s="7" t="s">
        <v>53</v>
      </c>
      <c r="M1062" s="62">
        <v>46108</v>
      </c>
      <c r="N1062" s="7" t="s">
        <v>92</v>
      </c>
    </row>
    <row r="1063" spans="1:15" x14ac:dyDescent="0.25">
      <c r="A1063" s="41" t="s">
        <v>569</v>
      </c>
      <c r="B1063" s="1">
        <v>3</v>
      </c>
      <c r="C1063" s="8">
        <v>46088</v>
      </c>
      <c r="D1063" s="1" t="s">
        <v>1515</v>
      </c>
      <c r="E1063" s="7" t="s">
        <v>16</v>
      </c>
      <c r="F1063" s="1" t="s">
        <v>25</v>
      </c>
      <c r="G1063" s="9" t="s">
        <v>35</v>
      </c>
      <c r="H1063" s="7" t="s">
        <v>74</v>
      </c>
      <c r="I1063" s="18">
        <v>15010000</v>
      </c>
      <c r="J1063" s="10">
        <v>5161.3500000000004</v>
      </c>
      <c r="K1063" s="7" t="s">
        <v>12</v>
      </c>
      <c r="L1063" s="7" t="s">
        <v>53</v>
      </c>
      <c r="M1063" s="34">
        <v>46119</v>
      </c>
      <c r="N1063" s="7" t="s">
        <v>41</v>
      </c>
    </row>
    <row r="1064" spans="1:15" x14ac:dyDescent="0.25">
      <c r="A1064" s="41" t="s">
        <v>1516</v>
      </c>
      <c r="B1064" s="1">
        <v>1</v>
      </c>
      <c r="C1064" s="8">
        <v>46111</v>
      </c>
      <c r="D1064" s="1" t="s">
        <v>1517</v>
      </c>
      <c r="E1064" s="7" t="s">
        <v>14</v>
      </c>
      <c r="F1064" s="1" t="s">
        <v>25</v>
      </c>
      <c r="G1064" s="9" t="s">
        <v>35</v>
      </c>
      <c r="H1064" s="7">
        <v>1721</v>
      </c>
      <c r="I1064" s="18">
        <v>15000000</v>
      </c>
      <c r="J1064" s="10">
        <v>12750</v>
      </c>
      <c r="K1064" s="7" t="s">
        <v>12</v>
      </c>
      <c r="L1064" s="7" t="s">
        <v>53</v>
      </c>
      <c r="M1064" s="34">
        <v>46113</v>
      </c>
      <c r="N1064" s="7" t="s">
        <v>41</v>
      </c>
    </row>
    <row r="1065" spans="1:15" x14ac:dyDescent="0.25">
      <c r="A1065" s="41" t="s">
        <v>1025</v>
      </c>
      <c r="B1065" s="1">
        <v>2</v>
      </c>
      <c r="C1065" s="8">
        <v>46109</v>
      </c>
      <c r="D1065" s="1" t="s">
        <v>1518</v>
      </c>
      <c r="E1065" s="7" t="s">
        <v>2</v>
      </c>
      <c r="F1065" s="1" t="s">
        <v>25</v>
      </c>
      <c r="G1065" s="9" t="s">
        <v>35</v>
      </c>
      <c r="H1065" s="7">
        <v>196182</v>
      </c>
      <c r="I1065" s="18">
        <v>15420000</v>
      </c>
      <c r="J1065" s="10">
        <v>131839.70000000001</v>
      </c>
      <c r="K1065" s="7" t="s">
        <v>58</v>
      </c>
      <c r="L1065" s="7" t="s">
        <v>59</v>
      </c>
      <c r="M1065" s="34">
        <v>46112</v>
      </c>
      <c r="N1065" s="7" t="s">
        <v>41</v>
      </c>
    </row>
    <row r="1066" spans="1:15" x14ac:dyDescent="0.25">
      <c r="A1066" s="41" t="s">
        <v>1025</v>
      </c>
      <c r="B1066" s="1">
        <v>2</v>
      </c>
      <c r="C1066" s="8">
        <v>46111</v>
      </c>
      <c r="D1066" s="1" t="s">
        <v>1519</v>
      </c>
      <c r="E1066" s="7" t="s">
        <v>2</v>
      </c>
      <c r="F1066" s="1" t="s">
        <v>25</v>
      </c>
      <c r="G1066" s="9" t="s">
        <v>35</v>
      </c>
      <c r="H1066" s="7">
        <v>16224</v>
      </c>
      <c r="I1066" s="18">
        <v>15001001</v>
      </c>
      <c r="J1066" s="10">
        <v>33805.300000000003</v>
      </c>
      <c r="K1066" s="7" t="s">
        <v>12</v>
      </c>
      <c r="L1066" s="7" t="s">
        <v>53</v>
      </c>
      <c r="M1066" s="34">
        <v>46111</v>
      </c>
      <c r="N1066" s="7" t="s">
        <v>41</v>
      </c>
    </row>
    <row r="1067" spans="1:15" x14ac:dyDescent="0.25">
      <c r="A1067" s="41" t="s">
        <v>1522</v>
      </c>
      <c r="B1067" s="1">
        <v>2</v>
      </c>
      <c r="C1067" s="8">
        <v>46111</v>
      </c>
      <c r="D1067" s="1" t="s">
        <v>1520</v>
      </c>
      <c r="E1067" s="7" t="s">
        <v>83</v>
      </c>
      <c r="F1067" s="1" t="s">
        <v>25</v>
      </c>
      <c r="G1067" s="9" t="s">
        <v>35</v>
      </c>
      <c r="H1067" s="7" t="s">
        <v>74</v>
      </c>
      <c r="I1067" s="18" t="s">
        <v>0</v>
      </c>
      <c r="J1067" s="10" t="s">
        <v>61</v>
      </c>
      <c r="K1067" s="7" t="s">
        <v>83</v>
      </c>
      <c r="L1067" s="7" t="s">
        <v>40</v>
      </c>
      <c r="M1067" s="34">
        <v>46112</v>
      </c>
      <c r="N1067" s="7" t="s">
        <v>41</v>
      </c>
      <c r="O1067" s="7" t="s">
        <v>1521</v>
      </c>
    </row>
    <row r="1068" spans="1:15" x14ac:dyDescent="0.25">
      <c r="A1068" s="41" t="s">
        <v>1092</v>
      </c>
      <c r="B1068" s="1">
        <v>1</v>
      </c>
      <c r="C1068" s="8">
        <v>46111</v>
      </c>
      <c r="D1068" s="1" t="s">
        <v>1523</v>
      </c>
      <c r="E1068" s="7" t="s">
        <v>11</v>
      </c>
      <c r="F1068" s="1" t="s">
        <v>25</v>
      </c>
      <c r="G1068" s="9" t="s">
        <v>35</v>
      </c>
      <c r="H1068" s="7">
        <v>4</v>
      </c>
      <c r="I1068" s="18">
        <v>15000000</v>
      </c>
      <c r="J1068" s="10">
        <v>12000</v>
      </c>
      <c r="K1068" s="7" t="s">
        <v>12</v>
      </c>
      <c r="L1068" s="7" t="s">
        <v>53</v>
      </c>
      <c r="M1068" s="34">
        <v>46113</v>
      </c>
      <c r="N1068" s="7" t="s">
        <v>41</v>
      </c>
    </row>
    <row r="1069" spans="1:15" x14ac:dyDescent="0.25">
      <c r="A1069" s="41" t="s">
        <v>446</v>
      </c>
      <c r="B1069" s="1">
        <v>1</v>
      </c>
      <c r="C1069" s="8">
        <v>46111</v>
      </c>
      <c r="D1069" s="1" t="s">
        <v>1524</v>
      </c>
      <c r="E1069" s="7" t="s">
        <v>14</v>
      </c>
      <c r="F1069" s="1" t="s">
        <v>25</v>
      </c>
      <c r="G1069" s="9" t="s">
        <v>35</v>
      </c>
      <c r="H1069" s="7">
        <v>2870</v>
      </c>
      <c r="I1069" s="18">
        <v>15000000</v>
      </c>
      <c r="J1069" s="10">
        <v>2926.13</v>
      </c>
      <c r="K1069" s="7" t="s">
        <v>12</v>
      </c>
      <c r="L1069" s="7" t="s">
        <v>53</v>
      </c>
      <c r="M1069" s="34">
        <v>46112</v>
      </c>
      <c r="N1069" s="7" t="s">
        <v>91</v>
      </c>
    </row>
    <row r="1070" spans="1:15" x14ac:dyDescent="0.25">
      <c r="A1070" s="41" t="s">
        <v>467</v>
      </c>
      <c r="B1070" s="1">
        <v>1</v>
      </c>
      <c r="C1070" s="8">
        <v>46111</v>
      </c>
      <c r="D1070" s="1" t="s">
        <v>1525</v>
      </c>
      <c r="E1070" s="7" t="s">
        <v>11</v>
      </c>
      <c r="F1070" s="1" t="s">
        <v>25</v>
      </c>
      <c r="G1070" s="9" t="s">
        <v>35</v>
      </c>
      <c r="H1070" s="7">
        <v>1263</v>
      </c>
      <c r="I1070" s="18">
        <v>15000000</v>
      </c>
      <c r="J1070" s="10">
        <v>19338</v>
      </c>
      <c r="K1070" s="7" t="s">
        <v>11</v>
      </c>
      <c r="L1070" s="7" t="s">
        <v>40</v>
      </c>
      <c r="M1070" s="34">
        <v>46119</v>
      </c>
      <c r="N1070" s="7" t="s">
        <v>774</v>
      </c>
    </row>
    <row r="1071" spans="1:15" x14ac:dyDescent="0.25">
      <c r="A1071" s="41" t="s">
        <v>1527</v>
      </c>
      <c r="B1071" s="1">
        <v>1</v>
      </c>
      <c r="C1071" s="8">
        <v>46111</v>
      </c>
      <c r="D1071" s="1" t="s">
        <v>1526</v>
      </c>
      <c r="E1071" s="7" t="s">
        <v>93</v>
      </c>
      <c r="F1071" s="1" t="s">
        <v>25</v>
      </c>
      <c r="G1071" s="9" t="s">
        <v>35</v>
      </c>
      <c r="H1071" s="7" t="s">
        <v>74</v>
      </c>
      <c r="I1071" s="18" t="s">
        <v>0</v>
      </c>
      <c r="J1071" s="10" t="s">
        <v>61</v>
      </c>
      <c r="K1071" s="7" t="s">
        <v>12</v>
      </c>
      <c r="L1071" s="7" t="s">
        <v>53</v>
      </c>
      <c r="M1071" s="34">
        <v>46113</v>
      </c>
      <c r="N1071" s="7" t="s">
        <v>46</v>
      </c>
    </row>
    <row r="1072" spans="1:15" x14ac:dyDescent="0.25">
      <c r="A1072" s="41" t="s">
        <v>467</v>
      </c>
      <c r="B1072" s="1">
        <v>1</v>
      </c>
      <c r="C1072" s="8">
        <v>46112</v>
      </c>
      <c r="D1072" s="1" t="s">
        <v>1528</v>
      </c>
      <c r="E1072" s="7" t="s">
        <v>11</v>
      </c>
      <c r="F1072" s="1" t="s">
        <v>25</v>
      </c>
      <c r="G1072" s="9" t="s">
        <v>35</v>
      </c>
      <c r="H1072" s="7">
        <v>1264</v>
      </c>
      <c r="I1072" s="18">
        <v>15000000</v>
      </c>
      <c r="J1072" s="10">
        <v>9015</v>
      </c>
      <c r="K1072" s="7" t="s">
        <v>11</v>
      </c>
      <c r="L1072" s="7" t="s">
        <v>40</v>
      </c>
      <c r="M1072" s="34">
        <v>46119</v>
      </c>
      <c r="N1072" s="7" t="s">
        <v>774</v>
      </c>
    </row>
    <row r="1073" spans="1:15" x14ac:dyDescent="0.25">
      <c r="A1073" s="41" t="s">
        <v>1498</v>
      </c>
      <c r="B1073" s="1">
        <v>2</v>
      </c>
      <c r="C1073" s="8">
        <v>46087</v>
      </c>
      <c r="D1073" s="1" t="s">
        <v>1529</v>
      </c>
      <c r="E1073" s="7" t="s">
        <v>11</v>
      </c>
      <c r="F1073" s="1" t="s">
        <v>25</v>
      </c>
      <c r="G1073" s="9" t="s">
        <v>35</v>
      </c>
      <c r="H1073" s="7">
        <v>76</v>
      </c>
      <c r="I1073" s="18">
        <v>15000000</v>
      </c>
      <c r="J1073" s="10">
        <v>25000</v>
      </c>
      <c r="K1073" s="7" t="s">
        <v>12</v>
      </c>
      <c r="L1073" s="7" t="s">
        <v>53</v>
      </c>
      <c r="M1073" s="34">
        <v>46028</v>
      </c>
      <c r="N1073" s="7" t="s">
        <v>41</v>
      </c>
      <c r="O1073" s="14"/>
    </row>
    <row r="1074" spans="1:15" x14ac:dyDescent="0.25">
      <c r="A1074" s="41" t="s">
        <v>1530</v>
      </c>
      <c r="B1074" s="1">
        <v>2</v>
      </c>
      <c r="C1074" s="8">
        <v>46118</v>
      </c>
      <c r="D1074" s="1" t="s">
        <v>1531</v>
      </c>
      <c r="E1074" s="7" t="s">
        <v>2</v>
      </c>
      <c r="F1074" s="1" t="s">
        <v>25</v>
      </c>
      <c r="G1074" s="9" t="s">
        <v>35</v>
      </c>
      <c r="H1074" s="7">
        <v>7719</v>
      </c>
      <c r="I1074" s="18">
        <v>15000000</v>
      </c>
      <c r="J1074" s="10">
        <v>7578</v>
      </c>
      <c r="K1074" s="7" t="s">
        <v>12</v>
      </c>
      <c r="L1074" s="7" t="s">
        <v>53</v>
      </c>
      <c r="M1074" s="34">
        <v>46119</v>
      </c>
      <c r="N1074" s="7" t="s">
        <v>774</v>
      </c>
    </row>
    <row r="1075" spans="1:15" x14ac:dyDescent="0.25">
      <c r="A1075" s="41" t="s">
        <v>252</v>
      </c>
      <c r="B1075" s="1">
        <v>1</v>
      </c>
      <c r="C1075" s="8">
        <v>46112</v>
      </c>
      <c r="D1075" s="1" t="s">
        <v>1532</v>
      </c>
      <c r="E1075" s="7" t="s">
        <v>13</v>
      </c>
      <c r="F1075" s="1" t="s">
        <v>25</v>
      </c>
      <c r="G1075" s="9" t="s">
        <v>35</v>
      </c>
      <c r="H1075" s="7" t="s">
        <v>74</v>
      </c>
      <c r="I1075" s="18">
        <v>15001002</v>
      </c>
      <c r="J1075" s="10">
        <v>5000</v>
      </c>
      <c r="K1075" s="7" t="s">
        <v>13</v>
      </c>
      <c r="L1075" s="7" t="s">
        <v>54</v>
      </c>
      <c r="M1075" s="34">
        <v>46113</v>
      </c>
      <c r="N1075" s="7" t="s">
        <v>774</v>
      </c>
    </row>
    <row r="1076" spans="1:15" x14ac:dyDescent="0.25">
      <c r="A1076" s="41" t="s">
        <v>1533</v>
      </c>
      <c r="B1076" s="1">
        <v>2</v>
      </c>
      <c r="C1076" s="8">
        <v>46112</v>
      </c>
      <c r="D1076" s="1" t="s">
        <v>1534</v>
      </c>
      <c r="E1076" s="7" t="s">
        <v>94</v>
      </c>
      <c r="F1076" s="1" t="s">
        <v>25</v>
      </c>
      <c r="G1076" s="9" t="s">
        <v>35</v>
      </c>
      <c r="H1076" s="7" t="s">
        <v>74</v>
      </c>
      <c r="I1076" s="18">
        <v>17190000</v>
      </c>
      <c r="J1076" s="10">
        <v>40000</v>
      </c>
      <c r="K1076" s="7" t="s">
        <v>12</v>
      </c>
      <c r="L1076" s="7" t="s">
        <v>53</v>
      </c>
      <c r="M1076" s="34">
        <v>46112</v>
      </c>
      <c r="N1076" s="7" t="s">
        <v>41</v>
      </c>
    </row>
    <row r="1077" spans="1:15" x14ac:dyDescent="0.25">
      <c r="A1077" s="41" t="s">
        <v>1431</v>
      </c>
      <c r="B1077" s="1">
        <v>1</v>
      </c>
      <c r="C1077" s="8">
        <v>46112</v>
      </c>
      <c r="D1077" s="1" t="s">
        <v>1432</v>
      </c>
      <c r="E1077" s="7" t="s">
        <v>13</v>
      </c>
      <c r="F1077" s="1" t="s">
        <v>25</v>
      </c>
      <c r="G1077" s="9" t="s">
        <v>38</v>
      </c>
      <c r="H1077" s="7" t="s">
        <v>74</v>
      </c>
      <c r="I1077" s="18" t="s">
        <v>0</v>
      </c>
      <c r="J1077" s="10" t="s">
        <v>61</v>
      </c>
      <c r="K1077" s="7" t="s">
        <v>22</v>
      </c>
      <c r="L1077" s="7" t="s">
        <v>55</v>
      </c>
      <c r="M1077" s="34">
        <v>46136</v>
      </c>
    </row>
    <row r="1078" spans="1:15" x14ac:dyDescent="0.25">
      <c r="A1078" s="41" t="s">
        <v>1535</v>
      </c>
      <c r="B1078" s="1">
        <v>2</v>
      </c>
      <c r="C1078" s="8">
        <v>46120</v>
      </c>
      <c r="D1078" s="1" t="s">
        <v>1536</v>
      </c>
      <c r="E1078" s="7" t="s">
        <v>16</v>
      </c>
      <c r="F1078" s="1" t="s">
        <v>25</v>
      </c>
      <c r="G1078" s="9" t="s">
        <v>35</v>
      </c>
      <c r="H1078" s="7" t="s">
        <v>74</v>
      </c>
      <c r="I1078" s="18">
        <v>26600000</v>
      </c>
      <c r="J1078" s="10">
        <v>102170</v>
      </c>
      <c r="K1078" s="7" t="s">
        <v>12</v>
      </c>
      <c r="L1078" s="7" t="s">
        <v>53</v>
      </c>
      <c r="M1078" s="34">
        <v>46121</v>
      </c>
      <c r="N1078" s="7" t="s">
        <v>41</v>
      </c>
    </row>
    <row r="1079" spans="1:15" x14ac:dyDescent="0.25">
      <c r="A1079" s="41" t="s">
        <v>1535</v>
      </c>
      <c r="B1079" s="1">
        <v>3</v>
      </c>
      <c r="C1079" s="8">
        <v>46141</v>
      </c>
      <c r="D1079" s="1" t="s">
        <v>1537</v>
      </c>
      <c r="E1079" s="7" t="s">
        <v>16</v>
      </c>
      <c r="F1079" s="1" t="s">
        <v>25</v>
      </c>
      <c r="G1079" s="9" t="s">
        <v>1538</v>
      </c>
      <c r="H1079" s="7" t="s">
        <v>74</v>
      </c>
      <c r="I1079" s="18" t="s">
        <v>0</v>
      </c>
      <c r="J1079" s="10" t="s">
        <v>61</v>
      </c>
      <c r="K1079" s="7" t="s">
        <v>22</v>
      </c>
      <c r="L1079" s="7" t="s">
        <v>55</v>
      </c>
      <c r="M1079" s="34">
        <v>46146</v>
      </c>
      <c r="N1079" s="7" t="s">
        <v>91</v>
      </c>
    </row>
    <row r="1080" spans="1:15" x14ac:dyDescent="0.25">
      <c r="A1080" s="41" t="s">
        <v>740</v>
      </c>
      <c r="B1080" s="1">
        <v>1</v>
      </c>
      <c r="C1080" s="8">
        <v>46112</v>
      </c>
      <c r="D1080" s="1" t="s">
        <v>1539</v>
      </c>
      <c r="E1080" s="7" t="s">
        <v>14</v>
      </c>
      <c r="F1080" s="1" t="s">
        <v>25</v>
      </c>
      <c r="G1080" s="9" t="s">
        <v>35</v>
      </c>
      <c r="H1080" s="7">
        <v>5239</v>
      </c>
      <c r="I1080" s="18">
        <v>15000000</v>
      </c>
      <c r="J1080" s="10">
        <v>12000</v>
      </c>
      <c r="K1080" s="7" t="s">
        <v>12</v>
      </c>
      <c r="L1080" s="7" t="s">
        <v>53</v>
      </c>
      <c r="M1080" s="34">
        <v>46119</v>
      </c>
      <c r="N1080" s="7" t="s">
        <v>774</v>
      </c>
    </row>
    <row r="1081" spans="1:15" x14ac:dyDescent="0.25">
      <c r="A1081" s="41" t="s">
        <v>1541</v>
      </c>
      <c r="B1081" s="1">
        <v>1</v>
      </c>
      <c r="C1081" s="8">
        <v>46112</v>
      </c>
      <c r="D1081" s="1" t="s">
        <v>1540</v>
      </c>
      <c r="E1081" s="7" t="s">
        <v>83</v>
      </c>
      <c r="F1081" s="1" t="s">
        <v>25</v>
      </c>
      <c r="G1081" s="9" t="s">
        <v>35</v>
      </c>
      <c r="H1081" s="7" t="s">
        <v>74</v>
      </c>
      <c r="I1081" s="18" t="s">
        <v>0</v>
      </c>
      <c r="J1081" s="10" t="s">
        <v>61</v>
      </c>
      <c r="K1081" s="7" t="s">
        <v>83</v>
      </c>
      <c r="L1081" s="7" t="s">
        <v>40</v>
      </c>
      <c r="M1081" s="34">
        <v>46113</v>
      </c>
      <c r="N1081" s="7" t="s">
        <v>41</v>
      </c>
      <c r="O1081" s="7" t="s">
        <v>1542</v>
      </c>
    </row>
    <row r="1082" spans="1:15" x14ac:dyDescent="0.25">
      <c r="A1082" s="41" t="s">
        <v>1516</v>
      </c>
      <c r="B1082" s="1">
        <v>1</v>
      </c>
      <c r="C1082" s="8">
        <v>46112</v>
      </c>
      <c r="D1082" s="1" t="s">
        <v>1543</v>
      </c>
      <c r="E1082" s="7" t="s">
        <v>2</v>
      </c>
      <c r="F1082" s="1" t="s">
        <v>25</v>
      </c>
      <c r="G1082" s="9" t="s">
        <v>35</v>
      </c>
      <c r="H1082" s="7">
        <v>1720</v>
      </c>
      <c r="I1082" s="18">
        <v>15001001</v>
      </c>
      <c r="J1082" s="10">
        <v>6375</v>
      </c>
      <c r="K1082" s="7" t="s">
        <v>12</v>
      </c>
      <c r="L1082" s="7" t="s">
        <v>53</v>
      </c>
      <c r="M1082" s="34">
        <v>46119</v>
      </c>
      <c r="N1082" s="7" t="s">
        <v>774</v>
      </c>
    </row>
    <row r="1083" spans="1:15" x14ac:dyDescent="0.25">
      <c r="A1083" s="41" t="s">
        <v>1545</v>
      </c>
      <c r="B1083" s="1">
        <v>2</v>
      </c>
      <c r="C1083" s="8">
        <v>46118</v>
      </c>
      <c r="D1083" s="1" t="s">
        <v>1544</v>
      </c>
      <c r="E1083" s="7" t="s">
        <v>94</v>
      </c>
      <c r="F1083" s="1" t="s">
        <v>25</v>
      </c>
      <c r="G1083" s="9" t="s">
        <v>35</v>
      </c>
      <c r="H1083" s="7" t="s">
        <v>74</v>
      </c>
      <c r="I1083" s="18">
        <v>17190000</v>
      </c>
      <c r="J1083" s="10">
        <v>10000</v>
      </c>
      <c r="K1083" s="7" t="s">
        <v>12</v>
      </c>
      <c r="L1083" s="7" t="s">
        <v>53</v>
      </c>
      <c r="M1083" s="34">
        <v>46119</v>
      </c>
      <c r="N1083" s="7" t="s">
        <v>41</v>
      </c>
    </row>
    <row r="1084" spans="1:15" x14ac:dyDescent="0.25">
      <c r="A1084" s="41" t="s">
        <v>1546</v>
      </c>
      <c r="B1084" s="1">
        <v>2</v>
      </c>
      <c r="C1084" s="8">
        <v>46118</v>
      </c>
      <c r="D1084" s="1" t="s">
        <v>1547</v>
      </c>
      <c r="E1084" s="7" t="s">
        <v>94</v>
      </c>
      <c r="F1084" s="1" t="s">
        <v>25</v>
      </c>
      <c r="G1084" s="9" t="s">
        <v>35</v>
      </c>
      <c r="H1084" s="7" t="s">
        <v>74</v>
      </c>
      <c r="I1084" s="18">
        <v>17900000</v>
      </c>
      <c r="J1084" s="10">
        <v>13000</v>
      </c>
      <c r="K1084" s="7" t="s">
        <v>12</v>
      </c>
      <c r="L1084" s="7" t="s">
        <v>53</v>
      </c>
      <c r="M1084" s="34">
        <v>46119</v>
      </c>
      <c r="N1084" s="7" t="s">
        <v>41</v>
      </c>
    </row>
    <row r="1085" spans="1:15" x14ac:dyDescent="0.25">
      <c r="A1085" s="41" t="s">
        <v>1549</v>
      </c>
      <c r="B1085" s="1">
        <v>3</v>
      </c>
      <c r="C1085" s="8">
        <v>46119</v>
      </c>
      <c r="D1085" s="1" t="s">
        <v>1548</v>
      </c>
      <c r="E1085" s="7" t="s">
        <v>94</v>
      </c>
      <c r="F1085" s="1" t="s">
        <v>25</v>
      </c>
      <c r="G1085" s="9" t="s">
        <v>35</v>
      </c>
      <c r="H1085" s="7" t="s">
        <v>74</v>
      </c>
      <c r="I1085" s="18">
        <v>17190000</v>
      </c>
      <c r="J1085" s="10">
        <v>40000</v>
      </c>
      <c r="K1085" s="7" t="s">
        <v>12</v>
      </c>
      <c r="L1085" s="7" t="s">
        <v>53</v>
      </c>
      <c r="M1085" s="34">
        <v>46120</v>
      </c>
      <c r="N1085" s="7" t="s">
        <v>41</v>
      </c>
    </row>
    <row r="1086" spans="1:15" x14ac:dyDescent="0.25">
      <c r="A1086" s="41" t="s">
        <v>873</v>
      </c>
      <c r="B1086" s="1">
        <v>3</v>
      </c>
      <c r="C1086" s="8">
        <v>46119</v>
      </c>
      <c r="D1086" s="1" t="s">
        <v>1553</v>
      </c>
      <c r="E1086" s="7" t="s">
        <v>94</v>
      </c>
      <c r="F1086" s="1" t="s">
        <v>26</v>
      </c>
      <c r="G1086" s="9" t="s">
        <v>35</v>
      </c>
      <c r="H1086" s="7" t="s">
        <v>74</v>
      </c>
      <c r="I1086" s="18">
        <v>15001001</v>
      </c>
      <c r="J1086" s="10">
        <v>5393.5</v>
      </c>
      <c r="K1086" s="7" t="s">
        <v>12</v>
      </c>
      <c r="L1086" s="7" t="s">
        <v>53</v>
      </c>
      <c r="M1086" s="34">
        <v>46120</v>
      </c>
      <c r="N1086" s="7" t="s">
        <v>774</v>
      </c>
    </row>
    <row r="1087" spans="1:15" x14ac:dyDescent="0.25">
      <c r="A1087" s="41" t="s">
        <v>876</v>
      </c>
      <c r="B1087" s="1">
        <v>1</v>
      </c>
      <c r="C1087" s="8">
        <v>46113</v>
      </c>
      <c r="D1087" s="1" t="s">
        <v>1554</v>
      </c>
      <c r="E1087" s="7" t="s">
        <v>2</v>
      </c>
      <c r="F1087" s="1" t="s">
        <v>26</v>
      </c>
      <c r="G1087" s="9" t="s">
        <v>35</v>
      </c>
      <c r="H1087" s="7" t="s">
        <v>74</v>
      </c>
      <c r="I1087" s="18">
        <v>15001001</v>
      </c>
      <c r="J1087" s="10">
        <v>13510</v>
      </c>
      <c r="K1087" s="7" t="s">
        <v>12</v>
      </c>
      <c r="L1087" s="7" t="s">
        <v>53</v>
      </c>
      <c r="M1087" s="34">
        <v>46122</v>
      </c>
      <c r="N1087" s="7" t="s">
        <v>92</v>
      </c>
    </row>
    <row r="1088" spans="1:15" x14ac:dyDescent="0.25">
      <c r="A1088" s="41" t="s">
        <v>896</v>
      </c>
      <c r="B1088" s="1">
        <v>2</v>
      </c>
      <c r="C1088" s="8">
        <v>46120</v>
      </c>
      <c r="D1088" s="1" t="s">
        <v>1555</v>
      </c>
      <c r="E1088" s="7" t="s">
        <v>2</v>
      </c>
      <c r="F1088" s="1" t="s">
        <v>26</v>
      </c>
      <c r="G1088" s="9" t="s">
        <v>35</v>
      </c>
      <c r="H1088" s="7" t="s">
        <v>74</v>
      </c>
      <c r="I1088" s="18">
        <v>15001001</v>
      </c>
      <c r="J1088" s="10">
        <v>12320.18</v>
      </c>
      <c r="K1088" s="7" t="s">
        <v>12</v>
      </c>
      <c r="L1088" s="7" t="s">
        <v>53</v>
      </c>
      <c r="M1088" s="34">
        <v>46121</v>
      </c>
      <c r="N1088" s="7" t="s">
        <v>774</v>
      </c>
    </row>
    <row r="1089" spans="1:15" x14ac:dyDescent="0.25">
      <c r="A1089" s="41" t="s">
        <v>876</v>
      </c>
      <c r="B1089" s="1">
        <v>1</v>
      </c>
      <c r="C1089" s="8">
        <v>46113</v>
      </c>
      <c r="D1089" s="1" t="s">
        <v>1556</v>
      </c>
      <c r="E1089" s="7" t="s">
        <v>2</v>
      </c>
      <c r="F1089" s="1" t="s">
        <v>26</v>
      </c>
      <c r="G1089" s="9" t="s">
        <v>35</v>
      </c>
      <c r="H1089" s="7" t="s">
        <v>74</v>
      </c>
      <c r="I1089" s="18">
        <v>15001001</v>
      </c>
      <c r="J1089" s="10">
        <v>6500</v>
      </c>
      <c r="K1089" s="7" t="s">
        <v>12</v>
      </c>
      <c r="L1089" s="7" t="s">
        <v>53</v>
      </c>
      <c r="M1089" s="34">
        <v>46122</v>
      </c>
      <c r="N1089" s="7" t="s">
        <v>92</v>
      </c>
    </row>
    <row r="1090" spans="1:15" ht="30" x14ac:dyDescent="0.25">
      <c r="A1090" s="41" t="s">
        <v>1557</v>
      </c>
      <c r="B1090" s="1">
        <v>1</v>
      </c>
      <c r="C1090" s="8">
        <v>46113</v>
      </c>
      <c r="D1090" s="1" t="s">
        <v>899</v>
      </c>
      <c r="E1090" s="7" t="s">
        <v>16</v>
      </c>
      <c r="F1090" s="1" t="s">
        <v>26</v>
      </c>
      <c r="G1090" s="9" t="s">
        <v>48</v>
      </c>
      <c r="H1090" s="7" t="s">
        <v>74</v>
      </c>
      <c r="I1090" s="18" t="s">
        <v>0</v>
      </c>
      <c r="J1090" s="10" t="s">
        <v>61</v>
      </c>
      <c r="K1090" s="7" t="s">
        <v>22</v>
      </c>
      <c r="L1090" s="7" t="s">
        <v>55</v>
      </c>
      <c r="M1090" s="34">
        <v>46121</v>
      </c>
      <c r="N1090" s="7" t="s">
        <v>46</v>
      </c>
    </row>
    <row r="1091" spans="1:15" x14ac:dyDescent="0.25">
      <c r="A1091" s="41" t="s">
        <v>1558</v>
      </c>
      <c r="B1091" s="1">
        <v>1</v>
      </c>
      <c r="C1091" s="8">
        <v>46113</v>
      </c>
      <c r="D1091" s="1" t="s">
        <v>1559</v>
      </c>
      <c r="E1091" s="7" t="s">
        <v>2</v>
      </c>
      <c r="F1091" s="1" t="s">
        <v>26</v>
      </c>
      <c r="G1091" s="9" t="s">
        <v>35</v>
      </c>
      <c r="H1091" s="7">
        <v>214</v>
      </c>
      <c r="I1091" s="18">
        <v>15520000</v>
      </c>
      <c r="J1091" s="15">
        <v>160748.64000000001</v>
      </c>
      <c r="K1091" s="7" t="s">
        <v>12</v>
      </c>
      <c r="L1091" s="7" t="s">
        <v>53</v>
      </c>
      <c r="M1091" s="34">
        <v>46118</v>
      </c>
      <c r="N1091" s="7" t="s">
        <v>41</v>
      </c>
    </row>
    <row r="1092" spans="1:15" x14ac:dyDescent="0.25">
      <c r="A1092" s="41" t="s">
        <v>1560</v>
      </c>
      <c r="B1092" s="1">
        <v>2</v>
      </c>
      <c r="C1092" s="8">
        <v>46135</v>
      </c>
      <c r="D1092" s="1" t="s">
        <v>1561</v>
      </c>
      <c r="E1092" s="7" t="s">
        <v>19</v>
      </c>
      <c r="F1092" s="1" t="s">
        <v>26</v>
      </c>
      <c r="G1092" s="9" t="s">
        <v>35</v>
      </c>
      <c r="H1092" s="7">
        <v>103</v>
      </c>
      <c r="I1092" s="18">
        <v>15000000</v>
      </c>
      <c r="J1092" s="10">
        <v>1407.7</v>
      </c>
      <c r="K1092" s="7" t="s">
        <v>12</v>
      </c>
      <c r="L1092" s="7" t="s">
        <v>53</v>
      </c>
      <c r="M1092" s="34">
        <v>46139</v>
      </c>
      <c r="N1092" s="7" t="s">
        <v>774</v>
      </c>
      <c r="O1092" s="14"/>
    </row>
    <row r="1093" spans="1:15" x14ac:dyDescent="0.25">
      <c r="A1093" s="41" t="s">
        <v>1315</v>
      </c>
      <c r="B1093" s="1">
        <v>1</v>
      </c>
      <c r="C1093" s="8">
        <v>46113</v>
      </c>
      <c r="D1093" s="1" t="s">
        <v>1562</v>
      </c>
      <c r="E1093" s="7" t="s">
        <v>19</v>
      </c>
      <c r="F1093" s="1" t="s">
        <v>26</v>
      </c>
      <c r="G1093" s="9" t="s">
        <v>35</v>
      </c>
      <c r="H1093" s="7">
        <v>334</v>
      </c>
      <c r="I1093" s="18">
        <v>15000000</v>
      </c>
      <c r="J1093" s="10">
        <v>7501</v>
      </c>
      <c r="K1093" s="7" t="s">
        <v>12</v>
      </c>
      <c r="L1093" s="7" t="s">
        <v>53</v>
      </c>
      <c r="M1093" s="34">
        <v>46122</v>
      </c>
      <c r="N1093" s="7" t="s">
        <v>774</v>
      </c>
    </row>
    <row r="1094" spans="1:15" x14ac:dyDescent="0.25">
      <c r="A1094" s="41" t="s">
        <v>1564</v>
      </c>
      <c r="B1094" s="1">
        <v>1</v>
      </c>
      <c r="C1094" s="8">
        <v>46113</v>
      </c>
      <c r="D1094" s="1" t="s">
        <v>1563</v>
      </c>
      <c r="E1094" s="7" t="s">
        <v>83</v>
      </c>
      <c r="F1094" s="1" t="s">
        <v>26</v>
      </c>
      <c r="G1094" s="9" t="s">
        <v>35</v>
      </c>
      <c r="H1094" s="7" t="s">
        <v>74</v>
      </c>
      <c r="I1094" s="18" t="s">
        <v>0</v>
      </c>
      <c r="J1094" s="10">
        <v>928.45</v>
      </c>
      <c r="K1094" s="7" t="s">
        <v>12</v>
      </c>
      <c r="L1094" s="7" t="s">
        <v>53</v>
      </c>
      <c r="M1094" s="34">
        <v>46113</v>
      </c>
      <c r="N1094" s="7" t="s">
        <v>41</v>
      </c>
    </row>
    <row r="1095" spans="1:15" x14ac:dyDescent="0.25">
      <c r="A1095" s="41" t="s">
        <v>740</v>
      </c>
      <c r="B1095" s="1">
        <v>3</v>
      </c>
      <c r="C1095" s="8">
        <v>46125</v>
      </c>
      <c r="D1095" s="1" t="s">
        <v>1565</v>
      </c>
      <c r="E1095" s="7" t="s">
        <v>13</v>
      </c>
      <c r="F1095" s="1" t="s">
        <v>26</v>
      </c>
      <c r="G1095" s="9" t="s">
        <v>35</v>
      </c>
      <c r="H1095" s="7">
        <v>5188</v>
      </c>
      <c r="I1095" s="18">
        <v>15001002</v>
      </c>
      <c r="J1095" s="10">
        <v>2500</v>
      </c>
      <c r="K1095" s="7" t="s">
        <v>13</v>
      </c>
      <c r="L1095" s="7" t="s">
        <v>54</v>
      </c>
      <c r="M1095" s="34">
        <v>46128</v>
      </c>
      <c r="N1095" s="7" t="s">
        <v>774</v>
      </c>
    </row>
    <row r="1096" spans="1:15" x14ac:dyDescent="0.25">
      <c r="A1096" s="41" t="s">
        <v>1558</v>
      </c>
      <c r="B1096" s="1">
        <v>1</v>
      </c>
      <c r="C1096" s="8">
        <v>46113</v>
      </c>
      <c r="D1096" s="1" t="s">
        <v>1566</v>
      </c>
      <c r="E1096" s="7" t="s">
        <v>2</v>
      </c>
      <c r="F1096" s="1" t="s">
        <v>26</v>
      </c>
      <c r="G1096" s="9" t="s">
        <v>35</v>
      </c>
      <c r="H1096" s="7">
        <v>215</v>
      </c>
      <c r="I1096" s="18">
        <v>15500000</v>
      </c>
      <c r="J1096" s="10">
        <v>6813.65</v>
      </c>
      <c r="K1096" s="7" t="s">
        <v>12</v>
      </c>
      <c r="L1096" s="7" t="s">
        <v>53</v>
      </c>
      <c r="M1096" s="34">
        <v>46120</v>
      </c>
      <c r="N1096" s="7" t="s">
        <v>41</v>
      </c>
    </row>
    <row r="1097" spans="1:15" x14ac:dyDescent="0.25">
      <c r="A1097" s="41" t="s">
        <v>219</v>
      </c>
      <c r="B1097" s="1">
        <v>3</v>
      </c>
      <c r="C1097" s="8">
        <v>46121</v>
      </c>
      <c r="D1097" s="1" t="s">
        <v>1690</v>
      </c>
      <c r="E1097" s="7" t="s">
        <v>14</v>
      </c>
      <c r="F1097" s="1" t="s">
        <v>26</v>
      </c>
      <c r="G1097" s="9" t="s">
        <v>35</v>
      </c>
      <c r="H1097" s="7" t="s">
        <v>1653</v>
      </c>
      <c r="I1097" s="18">
        <v>15000000</v>
      </c>
      <c r="J1097" s="10">
        <v>485965.69</v>
      </c>
      <c r="K1097" s="7" t="s">
        <v>12</v>
      </c>
      <c r="L1097" s="7" t="s">
        <v>53</v>
      </c>
      <c r="M1097" s="34">
        <v>46121</v>
      </c>
      <c r="N1097" s="7" t="s">
        <v>41</v>
      </c>
      <c r="O1097" s="14" t="s">
        <v>1652</v>
      </c>
    </row>
    <row r="1098" spans="1:15" x14ac:dyDescent="0.25">
      <c r="A1098" s="41" t="s">
        <v>863</v>
      </c>
      <c r="B1098" s="1">
        <v>1</v>
      </c>
      <c r="C1098" s="8">
        <v>46118</v>
      </c>
      <c r="D1098" s="1" t="s">
        <v>1568</v>
      </c>
      <c r="E1098" s="7" t="s">
        <v>14</v>
      </c>
      <c r="F1098" s="1" t="s">
        <v>26</v>
      </c>
      <c r="G1098" s="9" t="s">
        <v>35</v>
      </c>
      <c r="H1098" s="7">
        <v>232</v>
      </c>
      <c r="I1098" s="18">
        <v>15000000</v>
      </c>
      <c r="J1098" s="10">
        <v>5000</v>
      </c>
      <c r="K1098" s="7" t="s">
        <v>12</v>
      </c>
      <c r="L1098" s="7" t="s">
        <v>53</v>
      </c>
      <c r="M1098" s="34">
        <v>46125</v>
      </c>
      <c r="N1098" s="7" t="s">
        <v>91</v>
      </c>
    </row>
    <row r="1099" spans="1:15" x14ac:dyDescent="0.25">
      <c r="A1099" s="41" t="s">
        <v>486</v>
      </c>
      <c r="B1099" s="1">
        <v>1</v>
      </c>
      <c r="C1099" s="8">
        <v>46118</v>
      </c>
      <c r="D1099" s="1" t="s">
        <v>1569</v>
      </c>
      <c r="E1099" s="7" t="s">
        <v>12</v>
      </c>
      <c r="F1099" s="1" t="s">
        <v>26</v>
      </c>
      <c r="G1099" s="9" t="s">
        <v>35</v>
      </c>
      <c r="H1099" s="7">
        <v>26556</v>
      </c>
      <c r="I1099" s="18">
        <v>15000000</v>
      </c>
      <c r="J1099" s="10">
        <v>20000</v>
      </c>
      <c r="K1099" s="7" t="s">
        <v>12</v>
      </c>
      <c r="L1099" s="7" t="s">
        <v>53</v>
      </c>
      <c r="M1099" s="34">
        <v>46125</v>
      </c>
      <c r="N1099" s="7" t="s">
        <v>91</v>
      </c>
    </row>
    <row r="1100" spans="1:15" x14ac:dyDescent="0.25">
      <c r="A1100" s="41" t="s">
        <v>1472</v>
      </c>
      <c r="B1100" s="1">
        <v>2</v>
      </c>
      <c r="C1100" s="8">
        <v>46118</v>
      </c>
      <c r="D1100" s="1" t="s">
        <v>1570</v>
      </c>
      <c r="E1100" s="7" t="s">
        <v>2</v>
      </c>
      <c r="F1100" s="1" t="s">
        <v>26</v>
      </c>
      <c r="G1100" s="9" t="s">
        <v>35</v>
      </c>
      <c r="H1100" s="7">
        <v>225840</v>
      </c>
      <c r="I1100" s="18">
        <v>15500000</v>
      </c>
      <c r="J1100" s="10">
        <v>28480.400000000001</v>
      </c>
      <c r="K1100" s="7" t="s">
        <v>12</v>
      </c>
      <c r="L1100" s="7" t="s">
        <v>53</v>
      </c>
      <c r="M1100" s="34">
        <v>46118</v>
      </c>
      <c r="N1100" s="7" t="s">
        <v>41</v>
      </c>
    </row>
    <row r="1101" spans="1:15" x14ac:dyDescent="0.25">
      <c r="A1101" s="41" t="s">
        <v>489</v>
      </c>
      <c r="B1101" s="1">
        <v>1</v>
      </c>
      <c r="C1101" s="8">
        <v>46118</v>
      </c>
      <c r="D1101" s="1" t="s">
        <v>1571</v>
      </c>
      <c r="E1101" s="7" t="s">
        <v>14</v>
      </c>
      <c r="F1101" s="1" t="s">
        <v>26</v>
      </c>
      <c r="G1101" s="9" t="s">
        <v>35</v>
      </c>
      <c r="H1101" s="7">
        <v>92390</v>
      </c>
      <c r="I1101" s="18">
        <v>15000000</v>
      </c>
      <c r="J1101" s="10">
        <v>1299.82</v>
      </c>
      <c r="K1101" s="7" t="s">
        <v>12</v>
      </c>
      <c r="L1101" s="7" t="s">
        <v>53</v>
      </c>
      <c r="M1101" s="34">
        <v>46125</v>
      </c>
      <c r="N1101" s="7" t="s">
        <v>91</v>
      </c>
    </row>
    <row r="1102" spans="1:15" x14ac:dyDescent="0.25">
      <c r="A1102" s="41" t="s">
        <v>371</v>
      </c>
      <c r="B1102" s="1">
        <v>2</v>
      </c>
      <c r="C1102" s="8">
        <v>46125</v>
      </c>
      <c r="D1102" s="1" t="s">
        <v>1572</v>
      </c>
      <c r="E1102" s="7" t="s">
        <v>14</v>
      </c>
      <c r="F1102" s="1" t="s">
        <v>26</v>
      </c>
      <c r="G1102" s="9" t="s">
        <v>35</v>
      </c>
      <c r="H1102" s="7" t="s">
        <v>74</v>
      </c>
      <c r="I1102" s="18">
        <v>15000000</v>
      </c>
      <c r="J1102" s="10">
        <v>2569.94</v>
      </c>
      <c r="K1102" s="7" t="s">
        <v>12</v>
      </c>
      <c r="L1102" s="7" t="s">
        <v>53</v>
      </c>
      <c r="M1102" s="34">
        <v>46128</v>
      </c>
      <c r="N1102" s="7" t="s">
        <v>92</v>
      </c>
    </row>
    <row r="1103" spans="1:15" x14ac:dyDescent="0.25">
      <c r="A1103" s="41" t="s">
        <v>227</v>
      </c>
      <c r="B1103" s="1">
        <v>1</v>
      </c>
      <c r="C1103" s="8">
        <v>46118</v>
      </c>
      <c r="D1103" s="1" t="s">
        <v>1573</v>
      </c>
      <c r="E1103" s="7" t="s">
        <v>14</v>
      </c>
      <c r="F1103" s="1" t="s">
        <v>26</v>
      </c>
      <c r="G1103" s="9" t="s">
        <v>35</v>
      </c>
      <c r="H1103" s="7">
        <v>778</v>
      </c>
      <c r="I1103" s="18">
        <v>15000000</v>
      </c>
      <c r="J1103" s="10">
        <v>12221.88</v>
      </c>
      <c r="K1103" s="7" t="s">
        <v>12</v>
      </c>
      <c r="L1103" s="7" t="s">
        <v>53</v>
      </c>
      <c r="M1103" s="34">
        <v>46128</v>
      </c>
      <c r="N1103" s="7" t="s">
        <v>92</v>
      </c>
    </row>
    <row r="1104" spans="1:15" x14ac:dyDescent="0.25">
      <c r="A1104" s="41" t="s">
        <v>1574</v>
      </c>
      <c r="B1104" s="1">
        <v>2</v>
      </c>
      <c r="C1104" s="8">
        <v>46120</v>
      </c>
      <c r="D1104" s="1" t="s">
        <v>1575</v>
      </c>
      <c r="E1104" s="7" t="s">
        <v>2</v>
      </c>
      <c r="F1104" s="1" t="s">
        <v>26</v>
      </c>
      <c r="G1104" s="9" t="s">
        <v>35</v>
      </c>
      <c r="H1104" s="7" t="s">
        <v>74</v>
      </c>
      <c r="I1104" s="18">
        <v>15001001</v>
      </c>
      <c r="J1104" s="10">
        <v>706451.76</v>
      </c>
      <c r="K1104" s="7" t="s">
        <v>12</v>
      </c>
      <c r="L1104" s="7" t="s">
        <v>53</v>
      </c>
      <c r="M1104" s="34">
        <v>46121</v>
      </c>
      <c r="N1104" s="7" t="s">
        <v>41</v>
      </c>
    </row>
    <row r="1105" spans="1:14" x14ac:dyDescent="0.25">
      <c r="A1105" s="41" t="s">
        <v>1578</v>
      </c>
      <c r="B1105" s="1">
        <v>1</v>
      </c>
      <c r="C1105" s="8">
        <v>46118</v>
      </c>
      <c r="D1105" s="1" t="s">
        <v>1576</v>
      </c>
      <c r="E1105" s="7" t="s">
        <v>12</v>
      </c>
      <c r="F1105" s="1" t="s">
        <v>26</v>
      </c>
      <c r="G1105" s="9" t="s">
        <v>37</v>
      </c>
      <c r="K1105" s="7" t="s">
        <v>22</v>
      </c>
      <c r="L1105" s="7" t="s">
        <v>40</v>
      </c>
      <c r="M1105" s="34">
        <v>46139</v>
      </c>
      <c r="N1105" s="7" t="s">
        <v>45</v>
      </c>
    </row>
    <row r="1106" spans="1:14" x14ac:dyDescent="0.25">
      <c r="A1106" s="41" t="s">
        <v>199</v>
      </c>
      <c r="B1106" s="1">
        <v>1</v>
      </c>
      <c r="C1106" s="8">
        <v>46118</v>
      </c>
      <c r="D1106" s="1" t="s">
        <v>1579</v>
      </c>
      <c r="E1106" s="7" t="s">
        <v>14</v>
      </c>
      <c r="F1106" s="1" t="s">
        <v>26</v>
      </c>
      <c r="G1106" s="9" t="s">
        <v>35</v>
      </c>
      <c r="H1106" s="7">
        <v>484</v>
      </c>
      <c r="I1106" s="18">
        <v>15001001</v>
      </c>
      <c r="J1106" s="10">
        <v>3000</v>
      </c>
      <c r="K1106" s="7" t="s">
        <v>12</v>
      </c>
      <c r="L1106" s="7" t="s">
        <v>53</v>
      </c>
      <c r="M1106" s="34">
        <v>46127</v>
      </c>
    </row>
    <row r="1107" spans="1:14" x14ac:dyDescent="0.25">
      <c r="A1107" s="41" t="s">
        <v>467</v>
      </c>
      <c r="B1107" s="1">
        <v>1</v>
      </c>
      <c r="C1107" s="8">
        <v>46118</v>
      </c>
      <c r="D1107" s="1" t="s">
        <v>1779</v>
      </c>
      <c r="E1107" s="7" t="s">
        <v>11</v>
      </c>
      <c r="F1107" s="1" t="s">
        <v>26</v>
      </c>
      <c r="G1107" s="9" t="s">
        <v>35</v>
      </c>
      <c r="H1107" s="7" t="s">
        <v>74</v>
      </c>
      <c r="I1107" s="18" t="s">
        <v>0</v>
      </c>
      <c r="J1107" s="10">
        <v>122950.7</v>
      </c>
      <c r="K1107" s="7" t="s">
        <v>11</v>
      </c>
      <c r="L1107" s="7" t="s">
        <v>40</v>
      </c>
      <c r="M1107" s="34">
        <v>46125</v>
      </c>
      <c r="N1107" s="7" t="s">
        <v>62</v>
      </c>
    </row>
    <row r="1108" spans="1:14" x14ac:dyDescent="0.25">
      <c r="A1108" s="41" t="s">
        <v>467</v>
      </c>
      <c r="B1108" s="1">
        <v>1</v>
      </c>
      <c r="C1108" s="8">
        <v>46119</v>
      </c>
      <c r="D1108" s="1" t="s">
        <v>1580</v>
      </c>
      <c r="E1108" s="7" t="s">
        <v>11</v>
      </c>
      <c r="F1108" s="1" t="s">
        <v>26</v>
      </c>
      <c r="G1108" s="9" t="s">
        <v>35</v>
      </c>
      <c r="H1108" s="7">
        <v>1269</v>
      </c>
      <c r="I1108" s="18">
        <v>15000000</v>
      </c>
      <c r="J1108" s="10">
        <v>27870</v>
      </c>
      <c r="K1108" s="7" t="s">
        <v>11</v>
      </c>
      <c r="L1108" s="7" t="s">
        <v>40</v>
      </c>
      <c r="M1108" s="34">
        <v>46125</v>
      </c>
      <c r="N1108" s="7" t="s">
        <v>62</v>
      </c>
    </row>
    <row r="1109" spans="1:14" x14ac:dyDescent="0.25">
      <c r="A1109" s="41" t="s">
        <v>210</v>
      </c>
      <c r="B1109" s="1">
        <v>2</v>
      </c>
      <c r="C1109" s="8">
        <v>46121</v>
      </c>
      <c r="D1109" s="1" t="s">
        <v>1581</v>
      </c>
      <c r="E1109" s="7" t="s">
        <v>14</v>
      </c>
      <c r="F1109" s="1" t="s">
        <v>26</v>
      </c>
      <c r="G1109" s="9" t="s">
        <v>35</v>
      </c>
      <c r="H1109" s="7" t="s">
        <v>74</v>
      </c>
      <c r="I1109" s="18">
        <v>15000000</v>
      </c>
      <c r="J1109" s="10">
        <v>1364.96</v>
      </c>
      <c r="K1109" s="7" t="s">
        <v>12</v>
      </c>
      <c r="L1109" s="7" t="s">
        <v>53</v>
      </c>
      <c r="M1109" s="34">
        <v>46121</v>
      </c>
      <c r="N1109" s="7" t="s">
        <v>52</v>
      </c>
    </row>
    <row r="1110" spans="1:14" x14ac:dyDescent="0.25">
      <c r="A1110" s="41" t="s">
        <v>2167</v>
      </c>
      <c r="B1110" s="1">
        <v>1</v>
      </c>
      <c r="C1110" s="8">
        <v>46119</v>
      </c>
      <c r="D1110" s="1" t="s">
        <v>1582</v>
      </c>
      <c r="E1110" s="7" t="s">
        <v>14</v>
      </c>
      <c r="F1110" s="1" t="s">
        <v>26</v>
      </c>
      <c r="G1110" s="9" t="s">
        <v>35</v>
      </c>
      <c r="H1110" s="7">
        <v>119</v>
      </c>
      <c r="I1110" s="18">
        <v>15000000</v>
      </c>
      <c r="J1110" s="10">
        <v>13012.85</v>
      </c>
      <c r="K1110" s="7" t="s">
        <v>12</v>
      </c>
      <c r="L1110" s="7" t="s">
        <v>53</v>
      </c>
      <c r="M1110" s="34">
        <v>46122</v>
      </c>
      <c r="N1110" s="7" t="s">
        <v>92</v>
      </c>
    </row>
    <row r="1111" spans="1:14" x14ac:dyDescent="0.25">
      <c r="A1111" s="41" t="s">
        <v>477</v>
      </c>
      <c r="B1111" s="1">
        <v>2</v>
      </c>
      <c r="C1111" s="8">
        <v>46126</v>
      </c>
      <c r="D1111" s="1" t="s">
        <v>1583</v>
      </c>
      <c r="E1111" s="7" t="s">
        <v>11</v>
      </c>
      <c r="F1111" s="1" t="s">
        <v>26</v>
      </c>
      <c r="G1111" s="9" t="s">
        <v>35</v>
      </c>
      <c r="H1111" s="7">
        <v>212</v>
      </c>
      <c r="I1111" s="18">
        <v>15000000</v>
      </c>
      <c r="J1111" s="10">
        <v>14603.33</v>
      </c>
      <c r="K1111" s="7" t="s">
        <v>12</v>
      </c>
      <c r="L1111" s="7" t="s">
        <v>53</v>
      </c>
      <c r="M1111" s="34">
        <v>46126</v>
      </c>
      <c r="N1111" s="7" t="s">
        <v>41</v>
      </c>
    </row>
    <row r="1112" spans="1:14" x14ac:dyDescent="0.25">
      <c r="A1112" s="41" t="s">
        <v>477</v>
      </c>
      <c r="B1112" s="1">
        <v>2</v>
      </c>
      <c r="C1112" s="8">
        <v>46126</v>
      </c>
      <c r="D1112" s="1" t="s">
        <v>1584</v>
      </c>
      <c r="E1112" s="7" t="s">
        <v>11</v>
      </c>
      <c r="F1112" s="1" t="s">
        <v>26</v>
      </c>
      <c r="G1112" s="9" t="s">
        <v>35</v>
      </c>
      <c r="H1112" s="7">
        <v>210</v>
      </c>
      <c r="I1112" s="18">
        <v>15000000</v>
      </c>
      <c r="J1112" s="10">
        <v>60700</v>
      </c>
      <c r="K1112" s="7" t="s">
        <v>12</v>
      </c>
      <c r="L1112" s="7" t="s">
        <v>53</v>
      </c>
      <c r="M1112" s="34">
        <v>46126</v>
      </c>
      <c r="N1112" s="7" t="s">
        <v>41</v>
      </c>
    </row>
    <row r="1113" spans="1:14" x14ac:dyDescent="0.25">
      <c r="A1113" s="41" t="s">
        <v>205</v>
      </c>
      <c r="B1113" s="1">
        <v>1</v>
      </c>
      <c r="C1113" s="8">
        <v>46119</v>
      </c>
      <c r="D1113" s="1" t="s">
        <v>1585</v>
      </c>
      <c r="E1113" s="7" t="s">
        <v>13</v>
      </c>
      <c r="F1113" s="1" t="s">
        <v>26</v>
      </c>
      <c r="G1113" s="9" t="s">
        <v>35</v>
      </c>
      <c r="H1113" s="7">
        <v>36791</v>
      </c>
      <c r="I1113" s="18">
        <v>15001002</v>
      </c>
      <c r="J1113" s="10">
        <v>16064.08</v>
      </c>
      <c r="K1113" s="7" t="s">
        <v>13</v>
      </c>
      <c r="L1113" s="7" t="s">
        <v>54</v>
      </c>
      <c r="M1113" s="34">
        <v>46125</v>
      </c>
      <c r="N1113" s="7" t="s">
        <v>46</v>
      </c>
    </row>
    <row r="1114" spans="1:14" x14ac:dyDescent="0.25">
      <c r="A1114" s="41" t="s">
        <v>476</v>
      </c>
      <c r="B1114" s="1">
        <v>1</v>
      </c>
      <c r="C1114" s="8">
        <v>46119</v>
      </c>
      <c r="D1114" s="1" t="s">
        <v>1586</v>
      </c>
      <c r="E1114" s="7" t="s">
        <v>11</v>
      </c>
      <c r="F1114" s="1" t="s">
        <v>26</v>
      </c>
      <c r="G1114" s="9" t="s">
        <v>35</v>
      </c>
      <c r="H1114" s="7">
        <v>497</v>
      </c>
      <c r="I1114" s="18">
        <v>15000000</v>
      </c>
      <c r="J1114" s="10">
        <v>35000</v>
      </c>
      <c r="K1114" s="7" t="s">
        <v>12</v>
      </c>
      <c r="L1114" s="7" t="s">
        <v>53</v>
      </c>
      <c r="M1114" s="34">
        <v>46125</v>
      </c>
      <c r="N1114" s="7" t="s">
        <v>91</v>
      </c>
    </row>
    <row r="1115" spans="1:14" x14ac:dyDescent="0.25">
      <c r="A1115" s="41" t="s">
        <v>1181</v>
      </c>
      <c r="B1115" s="1">
        <v>1</v>
      </c>
      <c r="C1115" s="8">
        <v>46119</v>
      </c>
      <c r="D1115" s="1" t="s">
        <v>1587</v>
      </c>
      <c r="E1115" s="7" t="s">
        <v>82</v>
      </c>
      <c r="F1115" s="1" t="s">
        <v>26</v>
      </c>
      <c r="G1115" s="9" t="s">
        <v>35</v>
      </c>
      <c r="H1115" s="7">
        <v>170</v>
      </c>
      <c r="I1115" s="18">
        <v>15000000</v>
      </c>
      <c r="J1115" s="10">
        <v>252215.44</v>
      </c>
      <c r="K1115" s="7" t="s">
        <v>12</v>
      </c>
      <c r="L1115" s="7" t="s">
        <v>53</v>
      </c>
      <c r="M1115" s="34">
        <v>46122</v>
      </c>
      <c r="N1115" s="7" t="s">
        <v>62</v>
      </c>
    </row>
    <row r="1116" spans="1:14" x14ac:dyDescent="0.25">
      <c r="A1116" s="41" t="s">
        <v>1112</v>
      </c>
      <c r="B1116" s="1">
        <v>1</v>
      </c>
      <c r="C1116" s="8">
        <v>46119</v>
      </c>
      <c r="D1116" s="1" t="s">
        <v>1588</v>
      </c>
      <c r="E1116" s="7" t="s">
        <v>20</v>
      </c>
      <c r="F1116" s="1" t="s">
        <v>26</v>
      </c>
      <c r="G1116" s="9" t="s">
        <v>35</v>
      </c>
      <c r="H1116" s="7">
        <v>2824</v>
      </c>
      <c r="I1116" s="18">
        <v>17040000</v>
      </c>
      <c r="J1116" s="10">
        <v>514818.38</v>
      </c>
      <c r="K1116" s="7" t="s">
        <v>12</v>
      </c>
      <c r="L1116" s="7" t="s">
        <v>53</v>
      </c>
      <c r="M1116" s="34">
        <v>46121</v>
      </c>
      <c r="N1116" s="7" t="s">
        <v>62</v>
      </c>
    </row>
    <row r="1117" spans="1:14" x14ac:dyDescent="0.25">
      <c r="A1117" s="41" t="s">
        <v>687</v>
      </c>
      <c r="B1117" s="1">
        <v>1</v>
      </c>
      <c r="C1117" s="8">
        <v>46119</v>
      </c>
      <c r="D1117" s="1" t="s">
        <v>1589</v>
      </c>
      <c r="E1117" s="7" t="s">
        <v>13</v>
      </c>
      <c r="F1117" s="1" t="s">
        <v>26</v>
      </c>
      <c r="G1117" s="9" t="s">
        <v>35</v>
      </c>
      <c r="H1117" s="7">
        <v>2801</v>
      </c>
      <c r="I1117" s="18">
        <v>15001002</v>
      </c>
      <c r="J1117" s="10">
        <v>7080</v>
      </c>
      <c r="K1117" s="7" t="s">
        <v>13</v>
      </c>
      <c r="L1117" s="7" t="s">
        <v>54</v>
      </c>
      <c r="M1117" s="34">
        <v>46121</v>
      </c>
      <c r="N1117" s="7" t="s">
        <v>91</v>
      </c>
    </row>
    <row r="1118" spans="1:14" x14ac:dyDescent="0.25">
      <c r="A1118" s="41" t="s">
        <v>154</v>
      </c>
      <c r="B1118" s="1">
        <v>1</v>
      </c>
      <c r="C1118" s="8">
        <v>46119</v>
      </c>
      <c r="D1118" s="1" t="s">
        <v>1590</v>
      </c>
      <c r="E1118" s="7" t="s">
        <v>13</v>
      </c>
      <c r="F1118" s="1" t="s">
        <v>26</v>
      </c>
      <c r="G1118" s="9" t="s">
        <v>35</v>
      </c>
      <c r="H1118" s="7">
        <v>125</v>
      </c>
      <c r="I1118" s="18">
        <v>15001002</v>
      </c>
      <c r="J1118" s="10">
        <v>14500</v>
      </c>
      <c r="K1118" s="7" t="s">
        <v>13</v>
      </c>
      <c r="L1118" s="7" t="s">
        <v>54</v>
      </c>
      <c r="M1118" s="34">
        <v>46121</v>
      </c>
      <c r="N1118" s="7" t="s">
        <v>41</v>
      </c>
    </row>
    <row r="1119" spans="1:14" x14ac:dyDescent="0.25">
      <c r="A1119" s="41" t="s">
        <v>217</v>
      </c>
      <c r="B1119" s="1">
        <v>1</v>
      </c>
      <c r="C1119" s="8">
        <v>46119</v>
      </c>
      <c r="D1119" s="1" t="s">
        <v>1591</v>
      </c>
      <c r="E1119" s="7" t="s">
        <v>13</v>
      </c>
      <c r="F1119" s="1" t="s">
        <v>26</v>
      </c>
      <c r="G1119" s="9" t="s">
        <v>35</v>
      </c>
      <c r="H1119" s="7">
        <v>172</v>
      </c>
      <c r="I1119" s="18">
        <v>15001002</v>
      </c>
      <c r="J1119" s="10">
        <v>47580</v>
      </c>
      <c r="K1119" s="7" t="s">
        <v>13</v>
      </c>
      <c r="L1119" s="7" t="s">
        <v>54</v>
      </c>
      <c r="M1119" s="34">
        <v>46125</v>
      </c>
      <c r="N1119" s="7" t="s">
        <v>774</v>
      </c>
    </row>
    <row r="1120" spans="1:14" x14ac:dyDescent="0.25">
      <c r="A1120" s="41" t="s">
        <v>166</v>
      </c>
      <c r="B1120" s="1">
        <v>1</v>
      </c>
      <c r="C1120" s="8">
        <v>46119</v>
      </c>
      <c r="D1120" s="1" t="s">
        <v>1592</v>
      </c>
      <c r="E1120" s="7" t="s">
        <v>13</v>
      </c>
      <c r="F1120" s="1" t="s">
        <v>26</v>
      </c>
      <c r="G1120" s="9" t="s">
        <v>35</v>
      </c>
      <c r="H1120" s="7">
        <v>30</v>
      </c>
      <c r="I1120" s="18">
        <v>15001002</v>
      </c>
      <c r="J1120" s="10">
        <v>30500</v>
      </c>
      <c r="K1120" s="7" t="s">
        <v>13</v>
      </c>
      <c r="L1120" s="7" t="s">
        <v>54</v>
      </c>
      <c r="M1120" s="34">
        <v>46125</v>
      </c>
      <c r="N1120" s="7" t="s">
        <v>774</v>
      </c>
    </row>
    <row r="1121" spans="1:14" x14ac:dyDescent="0.25">
      <c r="A1121" s="41" t="s">
        <v>169</v>
      </c>
      <c r="B1121" s="1">
        <v>1</v>
      </c>
      <c r="C1121" s="8">
        <v>46119</v>
      </c>
      <c r="D1121" s="1" t="s">
        <v>1593</v>
      </c>
      <c r="E1121" s="7" t="s">
        <v>13</v>
      </c>
      <c r="F1121" s="1" t="s">
        <v>26</v>
      </c>
      <c r="G1121" s="9" t="s">
        <v>35</v>
      </c>
      <c r="H1121" s="7">
        <v>296</v>
      </c>
      <c r="I1121" s="18">
        <v>15001002</v>
      </c>
      <c r="J1121" s="10">
        <v>14500</v>
      </c>
      <c r="K1121" s="7" t="s">
        <v>13</v>
      </c>
      <c r="L1121" s="7" t="s">
        <v>54</v>
      </c>
      <c r="M1121" s="34">
        <v>46121</v>
      </c>
      <c r="N1121" s="7" t="s">
        <v>41</v>
      </c>
    </row>
    <row r="1122" spans="1:14" x14ac:dyDescent="0.25">
      <c r="A1122" s="41" t="s">
        <v>1431</v>
      </c>
      <c r="B1122" s="1">
        <v>1</v>
      </c>
      <c r="C1122" s="8">
        <v>46119</v>
      </c>
      <c r="D1122" s="1" t="s">
        <v>1594</v>
      </c>
      <c r="E1122" s="7" t="s">
        <v>13</v>
      </c>
      <c r="F1122" s="1" t="s">
        <v>26</v>
      </c>
      <c r="G1122" s="9" t="s">
        <v>35</v>
      </c>
      <c r="H1122" s="7">
        <v>93</v>
      </c>
      <c r="I1122" s="18">
        <v>15001002</v>
      </c>
      <c r="J1122" s="10">
        <v>6100</v>
      </c>
      <c r="K1122" s="7" t="s">
        <v>13</v>
      </c>
      <c r="L1122" s="7" t="s">
        <v>54</v>
      </c>
      <c r="M1122" s="34">
        <v>46121</v>
      </c>
      <c r="N1122" s="7" t="s">
        <v>41</v>
      </c>
    </row>
    <row r="1123" spans="1:14" x14ac:dyDescent="0.25">
      <c r="A1123" s="41" t="s">
        <v>787</v>
      </c>
      <c r="B1123" s="1">
        <v>1</v>
      </c>
      <c r="C1123" s="8">
        <v>46119</v>
      </c>
      <c r="D1123" s="1" t="s">
        <v>1595</v>
      </c>
      <c r="E1123" s="7" t="s">
        <v>2</v>
      </c>
      <c r="F1123" s="1" t="s">
        <v>26</v>
      </c>
      <c r="G1123" s="9" t="s">
        <v>35</v>
      </c>
      <c r="H1123" s="7" t="s">
        <v>74</v>
      </c>
      <c r="I1123" s="18">
        <v>15001001</v>
      </c>
      <c r="J1123" s="10">
        <v>31746.23</v>
      </c>
      <c r="K1123" s="7" t="s">
        <v>12</v>
      </c>
      <c r="L1123" s="7" t="s">
        <v>53</v>
      </c>
      <c r="M1123" s="34">
        <v>46125</v>
      </c>
      <c r="N1123" s="7" t="s">
        <v>46</v>
      </c>
    </row>
    <row r="1124" spans="1:14" x14ac:dyDescent="0.25">
      <c r="A1124" s="41" t="s">
        <v>1597</v>
      </c>
      <c r="B1124" s="1">
        <v>1</v>
      </c>
      <c r="C1124" s="8">
        <v>46119</v>
      </c>
      <c r="D1124" s="1" t="s">
        <v>1596</v>
      </c>
      <c r="E1124" s="7" t="s">
        <v>13</v>
      </c>
      <c r="F1124" s="1" t="s">
        <v>26</v>
      </c>
      <c r="G1124" s="9" t="s">
        <v>35</v>
      </c>
      <c r="H1124" s="7">
        <v>2682</v>
      </c>
      <c r="I1124" s="18">
        <v>15001002</v>
      </c>
      <c r="J1124" s="10">
        <v>31900</v>
      </c>
      <c r="K1124" s="7" t="s">
        <v>13</v>
      </c>
      <c r="L1124" s="7" t="s">
        <v>54</v>
      </c>
      <c r="M1124" s="34">
        <v>46121</v>
      </c>
      <c r="N1124" s="7" t="s">
        <v>41</v>
      </c>
    </row>
    <row r="1125" spans="1:14" x14ac:dyDescent="0.25">
      <c r="A1125" s="41" t="s">
        <v>151</v>
      </c>
      <c r="B1125" s="1">
        <v>1</v>
      </c>
      <c r="C1125" s="8">
        <v>46119</v>
      </c>
      <c r="D1125" s="1" t="s">
        <v>1598</v>
      </c>
      <c r="E1125" s="7" t="s">
        <v>13</v>
      </c>
      <c r="F1125" s="1" t="s">
        <v>26</v>
      </c>
      <c r="G1125" s="9" t="s">
        <v>35</v>
      </c>
      <c r="H1125" s="7">
        <v>227</v>
      </c>
      <c r="I1125" s="18">
        <v>15001002</v>
      </c>
      <c r="J1125" s="10">
        <v>5800</v>
      </c>
      <c r="K1125" s="7" t="s">
        <v>13</v>
      </c>
      <c r="L1125" s="7" t="s">
        <v>54</v>
      </c>
      <c r="M1125" s="34">
        <v>46121</v>
      </c>
      <c r="N1125" s="7" t="s">
        <v>41</v>
      </c>
    </row>
    <row r="1126" spans="1:14" x14ac:dyDescent="0.25">
      <c r="A1126" s="41" t="s">
        <v>1600</v>
      </c>
      <c r="B1126" s="1">
        <v>1</v>
      </c>
      <c r="C1126" s="8">
        <v>46119</v>
      </c>
      <c r="D1126" s="1" t="s">
        <v>1599</v>
      </c>
      <c r="E1126" s="7" t="s">
        <v>2</v>
      </c>
      <c r="F1126" s="1" t="s">
        <v>26</v>
      </c>
      <c r="G1126" s="9" t="s">
        <v>35</v>
      </c>
      <c r="H1126" s="7">
        <v>3</v>
      </c>
      <c r="I1126" s="18">
        <v>15520000</v>
      </c>
      <c r="J1126" s="10">
        <v>37549.81</v>
      </c>
      <c r="K1126" s="7" t="s">
        <v>12</v>
      </c>
      <c r="L1126" s="7" t="s">
        <v>53</v>
      </c>
      <c r="M1126" s="34">
        <v>46125</v>
      </c>
      <c r="N1126" s="7" t="s">
        <v>41</v>
      </c>
    </row>
    <row r="1127" spans="1:14" x14ac:dyDescent="0.25">
      <c r="A1127" s="41" t="s">
        <v>758</v>
      </c>
      <c r="B1127" s="1">
        <v>1</v>
      </c>
      <c r="C1127" s="8">
        <v>46119</v>
      </c>
      <c r="D1127" s="1" t="s">
        <v>1601</v>
      </c>
      <c r="E1127" s="7" t="s">
        <v>14</v>
      </c>
      <c r="F1127" s="1" t="s">
        <v>26</v>
      </c>
      <c r="G1127" s="9" t="s">
        <v>35</v>
      </c>
      <c r="H1127" s="7" t="s">
        <v>74</v>
      </c>
      <c r="I1127" s="18">
        <v>15000000</v>
      </c>
      <c r="J1127" s="10">
        <v>987.16</v>
      </c>
      <c r="K1127" s="7" t="s">
        <v>12</v>
      </c>
      <c r="L1127" s="7" t="s">
        <v>53</v>
      </c>
      <c r="M1127" s="34">
        <v>46125</v>
      </c>
      <c r="N1127" s="7" t="s">
        <v>46</v>
      </c>
    </row>
    <row r="1128" spans="1:14" x14ac:dyDescent="0.25">
      <c r="A1128" s="41" t="s">
        <v>139</v>
      </c>
      <c r="B1128" s="1">
        <v>1</v>
      </c>
      <c r="C1128" s="8">
        <v>46119</v>
      </c>
      <c r="D1128" s="1" t="s">
        <v>1602</v>
      </c>
      <c r="E1128" s="7" t="s">
        <v>13</v>
      </c>
      <c r="F1128" s="1" t="s">
        <v>26</v>
      </c>
      <c r="G1128" s="9" t="s">
        <v>35</v>
      </c>
      <c r="H1128" s="7">
        <v>3459</v>
      </c>
      <c r="I1128" s="18">
        <v>15001002</v>
      </c>
      <c r="J1128" s="10">
        <v>11600</v>
      </c>
      <c r="K1128" s="7" t="s">
        <v>13</v>
      </c>
      <c r="L1128" s="7" t="s">
        <v>54</v>
      </c>
      <c r="M1128" s="34">
        <v>46126</v>
      </c>
      <c r="N1128" s="7" t="s">
        <v>774</v>
      </c>
    </row>
    <row r="1129" spans="1:14" x14ac:dyDescent="0.25">
      <c r="A1129" s="41" t="s">
        <v>1604</v>
      </c>
      <c r="B1129" s="1">
        <v>2</v>
      </c>
      <c r="C1129" s="8" t="s">
        <v>1705</v>
      </c>
      <c r="D1129" s="1" t="s">
        <v>1603</v>
      </c>
      <c r="E1129" s="7" t="s">
        <v>13</v>
      </c>
      <c r="F1129" s="1" t="s">
        <v>26</v>
      </c>
      <c r="G1129" s="9" t="s">
        <v>35</v>
      </c>
      <c r="H1129" s="7" t="s">
        <v>74</v>
      </c>
      <c r="I1129" s="18">
        <v>15001002</v>
      </c>
      <c r="J1129" s="10">
        <v>25620</v>
      </c>
      <c r="K1129" s="7" t="s">
        <v>13</v>
      </c>
      <c r="L1129" s="7" t="s">
        <v>54</v>
      </c>
      <c r="M1129" s="34">
        <v>46121</v>
      </c>
      <c r="N1129" s="7" t="s">
        <v>91</v>
      </c>
    </row>
    <row r="1130" spans="1:14" x14ac:dyDescent="0.25">
      <c r="A1130" s="41" t="s">
        <v>701</v>
      </c>
      <c r="B1130" s="1">
        <v>1</v>
      </c>
      <c r="C1130" s="8">
        <v>46119</v>
      </c>
      <c r="D1130" s="1" t="s">
        <v>1605</v>
      </c>
      <c r="E1130" s="7" t="s">
        <v>13</v>
      </c>
      <c r="F1130" s="1" t="s">
        <v>26</v>
      </c>
      <c r="G1130" s="9" t="s">
        <v>35</v>
      </c>
      <c r="H1130" s="7">
        <v>42</v>
      </c>
      <c r="I1130" s="18">
        <v>15001002</v>
      </c>
      <c r="J1130" s="10">
        <v>16520</v>
      </c>
      <c r="K1130" s="7" t="s">
        <v>13</v>
      </c>
      <c r="L1130" s="7" t="s">
        <v>54</v>
      </c>
      <c r="M1130" s="34">
        <v>46121</v>
      </c>
      <c r="N1130" s="7" t="s">
        <v>91</v>
      </c>
    </row>
    <row r="1131" spans="1:14" x14ac:dyDescent="0.25">
      <c r="A1131" s="41" t="s">
        <v>136</v>
      </c>
      <c r="B1131" s="1">
        <v>1</v>
      </c>
      <c r="C1131" s="8">
        <v>46119</v>
      </c>
      <c r="D1131" s="1" t="s">
        <v>1606</v>
      </c>
      <c r="E1131" s="7" t="s">
        <v>13</v>
      </c>
      <c r="F1131" s="1" t="s">
        <v>26</v>
      </c>
      <c r="G1131" s="9" t="s">
        <v>35</v>
      </c>
      <c r="H1131" s="7">
        <v>235</v>
      </c>
      <c r="I1131" s="18">
        <v>15001002</v>
      </c>
      <c r="J1131" s="10">
        <v>2440</v>
      </c>
      <c r="K1131" s="7" t="s">
        <v>13</v>
      </c>
      <c r="L1131" s="7" t="s">
        <v>54</v>
      </c>
      <c r="M1131" s="34">
        <v>46125</v>
      </c>
      <c r="N1131" s="7" t="s">
        <v>774</v>
      </c>
    </row>
    <row r="1132" spans="1:14" x14ac:dyDescent="0.25">
      <c r="A1132" s="41" t="s">
        <v>153</v>
      </c>
      <c r="B1132" s="1">
        <v>1</v>
      </c>
      <c r="C1132" s="8">
        <v>46119</v>
      </c>
      <c r="D1132" s="1" t="s">
        <v>1607</v>
      </c>
      <c r="E1132" s="7" t="s">
        <v>13</v>
      </c>
      <c r="F1132" s="1" t="s">
        <v>26</v>
      </c>
      <c r="G1132" s="9" t="s">
        <v>35</v>
      </c>
      <c r="H1132" s="7">
        <v>220</v>
      </c>
      <c r="I1132" s="18">
        <v>15001002</v>
      </c>
      <c r="J1132" s="10">
        <v>4720</v>
      </c>
      <c r="K1132" s="7" t="s">
        <v>13</v>
      </c>
      <c r="L1132" s="7" t="s">
        <v>54</v>
      </c>
      <c r="M1132" s="34">
        <v>46125</v>
      </c>
      <c r="N1132" s="7" t="s">
        <v>774</v>
      </c>
    </row>
    <row r="1133" spans="1:14" x14ac:dyDescent="0.25">
      <c r="A1133" s="41" t="s">
        <v>691</v>
      </c>
      <c r="B1133" s="1">
        <v>1</v>
      </c>
      <c r="C1133" s="8">
        <v>46119</v>
      </c>
      <c r="D1133" s="1" t="s">
        <v>1608</v>
      </c>
      <c r="E1133" s="7" t="s">
        <v>13</v>
      </c>
      <c r="F1133" s="1" t="s">
        <v>26</v>
      </c>
      <c r="G1133" s="9" t="s">
        <v>35</v>
      </c>
      <c r="H1133" s="7">
        <v>3</v>
      </c>
      <c r="I1133" s="18">
        <v>15001002</v>
      </c>
      <c r="J1133" s="10">
        <v>17400</v>
      </c>
      <c r="K1133" s="7" t="s">
        <v>13</v>
      </c>
      <c r="L1133" s="7" t="s">
        <v>54</v>
      </c>
      <c r="M1133" s="34">
        <v>46121</v>
      </c>
      <c r="N1133" s="7" t="s">
        <v>91</v>
      </c>
    </row>
    <row r="1134" spans="1:14" x14ac:dyDescent="0.25">
      <c r="A1134" s="41" t="s">
        <v>181</v>
      </c>
      <c r="B1134" s="1">
        <v>1</v>
      </c>
      <c r="C1134" s="8">
        <v>46119</v>
      </c>
      <c r="D1134" s="1" t="s">
        <v>1609</v>
      </c>
      <c r="E1134" s="7" t="s">
        <v>82</v>
      </c>
      <c r="F1134" s="1" t="s">
        <v>26</v>
      </c>
      <c r="G1134" s="9" t="s">
        <v>35</v>
      </c>
      <c r="H1134" s="7">
        <v>950395240</v>
      </c>
      <c r="I1134" s="18">
        <v>15000000</v>
      </c>
      <c r="J1134" s="10">
        <v>1340.75</v>
      </c>
      <c r="K1134" s="7" t="s">
        <v>12</v>
      </c>
      <c r="L1134" s="7" t="s">
        <v>53</v>
      </c>
      <c r="M1134" s="34">
        <v>46128</v>
      </c>
      <c r="N1134" s="7" t="s">
        <v>92</v>
      </c>
    </row>
    <row r="1135" spans="1:14" x14ac:dyDescent="0.25">
      <c r="A1135" s="41" t="s">
        <v>181</v>
      </c>
      <c r="B1135" s="1">
        <v>1</v>
      </c>
      <c r="C1135" s="8">
        <v>46119</v>
      </c>
      <c r="D1135" s="1" t="s">
        <v>1610</v>
      </c>
      <c r="E1135" s="7" t="s">
        <v>14</v>
      </c>
      <c r="F1135" s="1" t="s">
        <v>26</v>
      </c>
      <c r="G1135" s="9" t="s">
        <v>35</v>
      </c>
      <c r="H1135" s="7">
        <v>950395226</v>
      </c>
      <c r="I1135" s="18">
        <v>15000000</v>
      </c>
      <c r="J1135" s="10">
        <v>47698.25</v>
      </c>
      <c r="K1135" s="7" t="s">
        <v>12</v>
      </c>
      <c r="L1135" s="7" t="s">
        <v>53</v>
      </c>
      <c r="M1135" s="34">
        <v>46121</v>
      </c>
      <c r="N1135" s="7" t="s">
        <v>52</v>
      </c>
    </row>
    <row r="1136" spans="1:14" x14ac:dyDescent="0.25">
      <c r="A1136" s="41" t="s">
        <v>428</v>
      </c>
      <c r="B1136" s="1">
        <v>1</v>
      </c>
      <c r="C1136" s="8">
        <v>46119</v>
      </c>
      <c r="D1136" s="1" t="s">
        <v>1611</v>
      </c>
      <c r="E1136" s="7" t="s">
        <v>16</v>
      </c>
      <c r="F1136" s="1" t="s">
        <v>26</v>
      </c>
      <c r="G1136" s="9" t="s">
        <v>35</v>
      </c>
      <c r="H1136" s="7">
        <v>244662</v>
      </c>
      <c r="I1136" s="18">
        <v>15000000</v>
      </c>
      <c r="J1136" s="10">
        <v>964.18</v>
      </c>
      <c r="K1136" s="7" t="s">
        <v>12</v>
      </c>
      <c r="L1136" s="7" t="s">
        <v>53</v>
      </c>
      <c r="M1136" s="34">
        <v>46126</v>
      </c>
      <c r="N1136" s="7" t="s">
        <v>46</v>
      </c>
    </row>
    <row r="1137" spans="1:15" x14ac:dyDescent="0.25">
      <c r="A1137" s="41" t="s">
        <v>141</v>
      </c>
      <c r="B1137" s="1">
        <v>1</v>
      </c>
      <c r="C1137" s="8">
        <v>46119</v>
      </c>
      <c r="D1137" s="1" t="s">
        <v>1612</v>
      </c>
      <c r="E1137" s="7" t="s">
        <v>13</v>
      </c>
      <c r="F1137" s="1" t="s">
        <v>26</v>
      </c>
      <c r="G1137" s="9" t="s">
        <v>35</v>
      </c>
      <c r="H1137" s="7">
        <v>1696</v>
      </c>
      <c r="I1137" s="18">
        <v>15001002</v>
      </c>
      <c r="J1137" s="10">
        <v>11800</v>
      </c>
      <c r="K1137" s="7" t="s">
        <v>13</v>
      </c>
      <c r="L1137" s="7" t="s">
        <v>54</v>
      </c>
      <c r="M1137" s="34">
        <v>46125</v>
      </c>
      <c r="N1137" s="7" t="s">
        <v>774</v>
      </c>
    </row>
    <row r="1138" spans="1:15" x14ac:dyDescent="0.25">
      <c r="A1138" s="41" t="s">
        <v>181</v>
      </c>
      <c r="B1138" s="1">
        <v>1</v>
      </c>
      <c r="C1138" s="8">
        <v>46119</v>
      </c>
      <c r="D1138" s="1" t="s">
        <v>1613</v>
      </c>
      <c r="E1138" s="7" t="s">
        <v>83</v>
      </c>
      <c r="F1138" s="1" t="s">
        <v>26</v>
      </c>
      <c r="G1138" s="9" t="s">
        <v>35</v>
      </c>
      <c r="H1138" s="7">
        <v>950395199</v>
      </c>
      <c r="I1138" s="18">
        <v>15000000</v>
      </c>
      <c r="J1138" s="10">
        <v>3744.7</v>
      </c>
      <c r="K1138" s="7" t="s">
        <v>12</v>
      </c>
      <c r="L1138" s="7" t="s">
        <v>53</v>
      </c>
      <c r="M1138" s="34">
        <v>46121</v>
      </c>
      <c r="N1138" s="7" t="s">
        <v>52</v>
      </c>
    </row>
    <row r="1139" spans="1:15" x14ac:dyDescent="0.25">
      <c r="A1139" s="41" t="s">
        <v>157</v>
      </c>
      <c r="B1139" s="1">
        <v>1</v>
      </c>
      <c r="C1139" s="8">
        <v>46119</v>
      </c>
      <c r="D1139" s="1" t="s">
        <v>1614</v>
      </c>
      <c r="E1139" s="7" t="s">
        <v>13</v>
      </c>
      <c r="F1139" s="1" t="s">
        <v>26</v>
      </c>
      <c r="G1139" s="9" t="s">
        <v>35</v>
      </c>
      <c r="H1139" s="7">
        <v>105</v>
      </c>
      <c r="I1139" s="18">
        <v>15001002</v>
      </c>
      <c r="J1139" s="10">
        <v>5800</v>
      </c>
      <c r="K1139" s="7" t="s">
        <v>13</v>
      </c>
      <c r="L1139" s="7" t="s">
        <v>54</v>
      </c>
      <c r="M1139" s="34">
        <v>46125</v>
      </c>
      <c r="N1139" s="7" t="s">
        <v>774</v>
      </c>
    </row>
    <row r="1140" spans="1:15" x14ac:dyDescent="0.25">
      <c r="A1140" s="41" t="s">
        <v>128</v>
      </c>
      <c r="B1140" s="1">
        <v>1</v>
      </c>
      <c r="C1140" s="8">
        <v>46119</v>
      </c>
      <c r="D1140" s="1" t="s">
        <v>1615</v>
      </c>
      <c r="E1140" s="7" t="s">
        <v>13</v>
      </c>
      <c r="F1140" s="1" t="s">
        <v>26</v>
      </c>
      <c r="G1140" s="9" t="s">
        <v>35</v>
      </c>
      <c r="H1140" s="7">
        <v>628</v>
      </c>
      <c r="I1140" s="18">
        <v>15001002</v>
      </c>
      <c r="J1140" s="10">
        <v>17700</v>
      </c>
      <c r="K1140" s="7" t="s">
        <v>13</v>
      </c>
      <c r="L1140" s="7" t="s">
        <v>54</v>
      </c>
      <c r="M1140" s="34">
        <v>46125</v>
      </c>
      <c r="N1140" s="7" t="s">
        <v>774</v>
      </c>
    </row>
    <row r="1141" spans="1:15" x14ac:dyDescent="0.25">
      <c r="A1141" s="41" t="s">
        <v>569</v>
      </c>
      <c r="B1141" s="1">
        <v>1</v>
      </c>
      <c r="C1141" s="8">
        <v>46119</v>
      </c>
      <c r="D1141" s="1" t="s">
        <v>1616</v>
      </c>
      <c r="E1141" s="7" t="s">
        <v>2</v>
      </c>
      <c r="F1141" s="1" t="s">
        <v>26</v>
      </c>
      <c r="G1141" s="9" t="s">
        <v>35</v>
      </c>
      <c r="H1141" s="7" t="s">
        <v>74</v>
      </c>
      <c r="I1141" s="18">
        <v>15400000</v>
      </c>
      <c r="J1141" s="10">
        <v>74961.17</v>
      </c>
      <c r="K1141" s="7" t="s">
        <v>12</v>
      </c>
      <c r="L1141" s="7" t="s">
        <v>53</v>
      </c>
      <c r="M1141" s="34">
        <v>46120</v>
      </c>
      <c r="N1141" s="7" t="s">
        <v>92</v>
      </c>
    </row>
    <row r="1142" spans="1:15" x14ac:dyDescent="0.25">
      <c r="A1142" s="41" t="s">
        <v>138</v>
      </c>
      <c r="B1142" s="1">
        <v>1</v>
      </c>
      <c r="C1142" s="8">
        <v>46119</v>
      </c>
      <c r="D1142" s="1" t="s">
        <v>1617</v>
      </c>
      <c r="E1142" s="7" t="s">
        <v>13</v>
      </c>
      <c r="F1142" s="1" t="s">
        <v>26</v>
      </c>
      <c r="G1142" s="9" t="s">
        <v>35</v>
      </c>
      <c r="H1142" s="7">
        <v>848</v>
      </c>
      <c r="I1142" s="18">
        <v>15001002</v>
      </c>
      <c r="J1142" s="10">
        <v>26100</v>
      </c>
      <c r="K1142" s="7" t="s">
        <v>13</v>
      </c>
      <c r="L1142" s="7" t="s">
        <v>54</v>
      </c>
      <c r="M1142" s="34">
        <v>46121</v>
      </c>
      <c r="N1142" s="7" t="s">
        <v>91</v>
      </c>
    </row>
    <row r="1143" spans="1:15" x14ac:dyDescent="0.25">
      <c r="A1143" s="41" t="s">
        <v>393</v>
      </c>
      <c r="B1143" s="1">
        <v>2</v>
      </c>
      <c r="C1143" s="8">
        <v>46125</v>
      </c>
      <c r="D1143" s="1" t="s">
        <v>1618</v>
      </c>
      <c r="E1143" s="7" t="s">
        <v>13</v>
      </c>
      <c r="F1143" s="1" t="s">
        <v>26</v>
      </c>
      <c r="G1143" s="9" t="s">
        <v>35</v>
      </c>
      <c r="H1143" s="7" t="s">
        <v>74</v>
      </c>
      <c r="I1143" s="18">
        <v>16210000</v>
      </c>
      <c r="J1143" s="10">
        <v>518.78</v>
      </c>
      <c r="K1143" s="7" t="s">
        <v>13</v>
      </c>
      <c r="L1143" s="7" t="s">
        <v>54</v>
      </c>
      <c r="M1143" s="34">
        <v>46126</v>
      </c>
      <c r="N1143" s="7" t="s">
        <v>774</v>
      </c>
    </row>
    <row r="1144" spans="1:15" x14ac:dyDescent="0.25">
      <c r="A1144" s="41" t="s">
        <v>1620</v>
      </c>
      <c r="B1144" s="1">
        <v>1</v>
      </c>
      <c r="C1144" s="8">
        <v>46119</v>
      </c>
      <c r="D1144" s="1" t="s">
        <v>1619</v>
      </c>
      <c r="E1144" s="7" t="s">
        <v>13</v>
      </c>
      <c r="F1144" s="1" t="s">
        <v>26</v>
      </c>
      <c r="G1144" s="9" t="s">
        <v>35</v>
      </c>
      <c r="H1144" s="7">
        <v>960</v>
      </c>
      <c r="I1144" s="18">
        <v>15001002</v>
      </c>
      <c r="J1144" s="10">
        <v>11600</v>
      </c>
      <c r="K1144" s="7" t="s">
        <v>13</v>
      </c>
      <c r="L1144" s="7" t="s">
        <v>54</v>
      </c>
      <c r="M1144" s="34">
        <v>46121</v>
      </c>
      <c r="N1144" s="7" t="s">
        <v>91</v>
      </c>
    </row>
    <row r="1145" spans="1:15" x14ac:dyDescent="0.25">
      <c r="A1145" s="41" t="s">
        <v>569</v>
      </c>
      <c r="B1145" s="1">
        <v>1</v>
      </c>
      <c r="C1145" s="8">
        <v>46119</v>
      </c>
      <c r="D1145" s="1" t="s">
        <v>1621</v>
      </c>
      <c r="E1145" s="7" t="s">
        <v>2</v>
      </c>
      <c r="F1145" s="1" t="s">
        <v>26</v>
      </c>
      <c r="G1145" s="9" t="s">
        <v>35</v>
      </c>
      <c r="H1145" s="7" t="s">
        <v>74</v>
      </c>
      <c r="I1145" s="18">
        <v>15000000</v>
      </c>
      <c r="J1145" s="10">
        <v>297.60000000000002</v>
      </c>
      <c r="K1145" s="7" t="s">
        <v>12</v>
      </c>
      <c r="L1145" s="7" t="s">
        <v>53</v>
      </c>
      <c r="M1145" s="34">
        <v>46120</v>
      </c>
      <c r="N1145" s="7" t="s">
        <v>92</v>
      </c>
    </row>
    <row r="1146" spans="1:15" x14ac:dyDescent="0.25">
      <c r="A1146" s="41" t="s">
        <v>1623</v>
      </c>
      <c r="B1146" s="1">
        <v>1</v>
      </c>
      <c r="C1146" s="8">
        <v>46119</v>
      </c>
      <c r="D1146" s="1" t="s">
        <v>1622</v>
      </c>
      <c r="E1146" s="7" t="s">
        <v>13</v>
      </c>
      <c r="F1146" s="1" t="s">
        <v>26</v>
      </c>
      <c r="G1146" s="9" t="s">
        <v>35</v>
      </c>
      <c r="H1146" s="7">
        <v>11488</v>
      </c>
      <c r="I1146" s="18">
        <v>15001002</v>
      </c>
      <c r="J1146" s="10">
        <v>17110</v>
      </c>
      <c r="K1146" s="7" t="s">
        <v>13</v>
      </c>
      <c r="L1146" s="7" t="s">
        <v>54</v>
      </c>
      <c r="M1146" s="34">
        <v>46125</v>
      </c>
      <c r="N1146" s="7" t="s">
        <v>91</v>
      </c>
    </row>
    <row r="1147" spans="1:15" x14ac:dyDescent="0.25">
      <c r="A1147" s="41" t="s">
        <v>231</v>
      </c>
      <c r="B1147" s="1">
        <v>1</v>
      </c>
      <c r="C1147" s="8">
        <v>46119</v>
      </c>
      <c r="D1147" s="1" t="s">
        <v>1624</v>
      </c>
      <c r="E1147" s="7" t="s">
        <v>13</v>
      </c>
      <c r="F1147" s="1" t="s">
        <v>26</v>
      </c>
      <c r="G1147" s="9" t="s">
        <v>35</v>
      </c>
      <c r="H1147" s="7">
        <v>1519</v>
      </c>
      <c r="I1147" s="18">
        <v>16000000</v>
      </c>
      <c r="J1147" s="10">
        <v>13916.66</v>
      </c>
      <c r="K1147" s="7" t="s">
        <v>13</v>
      </c>
      <c r="L1147" s="7" t="s">
        <v>54</v>
      </c>
      <c r="M1147" s="34">
        <v>46125</v>
      </c>
      <c r="N1147" s="7" t="s">
        <v>774</v>
      </c>
    </row>
    <row r="1148" spans="1:15" x14ac:dyDescent="0.25">
      <c r="A1148" s="41" t="s">
        <v>199</v>
      </c>
      <c r="B1148" s="1">
        <v>2</v>
      </c>
      <c r="C1148" s="8">
        <v>46125</v>
      </c>
      <c r="D1148" s="1" t="s">
        <v>1625</v>
      </c>
      <c r="E1148" s="7" t="s">
        <v>13</v>
      </c>
      <c r="F1148" s="1" t="s">
        <v>26</v>
      </c>
      <c r="G1148" s="9" t="s">
        <v>35</v>
      </c>
      <c r="H1148" s="7">
        <v>483</v>
      </c>
      <c r="I1148" s="18">
        <v>15001002</v>
      </c>
      <c r="J1148" s="10">
        <v>4000</v>
      </c>
      <c r="K1148" s="7" t="s">
        <v>13</v>
      </c>
      <c r="L1148" s="7" t="s">
        <v>54</v>
      </c>
      <c r="M1148" s="34">
        <v>46126</v>
      </c>
      <c r="N1148" s="7" t="s">
        <v>46</v>
      </c>
    </row>
    <row r="1149" spans="1:15" x14ac:dyDescent="0.25">
      <c r="A1149" s="41" t="s">
        <v>569</v>
      </c>
      <c r="B1149" s="1">
        <v>1</v>
      </c>
      <c r="C1149" s="8">
        <v>46119</v>
      </c>
      <c r="D1149" s="1" t="s">
        <v>1626</v>
      </c>
      <c r="E1149" s="7" t="s">
        <v>2</v>
      </c>
      <c r="F1149" s="1" t="s">
        <v>26</v>
      </c>
      <c r="G1149" s="9" t="s">
        <v>35</v>
      </c>
      <c r="H1149" s="7" t="s">
        <v>74</v>
      </c>
      <c r="I1149" s="18">
        <v>15001002</v>
      </c>
      <c r="J1149" s="10">
        <v>8449.92</v>
      </c>
      <c r="K1149" s="7" t="s">
        <v>12</v>
      </c>
      <c r="L1149" s="7" t="s">
        <v>53</v>
      </c>
      <c r="M1149" s="34">
        <v>46120</v>
      </c>
      <c r="N1149" s="7" t="s">
        <v>92</v>
      </c>
    </row>
    <row r="1150" spans="1:15" x14ac:dyDescent="0.25">
      <c r="A1150" s="41" t="s">
        <v>214</v>
      </c>
      <c r="B1150" s="1">
        <v>1</v>
      </c>
      <c r="C1150" s="8">
        <v>46119</v>
      </c>
      <c r="D1150" s="1" t="s">
        <v>1627</v>
      </c>
      <c r="E1150" s="7" t="s">
        <v>13</v>
      </c>
      <c r="F1150" s="1" t="s">
        <v>26</v>
      </c>
      <c r="G1150" s="9" t="s">
        <v>35</v>
      </c>
      <c r="H1150" s="7">
        <v>39</v>
      </c>
      <c r="I1150" s="18">
        <v>15001002</v>
      </c>
      <c r="J1150" s="10">
        <v>10620</v>
      </c>
      <c r="K1150" s="7" t="s">
        <v>13</v>
      </c>
      <c r="L1150" s="7" t="s">
        <v>54</v>
      </c>
      <c r="M1150" s="34">
        <v>46121</v>
      </c>
      <c r="N1150" s="7" t="s">
        <v>41</v>
      </c>
    </row>
    <row r="1151" spans="1:15" x14ac:dyDescent="0.25">
      <c r="A1151" s="41" t="s">
        <v>1630</v>
      </c>
      <c r="B1151" s="1">
        <v>2</v>
      </c>
      <c r="C1151" s="8">
        <v>46120</v>
      </c>
      <c r="D1151" s="1" t="s">
        <v>1631</v>
      </c>
      <c r="E1151" s="7" t="s">
        <v>2</v>
      </c>
      <c r="F1151" s="1" t="s">
        <v>26</v>
      </c>
      <c r="H1151" s="7" t="s">
        <v>74</v>
      </c>
      <c r="I1151" s="18" t="s">
        <v>0</v>
      </c>
      <c r="K1151" s="7" t="s">
        <v>58</v>
      </c>
      <c r="L1151" s="7" t="s">
        <v>59</v>
      </c>
      <c r="O1151" s="7" t="s">
        <v>1629</v>
      </c>
    </row>
    <row r="1152" spans="1:15" x14ac:dyDescent="0.25">
      <c r="A1152" s="41" t="s">
        <v>688</v>
      </c>
      <c r="B1152" s="1">
        <v>1</v>
      </c>
      <c r="C1152" s="8">
        <v>46120</v>
      </c>
      <c r="D1152" s="1" t="s">
        <v>1632</v>
      </c>
      <c r="E1152" s="7" t="s">
        <v>13</v>
      </c>
      <c r="F1152" s="1" t="s">
        <v>26</v>
      </c>
      <c r="G1152" s="9" t="s">
        <v>35</v>
      </c>
      <c r="I1152" s="18">
        <v>15001002</v>
      </c>
      <c r="J1152" s="10">
        <v>10980</v>
      </c>
      <c r="K1152" s="7" t="s">
        <v>13</v>
      </c>
      <c r="L1152" s="7" t="s">
        <v>54</v>
      </c>
      <c r="M1152" s="34">
        <v>46122</v>
      </c>
      <c r="N1152" s="7" t="s">
        <v>46</v>
      </c>
    </row>
    <row r="1153" spans="1:14" x14ac:dyDescent="0.25">
      <c r="A1153" s="41" t="s">
        <v>676</v>
      </c>
      <c r="B1153" s="1">
        <v>1</v>
      </c>
      <c r="C1153" s="8">
        <v>46120</v>
      </c>
      <c r="D1153" s="1" t="s">
        <v>1633</v>
      </c>
      <c r="E1153" s="7" t="s">
        <v>13</v>
      </c>
      <c r="F1153" s="1" t="s">
        <v>26</v>
      </c>
      <c r="G1153" s="9" t="s">
        <v>35</v>
      </c>
      <c r="H1153" s="7">
        <v>1057</v>
      </c>
      <c r="I1153" s="18">
        <v>15001002</v>
      </c>
      <c r="J1153" s="10">
        <v>14500</v>
      </c>
      <c r="K1153" s="7" t="s">
        <v>13</v>
      </c>
      <c r="L1153" s="7" t="s">
        <v>54</v>
      </c>
      <c r="M1153" s="34">
        <v>46122</v>
      </c>
      <c r="N1153" s="7" t="s">
        <v>46</v>
      </c>
    </row>
    <row r="1154" spans="1:14" x14ac:dyDescent="0.25">
      <c r="A1154" s="41" t="s">
        <v>347</v>
      </c>
      <c r="B1154" s="1">
        <v>1</v>
      </c>
      <c r="C1154" s="8">
        <v>46120</v>
      </c>
      <c r="D1154" s="1" t="s">
        <v>1634</v>
      </c>
      <c r="E1154" s="7" t="s">
        <v>13</v>
      </c>
      <c r="F1154" s="1" t="s">
        <v>26</v>
      </c>
      <c r="G1154" s="9" t="s">
        <v>35</v>
      </c>
      <c r="H1154" s="7" t="s">
        <v>74</v>
      </c>
      <c r="I1154" s="18">
        <v>15001002</v>
      </c>
      <c r="J1154" s="10">
        <v>26100</v>
      </c>
      <c r="K1154" s="7" t="s">
        <v>13</v>
      </c>
      <c r="L1154" s="7" t="s">
        <v>54</v>
      </c>
      <c r="M1154" s="34">
        <v>46122</v>
      </c>
      <c r="N1154" s="7" t="s">
        <v>46</v>
      </c>
    </row>
    <row r="1155" spans="1:14" x14ac:dyDescent="0.25">
      <c r="A1155" s="41" t="s">
        <v>424</v>
      </c>
      <c r="B1155" s="1">
        <v>1</v>
      </c>
      <c r="C1155" s="8">
        <v>46120</v>
      </c>
      <c r="D1155" s="1" t="s">
        <v>1635</v>
      </c>
      <c r="E1155" s="7" t="s">
        <v>14</v>
      </c>
      <c r="F1155" s="1" t="s">
        <v>26</v>
      </c>
      <c r="G1155" s="9" t="s">
        <v>35</v>
      </c>
      <c r="H1155" s="7">
        <v>205</v>
      </c>
      <c r="I1155" s="18">
        <v>15000000</v>
      </c>
      <c r="J1155" s="10">
        <v>37503</v>
      </c>
      <c r="K1155" s="7" t="s">
        <v>12</v>
      </c>
      <c r="L1155" s="7" t="s">
        <v>53</v>
      </c>
      <c r="M1155" s="34">
        <v>46122</v>
      </c>
      <c r="N1155" s="7" t="s">
        <v>41</v>
      </c>
    </row>
    <row r="1156" spans="1:14" x14ac:dyDescent="0.25">
      <c r="A1156" s="41" t="s">
        <v>162</v>
      </c>
      <c r="B1156" s="1">
        <v>1</v>
      </c>
      <c r="C1156" s="8">
        <v>46120</v>
      </c>
      <c r="D1156" s="1" t="s">
        <v>1636</v>
      </c>
      <c r="E1156" s="7" t="s">
        <v>13</v>
      </c>
      <c r="F1156" s="1" t="s">
        <v>26</v>
      </c>
      <c r="G1156" s="9" t="s">
        <v>35</v>
      </c>
      <c r="H1156" s="7">
        <v>245</v>
      </c>
      <c r="I1156" s="18">
        <v>15001002</v>
      </c>
      <c r="J1156" s="10">
        <v>13420</v>
      </c>
      <c r="K1156" s="7" t="s">
        <v>13</v>
      </c>
      <c r="L1156" s="7" t="s">
        <v>54</v>
      </c>
      <c r="M1156" s="34">
        <v>46122</v>
      </c>
      <c r="N1156" s="7" t="s">
        <v>46</v>
      </c>
    </row>
    <row r="1157" spans="1:14" x14ac:dyDescent="0.25">
      <c r="A1157" s="41" t="s">
        <v>371</v>
      </c>
      <c r="B1157" s="1">
        <v>2</v>
      </c>
      <c r="C1157" s="8">
        <v>46127</v>
      </c>
      <c r="D1157" s="1" t="s">
        <v>1637</v>
      </c>
      <c r="E1157" s="7" t="s">
        <v>16</v>
      </c>
      <c r="F1157" s="1" t="s">
        <v>26</v>
      </c>
      <c r="G1157" s="9" t="s">
        <v>35</v>
      </c>
      <c r="H1157" s="7" t="s">
        <v>74</v>
      </c>
      <c r="I1157" s="18">
        <v>16600000</v>
      </c>
      <c r="J1157" s="10">
        <v>1284.97</v>
      </c>
      <c r="K1157" s="7" t="s">
        <v>12</v>
      </c>
      <c r="L1157" s="7" t="s">
        <v>53</v>
      </c>
      <c r="M1157" s="34">
        <v>46127</v>
      </c>
      <c r="N1157" s="7" t="s">
        <v>46</v>
      </c>
    </row>
    <row r="1158" spans="1:14" x14ac:dyDescent="0.25">
      <c r="A1158" s="41" t="s">
        <v>371</v>
      </c>
      <c r="B1158" s="1">
        <v>2</v>
      </c>
      <c r="C1158" s="8">
        <v>46127</v>
      </c>
      <c r="D1158" s="1" t="s">
        <v>1638</v>
      </c>
      <c r="E1158" s="7" t="s">
        <v>16</v>
      </c>
      <c r="F1158" s="1" t="s">
        <v>26</v>
      </c>
      <c r="G1158" s="9" t="s">
        <v>35</v>
      </c>
      <c r="H1158" s="7">
        <v>1692</v>
      </c>
      <c r="I1158" s="18">
        <v>15000000</v>
      </c>
      <c r="J1158" s="10">
        <v>1284.97</v>
      </c>
      <c r="K1158" s="7" t="s">
        <v>12</v>
      </c>
      <c r="L1158" s="7" t="s">
        <v>53</v>
      </c>
      <c r="M1158" s="34">
        <v>46127</v>
      </c>
      <c r="N1158" s="7" t="s">
        <v>46</v>
      </c>
    </row>
    <row r="1159" spans="1:14" x14ac:dyDescent="0.25">
      <c r="A1159" s="41" t="s">
        <v>371</v>
      </c>
      <c r="B1159" s="1">
        <v>2</v>
      </c>
      <c r="C1159" s="8">
        <v>46127</v>
      </c>
      <c r="D1159" s="1" t="s">
        <v>1639</v>
      </c>
      <c r="E1159" s="7" t="s">
        <v>16</v>
      </c>
      <c r="F1159" s="1" t="s">
        <v>26</v>
      </c>
      <c r="G1159" s="9" t="s">
        <v>35</v>
      </c>
      <c r="H1159" s="7">
        <v>1692</v>
      </c>
      <c r="I1159" s="18">
        <v>16600000</v>
      </c>
      <c r="J1159" s="10">
        <v>1284.97</v>
      </c>
      <c r="K1159" s="7" t="s">
        <v>12</v>
      </c>
      <c r="L1159" s="7" t="s">
        <v>53</v>
      </c>
      <c r="M1159" s="34">
        <v>46127</v>
      </c>
      <c r="N1159" s="7" t="s">
        <v>46</v>
      </c>
    </row>
    <row r="1160" spans="1:14" x14ac:dyDescent="0.25">
      <c r="A1160" s="41" t="s">
        <v>371</v>
      </c>
      <c r="B1160" s="1">
        <v>2</v>
      </c>
      <c r="C1160" s="8">
        <v>46127</v>
      </c>
      <c r="D1160" s="1" t="s">
        <v>1640</v>
      </c>
      <c r="E1160" s="7" t="s">
        <v>16</v>
      </c>
      <c r="F1160" s="1" t="s">
        <v>26</v>
      </c>
      <c r="G1160" s="9" t="s">
        <v>35</v>
      </c>
      <c r="H1160" s="7">
        <v>1692</v>
      </c>
      <c r="I1160" s="18">
        <v>16600000</v>
      </c>
      <c r="J1160" s="10">
        <v>2664.4</v>
      </c>
      <c r="K1160" s="7" t="s">
        <v>12</v>
      </c>
      <c r="L1160" s="7" t="s">
        <v>53</v>
      </c>
      <c r="M1160" s="34">
        <v>46127</v>
      </c>
      <c r="N1160" s="7" t="s">
        <v>46</v>
      </c>
    </row>
    <row r="1161" spans="1:14" x14ac:dyDescent="0.25">
      <c r="A1161" s="41" t="s">
        <v>371</v>
      </c>
      <c r="B1161" s="1">
        <v>2</v>
      </c>
      <c r="C1161" s="8">
        <v>46127</v>
      </c>
      <c r="D1161" s="1" t="s">
        <v>1641</v>
      </c>
      <c r="E1161" s="7" t="s">
        <v>16</v>
      </c>
      <c r="F1161" s="1" t="s">
        <v>26</v>
      </c>
      <c r="G1161" s="9" t="s">
        <v>35</v>
      </c>
      <c r="H1161" s="7">
        <v>1692</v>
      </c>
      <c r="I1161" s="18">
        <v>16600000</v>
      </c>
      <c r="J1161" s="10">
        <v>2664.4</v>
      </c>
      <c r="K1161" s="7" t="s">
        <v>12</v>
      </c>
      <c r="L1161" s="7" t="s">
        <v>53</v>
      </c>
      <c r="M1161" s="34">
        <v>46127</v>
      </c>
      <c r="N1161" s="7" t="s">
        <v>46</v>
      </c>
    </row>
    <row r="1162" spans="1:14" x14ac:dyDescent="0.25">
      <c r="A1162" s="41" t="s">
        <v>174</v>
      </c>
      <c r="B1162" s="1">
        <v>1</v>
      </c>
      <c r="C1162" s="8">
        <v>46120</v>
      </c>
      <c r="D1162" s="1" t="s">
        <v>1642</v>
      </c>
      <c r="E1162" s="7" t="s">
        <v>13</v>
      </c>
      <c r="F1162" s="1" t="s">
        <v>26</v>
      </c>
      <c r="G1162" s="9" t="s">
        <v>35</v>
      </c>
      <c r="H1162" s="7" t="s">
        <v>74</v>
      </c>
      <c r="I1162" s="18">
        <v>15001002</v>
      </c>
      <c r="J1162" s="10">
        <v>26520</v>
      </c>
      <c r="K1162" s="7" t="s">
        <v>13</v>
      </c>
      <c r="L1162" s="7" t="s">
        <v>54</v>
      </c>
      <c r="M1162" s="34">
        <v>46122</v>
      </c>
      <c r="N1162" s="7" t="s">
        <v>46</v>
      </c>
    </row>
    <row r="1163" spans="1:14" x14ac:dyDescent="0.25">
      <c r="A1163" s="41" t="s">
        <v>424</v>
      </c>
      <c r="B1163" s="1">
        <v>1</v>
      </c>
      <c r="C1163" s="8">
        <v>46120</v>
      </c>
      <c r="D1163" s="1" t="s">
        <v>1643</v>
      </c>
      <c r="E1163" s="7" t="s">
        <v>14</v>
      </c>
      <c r="F1163" s="1" t="s">
        <v>26</v>
      </c>
      <c r="G1163" s="9" t="s">
        <v>35</v>
      </c>
      <c r="H1163" s="7">
        <v>206</v>
      </c>
      <c r="I1163" s="18">
        <v>15000000</v>
      </c>
      <c r="J1163" s="10">
        <v>40407.9</v>
      </c>
      <c r="K1163" s="7" t="s">
        <v>12</v>
      </c>
      <c r="L1163" s="7" t="s">
        <v>53</v>
      </c>
      <c r="M1163" s="34">
        <v>46125</v>
      </c>
      <c r="N1163" s="7" t="s">
        <v>41</v>
      </c>
    </row>
    <row r="1164" spans="1:14" x14ac:dyDescent="0.25">
      <c r="A1164" s="41" t="s">
        <v>130</v>
      </c>
      <c r="B1164" s="1">
        <v>1</v>
      </c>
      <c r="C1164" s="8">
        <v>46120</v>
      </c>
      <c r="D1164" s="1" t="s">
        <v>1644</v>
      </c>
      <c r="E1164" s="7" t="s">
        <v>13</v>
      </c>
      <c r="F1164" s="1" t="s">
        <v>26</v>
      </c>
      <c r="G1164" s="9" t="s">
        <v>35</v>
      </c>
      <c r="H1164" s="7" t="s">
        <v>74</v>
      </c>
      <c r="I1164" s="18">
        <v>15001002</v>
      </c>
      <c r="J1164" s="10">
        <v>20740</v>
      </c>
      <c r="K1164" s="7" t="s">
        <v>13</v>
      </c>
      <c r="L1164" s="7" t="s">
        <v>54</v>
      </c>
      <c r="M1164" s="34">
        <v>46122</v>
      </c>
      <c r="N1164" s="7" t="s">
        <v>46</v>
      </c>
    </row>
    <row r="1165" spans="1:14" x14ac:dyDescent="0.25">
      <c r="A1165" s="41" t="s">
        <v>362</v>
      </c>
      <c r="B1165" s="1">
        <v>1</v>
      </c>
      <c r="C1165" s="8">
        <v>46120</v>
      </c>
      <c r="D1165" s="1" t="s">
        <v>1645</v>
      </c>
      <c r="E1165" s="7" t="s">
        <v>13</v>
      </c>
      <c r="F1165" s="1" t="s">
        <v>26</v>
      </c>
      <c r="G1165" s="9" t="s">
        <v>35</v>
      </c>
      <c r="H1165" s="7">
        <v>27</v>
      </c>
      <c r="I1165" s="18">
        <v>15001002</v>
      </c>
      <c r="J1165" s="10">
        <v>9760</v>
      </c>
      <c r="K1165" s="7" t="s">
        <v>13</v>
      </c>
      <c r="L1165" s="7" t="s">
        <v>54</v>
      </c>
      <c r="M1165" s="34">
        <v>46122</v>
      </c>
      <c r="N1165" s="7" t="s">
        <v>46</v>
      </c>
    </row>
    <row r="1166" spans="1:14" x14ac:dyDescent="0.25">
      <c r="A1166" s="41" t="s">
        <v>213</v>
      </c>
      <c r="B1166" s="1">
        <v>1</v>
      </c>
      <c r="C1166" s="8">
        <v>46120</v>
      </c>
      <c r="D1166" s="1" t="s">
        <v>1646</v>
      </c>
      <c r="E1166" s="7" t="s">
        <v>13</v>
      </c>
      <c r="F1166" s="1" t="s">
        <v>26</v>
      </c>
      <c r="G1166" s="9" t="s">
        <v>35</v>
      </c>
      <c r="H1166" s="7">
        <v>16</v>
      </c>
      <c r="I1166" s="18">
        <v>15001002</v>
      </c>
      <c r="J1166" s="10">
        <v>4880</v>
      </c>
      <c r="K1166" s="7" t="s">
        <v>13</v>
      </c>
      <c r="L1166" s="7" t="s">
        <v>54</v>
      </c>
      <c r="M1166" s="34">
        <v>46122</v>
      </c>
      <c r="N1166" s="7" t="s">
        <v>46</v>
      </c>
    </row>
    <row r="1167" spans="1:14" x14ac:dyDescent="0.25">
      <c r="A1167" s="41" t="s">
        <v>176</v>
      </c>
      <c r="B1167" s="1">
        <v>1</v>
      </c>
      <c r="C1167" s="8">
        <v>46120</v>
      </c>
      <c r="D1167" s="1" t="s">
        <v>1647</v>
      </c>
      <c r="E1167" s="7" t="s">
        <v>13</v>
      </c>
      <c r="F1167" s="1" t="s">
        <v>26</v>
      </c>
      <c r="G1167" s="9" t="s">
        <v>35</v>
      </c>
      <c r="H1167" s="7">
        <v>736</v>
      </c>
      <c r="I1167" s="18">
        <v>15001002</v>
      </c>
      <c r="J1167" s="10">
        <v>11800</v>
      </c>
      <c r="K1167" s="7" t="s">
        <v>13</v>
      </c>
      <c r="L1167" s="7" t="s">
        <v>54</v>
      </c>
      <c r="M1167" s="34">
        <v>46122</v>
      </c>
      <c r="N1167" s="7" t="s">
        <v>91</v>
      </c>
    </row>
    <row r="1168" spans="1:14" x14ac:dyDescent="0.25">
      <c r="A1168" s="41" t="s">
        <v>161</v>
      </c>
      <c r="B1168" s="1">
        <v>1</v>
      </c>
      <c r="C1168" s="8">
        <v>46120</v>
      </c>
      <c r="D1168" s="1" t="s">
        <v>1648</v>
      </c>
      <c r="E1168" s="7" t="s">
        <v>13</v>
      </c>
      <c r="F1168" s="1" t="s">
        <v>26</v>
      </c>
      <c r="G1168" s="9" t="s">
        <v>35</v>
      </c>
      <c r="H1168" s="7">
        <v>94</v>
      </c>
      <c r="I1168" s="18">
        <v>15001002</v>
      </c>
      <c r="J1168" s="10">
        <v>10620</v>
      </c>
      <c r="K1168" s="7" t="s">
        <v>13</v>
      </c>
      <c r="L1168" s="7" t="s">
        <v>54</v>
      </c>
      <c r="M1168" s="34">
        <v>46122</v>
      </c>
      <c r="N1168" s="7" t="s">
        <v>91</v>
      </c>
    </row>
    <row r="1169" spans="1:14" x14ac:dyDescent="0.25">
      <c r="A1169" s="41" t="s">
        <v>417</v>
      </c>
      <c r="B1169" s="1">
        <v>1</v>
      </c>
      <c r="C1169" s="8">
        <v>46120</v>
      </c>
      <c r="D1169" s="1" t="s">
        <v>1649</v>
      </c>
      <c r="E1169" s="7" t="s">
        <v>14</v>
      </c>
      <c r="F1169" s="1" t="s">
        <v>26</v>
      </c>
      <c r="G1169" s="9" t="s">
        <v>35</v>
      </c>
      <c r="H1169" s="7">
        <v>1328</v>
      </c>
      <c r="I1169" s="18">
        <v>15000000</v>
      </c>
      <c r="J1169" s="10">
        <v>228752.1</v>
      </c>
      <c r="K1169" s="7" t="s">
        <v>12</v>
      </c>
      <c r="L1169" s="7" t="s">
        <v>53</v>
      </c>
      <c r="M1169" s="34">
        <v>46125</v>
      </c>
      <c r="N1169" s="7" t="s">
        <v>41</v>
      </c>
    </row>
    <row r="1170" spans="1:14" x14ac:dyDescent="0.25">
      <c r="A1170" s="41" t="s">
        <v>1651</v>
      </c>
      <c r="B1170" s="1">
        <v>1</v>
      </c>
      <c r="C1170" s="8">
        <v>46120</v>
      </c>
      <c r="D1170" s="1" t="s">
        <v>1650</v>
      </c>
      <c r="E1170" s="7" t="s">
        <v>20</v>
      </c>
      <c r="F1170" s="1" t="s">
        <v>26</v>
      </c>
      <c r="G1170" s="9" t="s">
        <v>35</v>
      </c>
      <c r="H1170" s="7" t="s">
        <v>74</v>
      </c>
      <c r="I1170" s="18" t="s">
        <v>0</v>
      </c>
      <c r="J1170" s="10" t="s">
        <v>61</v>
      </c>
      <c r="K1170" s="7" t="s">
        <v>22</v>
      </c>
      <c r="L1170" s="7" t="s">
        <v>55</v>
      </c>
      <c r="M1170" s="34">
        <v>46139</v>
      </c>
      <c r="N1170" s="7" t="s">
        <v>46</v>
      </c>
    </row>
    <row r="1171" spans="1:14" x14ac:dyDescent="0.25">
      <c r="A1171" s="41" t="s">
        <v>364</v>
      </c>
      <c r="B1171" s="1">
        <v>1</v>
      </c>
      <c r="C1171" s="8">
        <v>46120</v>
      </c>
      <c r="D1171" s="1" t="s">
        <v>1654</v>
      </c>
      <c r="E1171" s="7" t="s">
        <v>13</v>
      </c>
      <c r="F1171" s="1" t="s">
        <v>26</v>
      </c>
      <c r="G1171" s="9" t="s">
        <v>35</v>
      </c>
      <c r="H1171" s="7">
        <v>2591</v>
      </c>
      <c r="I1171" s="18">
        <v>16000000</v>
      </c>
      <c r="J1171" s="10">
        <v>18286.04</v>
      </c>
      <c r="K1171" s="7" t="s">
        <v>13</v>
      </c>
      <c r="L1171" s="7" t="s">
        <v>54</v>
      </c>
      <c r="M1171" s="34">
        <v>46126</v>
      </c>
      <c r="N1171" s="7" t="s">
        <v>46</v>
      </c>
    </row>
    <row r="1172" spans="1:14" x14ac:dyDescent="0.25">
      <c r="A1172" s="41" t="s">
        <v>181</v>
      </c>
      <c r="B1172" s="1">
        <v>1</v>
      </c>
      <c r="C1172" s="8">
        <v>46120</v>
      </c>
      <c r="D1172" s="1" t="s">
        <v>1655</v>
      </c>
      <c r="E1172" s="7" t="s">
        <v>13</v>
      </c>
      <c r="F1172" s="1" t="s">
        <v>26</v>
      </c>
      <c r="G1172" s="9" t="s">
        <v>35</v>
      </c>
      <c r="H1172" s="7">
        <v>9504927</v>
      </c>
      <c r="I1172" s="18">
        <v>16000000</v>
      </c>
      <c r="J1172" s="10">
        <v>702.54</v>
      </c>
      <c r="K1172" s="7" t="s">
        <v>13</v>
      </c>
      <c r="L1172" s="7" t="s">
        <v>54</v>
      </c>
      <c r="M1172" s="34">
        <v>46121</v>
      </c>
      <c r="N1172" s="7" t="s">
        <v>41</v>
      </c>
    </row>
    <row r="1173" spans="1:14" x14ac:dyDescent="0.25">
      <c r="A1173" s="41" t="s">
        <v>181</v>
      </c>
      <c r="B1173" s="1">
        <v>2</v>
      </c>
      <c r="C1173" s="8">
        <v>46125</v>
      </c>
      <c r="D1173" s="1" t="s">
        <v>1656</v>
      </c>
      <c r="E1173" s="7" t="s">
        <v>13</v>
      </c>
      <c r="F1173" s="1" t="s">
        <v>26</v>
      </c>
      <c r="G1173" s="9" t="s">
        <v>35</v>
      </c>
      <c r="H1173" s="7" t="s">
        <v>74</v>
      </c>
      <c r="I1173" s="18">
        <v>15001002</v>
      </c>
      <c r="J1173" s="10">
        <v>81109</v>
      </c>
      <c r="K1173" s="7" t="s">
        <v>13</v>
      </c>
      <c r="L1173" s="7" t="s">
        <v>54</v>
      </c>
      <c r="M1173" s="34">
        <v>46125</v>
      </c>
      <c r="N1173" s="7" t="s">
        <v>774</v>
      </c>
    </row>
    <row r="1174" spans="1:14" x14ac:dyDescent="0.25">
      <c r="A1174" s="41" t="s">
        <v>181</v>
      </c>
      <c r="B1174" s="1">
        <v>1</v>
      </c>
      <c r="C1174" s="8">
        <v>46120</v>
      </c>
      <c r="D1174" s="1" t="s">
        <v>1657</v>
      </c>
      <c r="E1174" s="7" t="s">
        <v>13</v>
      </c>
      <c r="F1174" s="1" t="s">
        <v>26</v>
      </c>
      <c r="G1174" s="9" t="s">
        <v>35</v>
      </c>
      <c r="H1174" s="7">
        <v>950771320</v>
      </c>
      <c r="I1174" s="18">
        <v>15001002</v>
      </c>
      <c r="J1174" s="10">
        <v>11845.68</v>
      </c>
      <c r="K1174" s="7" t="s">
        <v>13</v>
      </c>
      <c r="L1174" s="7" t="s">
        <v>54</v>
      </c>
      <c r="M1174" s="34">
        <v>46121</v>
      </c>
      <c r="N1174" s="7" t="s">
        <v>41</v>
      </c>
    </row>
    <row r="1175" spans="1:14" x14ac:dyDescent="0.25">
      <c r="A1175" s="41" t="s">
        <v>569</v>
      </c>
      <c r="B1175" s="1">
        <v>1</v>
      </c>
      <c r="C1175" s="8">
        <v>46120</v>
      </c>
      <c r="D1175" s="1" t="s">
        <v>1658</v>
      </c>
      <c r="E1175" s="7" t="s">
        <v>13</v>
      </c>
      <c r="F1175" s="1" t="s">
        <v>26</v>
      </c>
      <c r="G1175" s="9" t="s">
        <v>35</v>
      </c>
      <c r="H1175" s="7">
        <v>181778890</v>
      </c>
      <c r="I1175" s="18">
        <v>15001002</v>
      </c>
      <c r="J1175" s="10">
        <v>1393.74</v>
      </c>
      <c r="K1175" s="7" t="s">
        <v>13</v>
      </c>
      <c r="L1175" s="7" t="s">
        <v>54</v>
      </c>
      <c r="M1175" s="34">
        <v>46121</v>
      </c>
      <c r="N1175" s="7" t="s">
        <v>774</v>
      </c>
    </row>
    <row r="1176" spans="1:14" x14ac:dyDescent="0.25">
      <c r="A1176" s="41" t="s">
        <v>371</v>
      </c>
      <c r="B1176" s="1">
        <v>1</v>
      </c>
      <c r="C1176" s="8">
        <v>46120</v>
      </c>
      <c r="D1176" s="1" t="s">
        <v>1659</v>
      </c>
      <c r="E1176" s="7" t="s">
        <v>2</v>
      </c>
      <c r="F1176" s="1" t="s">
        <v>26</v>
      </c>
      <c r="G1176" s="9" t="s">
        <v>35</v>
      </c>
      <c r="H1176" s="7">
        <v>1695</v>
      </c>
      <c r="I1176" s="18">
        <v>15001002</v>
      </c>
      <c r="J1176" s="10">
        <v>84880.94</v>
      </c>
      <c r="K1176" s="7" t="s">
        <v>12</v>
      </c>
      <c r="L1176" s="7" t="s">
        <v>53</v>
      </c>
      <c r="M1176" s="34">
        <v>46125</v>
      </c>
      <c r="N1176" s="7" t="s">
        <v>46</v>
      </c>
    </row>
    <row r="1177" spans="1:14" x14ac:dyDescent="0.25">
      <c r="A1177" s="41" t="s">
        <v>428</v>
      </c>
      <c r="B1177" s="1">
        <v>2</v>
      </c>
      <c r="C1177" s="8">
        <v>46127</v>
      </c>
      <c r="D1177" s="1" t="s">
        <v>1660</v>
      </c>
      <c r="E1177" s="7" t="s">
        <v>11</v>
      </c>
      <c r="F1177" s="1" t="s">
        <v>26</v>
      </c>
      <c r="G1177" s="9" t="s">
        <v>35</v>
      </c>
      <c r="H1177" s="7">
        <v>244664</v>
      </c>
      <c r="I1177" s="18">
        <v>15000000</v>
      </c>
      <c r="J1177" s="10">
        <v>5502.33</v>
      </c>
      <c r="K1177" s="7" t="s">
        <v>12</v>
      </c>
      <c r="L1177" s="7" t="s">
        <v>53</v>
      </c>
      <c r="M1177" s="34">
        <v>46127</v>
      </c>
      <c r="N1177" s="7" t="s">
        <v>91</v>
      </c>
    </row>
    <row r="1178" spans="1:14" x14ac:dyDescent="0.25">
      <c r="A1178" s="41" t="s">
        <v>428</v>
      </c>
      <c r="B1178" s="1">
        <v>2</v>
      </c>
      <c r="C1178" s="8">
        <v>46127</v>
      </c>
      <c r="D1178" s="1" t="s">
        <v>1661</v>
      </c>
      <c r="E1178" s="7" t="s">
        <v>11</v>
      </c>
      <c r="F1178" s="1" t="s">
        <v>26</v>
      </c>
      <c r="G1178" s="9" t="s">
        <v>35</v>
      </c>
      <c r="H1178" s="7">
        <v>244663</v>
      </c>
      <c r="I1178" s="18">
        <v>15000000</v>
      </c>
      <c r="J1178" s="10">
        <v>6750.87</v>
      </c>
      <c r="K1178" s="7" t="s">
        <v>12</v>
      </c>
      <c r="L1178" s="7" t="s">
        <v>53</v>
      </c>
      <c r="M1178" s="34">
        <v>46127</v>
      </c>
      <c r="N1178" s="7" t="s">
        <v>91</v>
      </c>
    </row>
    <row r="1179" spans="1:14" x14ac:dyDescent="0.25">
      <c r="A1179" s="41" t="s">
        <v>428</v>
      </c>
      <c r="B1179" s="1">
        <v>2</v>
      </c>
      <c r="C1179" s="8">
        <v>46127</v>
      </c>
      <c r="D1179" s="1" t="s">
        <v>1662</v>
      </c>
      <c r="E1179" s="7" t="s">
        <v>2</v>
      </c>
      <c r="F1179" s="1" t="s">
        <v>26</v>
      </c>
      <c r="G1179" s="9" t="s">
        <v>35</v>
      </c>
      <c r="H1179" s="7">
        <v>244901</v>
      </c>
      <c r="I1179" s="18">
        <v>15001001</v>
      </c>
      <c r="J1179" s="10">
        <v>1066.2</v>
      </c>
      <c r="K1179" s="7" t="s">
        <v>12</v>
      </c>
      <c r="L1179" s="7" t="s">
        <v>53</v>
      </c>
      <c r="M1179" s="34">
        <v>46127</v>
      </c>
      <c r="N1179" s="7" t="s">
        <v>91</v>
      </c>
    </row>
    <row r="1180" spans="1:14" x14ac:dyDescent="0.25">
      <c r="A1180" s="41" t="s">
        <v>420</v>
      </c>
      <c r="B1180" s="1">
        <v>2</v>
      </c>
      <c r="C1180" s="8">
        <v>46126</v>
      </c>
      <c r="D1180" s="1" t="s">
        <v>1664</v>
      </c>
      <c r="E1180" s="7" t="s">
        <v>14</v>
      </c>
      <c r="F1180" s="1" t="s">
        <v>26</v>
      </c>
      <c r="G1180" s="9" t="s">
        <v>35</v>
      </c>
      <c r="H1180" s="7">
        <v>1392</v>
      </c>
      <c r="I1180" s="18">
        <v>15000000</v>
      </c>
      <c r="J1180" s="10">
        <v>11038.14</v>
      </c>
      <c r="K1180" s="7" t="s">
        <v>12</v>
      </c>
      <c r="L1180" s="7" t="s">
        <v>53</v>
      </c>
      <c r="M1180" s="34">
        <v>46128</v>
      </c>
      <c r="N1180" s="7" t="s">
        <v>91</v>
      </c>
    </row>
    <row r="1181" spans="1:14" x14ac:dyDescent="0.25">
      <c r="A1181" s="41" t="s">
        <v>1413</v>
      </c>
      <c r="B1181" s="1">
        <v>1</v>
      </c>
      <c r="C1181" s="8">
        <v>46120</v>
      </c>
      <c r="D1181" s="1" t="s">
        <v>1663</v>
      </c>
      <c r="E1181" s="7" t="s">
        <v>11</v>
      </c>
      <c r="F1181" s="1" t="s">
        <v>26</v>
      </c>
      <c r="G1181" s="9" t="s">
        <v>35</v>
      </c>
      <c r="H1181" s="7">
        <v>2449</v>
      </c>
      <c r="I1181" s="18">
        <v>15000000</v>
      </c>
      <c r="J1181" s="10">
        <v>16250</v>
      </c>
      <c r="K1181" s="7" t="s">
        <v>12</v>
      </c>
      <c r="L1181" s="7" t="s">
        <v>53</v>
      </c>
      <c r="M1181" s="34">
        <v>46126</v>
      </c>
      <c r="N1181" s="7" t="s">
        <v>41</v>
      </c>
    </row>
    <row r="1182" spans="1:14" x14ac:dyDescent="0.25">
      <c r="A1182" s="41" t="s">
        <v>199</v>
      </c>
      <c r="B1182" s="1">
        <v>2</v>
      </c>
      <c r="C1182" s="8">
        <v>46126</v>
      </c>
      <c r="D1182" s="1" t="s">
        <v>1665</v>
      </c>
      <c r="E1182" s="7" t="s">
        <v>2</v>
      </c>
      <c r="F1182" s="1" t="s">
        <v>26</v>
      </c>
      <c r="G1182" s="9" t="s">
        <v>35</v>
      </c>
      <c r="H1182" s="7" t="s">
        <v>74</v>
      </c>
      <c r="I1182" s="18">
        <v>15001001</v>
      </c>
      <c r="J1182" s="10">
        <v>6000</v>
      </c>
      <c r="K1182" s="7" t="s">
        <v>12</v>
      </c>
      <c r="L1182" s="7" t="s">
        <v>53</v>
      </c>
      <c r="M1182" s="34">
        <v>46127</v>
      </c>
      <c r="N1182" s="7" t="s">
        <v>91</v>
      </c>
    </row>
    <row r="1183" spans="1:14" x14ac:dyDescent="0.25">
      <c r="A1183" s="41" t="s">
        <v>1667</v>
      </c>
      <c r="B1183" s="1">
        <v>1</v>
      </c>
      <c r="C1183" s="8">
        <v>46121</v>
      </c>
      <c r="D1183" s="1" t="s">
        <v>1700</v>
      </c>
      <c r="E1183" s="7" t="s">
        <v>17</v>
      </c>
      <c r="F1183" s="1" t="s">
        <v>26</v>
      </c>
      <c r="G1183" s="9" t="s">
        <v>35</v>
      </c>
      <c r="H1183" s="7" t="s">
        <v>74</v>
      </c>
      <c r="I1183" s="18" t="s">
        <v>0</v>
      </c>
      <c r="J1183" s="10">
        <v>1960.68</v>
      </c>
      <c r="K1183" s="7" t="s">
        <v>12</v>
      </c>
      <c r="L1183" s="7" t="s">
        <v>53</v>
      </c>
      <c r="M1183" s="34">
        <v>46121</v>
      </c>
      <c r="N1183" s="7" t="s">
        <v>41</v>
      </c>
    </row>
    <row r="1184" spans="1:14" x14ac:dyDescent="0.25">
      <c r="A1184" s="41" t="s">
        <v>1699</v>
      </c>
      <c r="B1184" s="1">
        <v>1</v>
      </c>
      <c r="C1184" s="8">
        <v>46120</v>
      </c>
      <c r="D1184" s="1" t="s">
        <v>1666</v>
      </c>
      <c r="E1184" s="7" t="s">
        <v>17</v>
      </c>
      <c r="F1184" s="1" t="s">
        <v>26</v>
      </c>
      <c r="G1184" s="9" t="s">
        <v>35</v>
      </c>
      <c r="H1184" s="7" t="s">
        <v>74</v>
      </c>
      <c r="I1184" s="18" t="s">
        <v>0</v>
      </c>
      <c r="J1184" s="10" t="s">
        <v>61</v>
      </c>
      <c r="K1184" s="7" t="s">
        <v>12</v>
      </c>
      <c r="L1184" s="7" t="s">
        <v>53</v>
      </c>
      <c r="M1184" s="34">
        <v>46122</v>
      </c>
      <c r="N1184" s="7" t="s">
        <v>41</v>
      </c>
    </row>
    <row r="1185" spans="1:14" x14ac:dyDescent="0.25">
      <c r="A1185" s="41" t="s">
        <v>1417</v>
      </c>
      <c r="B1185" s="1">
        <v>1</v>
      </c>
      <c r="C1185" s="8">
        <v>46120</v>
      </c>
      <c r="D1185" s="1" t="s">
        <v>1668</v>
      </c>
      <c r="E1185" s="7" t="s">
        <v>13</v>
      </c>
      <c r="F1185" s="1" t="s">
        <v>26</v>
      </c>
      <c r="G1185" s="9" t="s">
        <v>35</v>
      </c>
      <c r="H1185" s="7" t="s">
        <v>74</v>
      </c>
      <c r="I1185" s="18">
        <v>16000000</v>
      </c>
      <c r="J1185" s="10">
        <v>235000</v>
      </c>
      <c r="K1185" s="7" t="s">
        <v>13</v>
      </c>
      <c r="L1185" s="7" t="s">
        <v>54</v>
      </c>
      <c r="M1185" s="34">
        <v>46121</v>
      </c>
      <c r="N1185" s="7" t="s">
        <v>41</v>
      </c>
    </row>
    <row r="1186" spans="1:14" x14ac:dyDescent="0.25">
      <c r="A1186" s="41" t="s">
        <v>1417</v>
      </c>
      <c r="B1186" s="1">
        <v>1</v>
      </c>
      <c r="C1186" s="8">
        <v>46120</v>
      </c>
      <c r="D1186" s="1" t="s">
        <v>1669</v>
      </c>
      <c r="E1186" s="7" t="s">
        <v>13</v>
      </c>
      <c r="F1186" s="1" t="s">
        <v>26</v>
      </c>
      <c r="G1186" s="9" t="s">
        <v>35</v>
      </c>
      <c r="H1186" s="7" t="s">
        <v>74</v>
      </c>
      <c r="I1186" s="18">
        <v>15001002</v>
      </c>
      <c r="J1186" s="10">
        <v>1263291.6299999999</v>
      </c>
      <c r="K1186" s="7" t="s">
        <v>13</v>
      </c>
      <c r="L1186" s="7" t="s">
        <v>54</v>
      </c>
      <c r="M1186" s="34">
        <v>46121</v>
      </c>
      <c r="N1186" s="7" t="s">
        <v>41</v>
      </c>
    </row>
    <row r="1187" spans="1:14" x14ac:dyDescent="0.25">
      <c r="A1187" s="41" t="s">
        <v>210</v>
      </c>
      <c r="B1187" s="1">
        <v>1</v>
      </c>
      <c r="C1187" s="8">
        <v>46120</v>
      </c>
      <c r="D1187" s="1" t="s">
        <v>1670</v>
      </c>
      <c r="E1187" s="7" t="s">
        <v>2</v>
      </c>
      <c r="F1187" s="1" t="s">
        <v>26</v>
      </c>
      <c r="G1187" s="9" t="s">
        <v>35</v>
      </c>
      <c r="H1187" s="7">
        <v>279864</v>
      </c>
      <c r="I1187" s="18">
        <v>15001001</v>
      </c>
      <c r="J1187" s="10">
        <v>722.8</v>
      </c>
      <c r="K1187" s="7" t="s">
        <v>12</v>
      </c>
      <c r="L1187" s="7" t="s">
        <v>53</v>
      </c>
      <c r="M1187" s="34">
        <v>46122</v>
      </c>
      <c r="N1187" s="7" t="s">
        <v>52</v>
      </c>
    </row>
    <row r="1188" spans="1:14" x14ac:dyDescent="0.25">
      <c r="A1188" s="41" t="s">
        <v>1413</v>
      </c>
      <c r="B1188" s="1">
        <v>1</v>
      </c>
      <c r="C1188" s="8">
        <v>46120</v>
      </c>
      <c r="D1188" s="1" t="s">
        <v>1671</v>
      </c>
      <c r="E1188" s="7" t="s">
        <v>11</v>
      </c>
      <c r="F1188" s="1" t="s">
        <v>26</v>
      </c>
      <c r="G1188" s="9" t="s">
        <v>35</v>
      </c>
      <c r="H1188" s="7">
        <v>2450</v>
      </c>
      <c r="I1188" s="18">
        <v>15000000</v>
      </c>
      <c r="J1188" s="10">
        <v>5000</v>
      </c>
      <c r="K1188" s="7" t="s">
        <v>12</v>
      </c>
      <c r="L1188" s="7" t="s">
        <v>53</v>
      </c>
      <c r="M1188" s="34">
        <v>46126</v>
      </c>
      <c r="N1188" s="7" t="s">
        <v>41</v>
      </c>
    </row>
    <row r="1189" spans="1:14" x14ac:dyDescent="0.25">
      <c r="A1189" s="41" t="s">
        <v>536</v>
      </c>
      <c r="B1189" s="1">
        <v>1</v>
      </c>
      <c r="C1189" s="8">
        <v>46126</v>
      </c>
      <c r="D1189" s="1" t="s">
        <v>1921</v>
      </c>
      <c r="E1189" s="7" t="s">
        <v>13</v>
      </c>
      <c r="F1189" s="1" t="s">
        <v>26</v>
      </c>
      <c r="G1189" s="9" t="s">
        <v>35</v>
      </c>
      <c r="H1189" s="7">
        <v>1079</v>
      </c>
      <c r="I1189" s="18">
        <v>15001002</v>
      </c>
      <c r="J1189" s="10">
        <v>3150</v>
      </c>
      <c r="K1189" s="7" t="s">
        <v>13</v>
      </c>
      <c r="L1189" s="7" t="s">
        <v>54</v>
      </c>
      <c r="M1189" s="34">
        <v>46129</v>
      </c>
      <c r="N1189" s="7" t="s">
        <v>91</v>
      </c>
    </row>
    <row r="1190" spans="1:14" x14ac:dyDescent="0.25">
      <c r="A1190" s="41" t="s">
        <v>1413</v>
      </c>
      <c r="B1190" s="1">
        <v>2</v>
      </c>
      <c r="C1190" s="8">
        <v>46127</v>
      </c>
      <c r="D1190" s="1" t="s">
        <v>1672</v>
      </c>
      <c r="E1190" s="7" t="s">
        <v>11</v>
      </c>
      <c r="F1190" s="1" t="s">
        <v>26</v>
      </c>
      <c r="G1190" s="9" t="s">
        <v>35</v>
      </c>
      <c r="H1190" s="7">
        <v>2451</v>
      </c>
      <c r="I1190" s="18">
        <v>15000000</v>
      </c>
      <c r="J1190" s="10">
        <v>10500</v>
      </c>
      <c r="K1190" s="7" t="s">
        <v>12</v>
      </c>
      <c r="L1190" s="7" t="s">
        <v>53</v>
      </c>
      <c r="M1190" s="34">
        <v>46127</v>
      </c>
      <c r="N1190" s="7" t="s">
        <v>46</v>
      </c>
    </row>
    <row r="1191" spans="1:14" x14ac:dyDescent="0.25">
      <c r="A1191" s="41" t="s">
        <v>181</v>
      </c>
      <c r="B1191" s="1">
        <v>2</v>
      </c>
      <c r="C1191" s="8">
        <v>46126</v>
      </c>
      <c r="D1191" s="1" t="s">
        <v>1673</v>
      </c>
      <c r="E1191" s="7" t="s">
        <v>16</v>
      </c>
      <c r="F1191" s="1" t="s">
        <v>26</v>
      </c>
      <c r="G1191" s="9" t="s">
        <v>35</v>
      </c>
      <c r="H1191" s="7">
        <v>950594607</v>
      </c>
      <c r="I1191" s="18">
        <v>16610000</v>
      </c>
      <c r="J1191" s="10">
        <v>1095.6500000000001</v>
      </c>
      <c r="K1191" s="7" t="s">
        <v>12</v>
      </c>
      <c r="L1191" s="7" t="s">
        <v>53</v>
      </c>
      <c r="M1191" s="34">
        <v>46126</v>
      </c>
      <c r="N1191" s="7" t="s">
        <v>52</v>
      </c>
    </row>
    <row r="1192" spans="1:14" x14ac:dyDescent="0.25">
      <c r="A1192" s="41" t="s">
        <v>199</v>
      </c>
      <c r="B1192" s="1">
        <v>2</v>
      </c>
      <c r="C1192" s="8">
        <v>46126</v>
      </c>
      <c r="D1192" s="1" t="s">
        <v>1674</v>
      </c>
      <c r="E1192" s="7" t="s">
        <v>16</v>
      </c>
      <c r="F1192" s="1" t="s">
        <v>26</v>
      </c>
      <c r="G1192" s="9" t="s">
        <v>35</v>
      </c>
      <c r="H1192" s="7">
        <v>485</v>
      </c>
      <c r="I1192" s="18">
        <v>15000000</v>
      </c>
      <c r="J1192" s="10">
        <v>3000</v>
      </c>
      <c r="K1192" s="7" t="s">
        <v>12</v>
      </c>
      <c r="L1192" s="7" t="s">
        <v>53</v>
      </c>
      <c r="M1192" s="34">
        <v>46135</v>
      </c>
      <c r="N1192" s="7" t="s">
        <v>91</v>
      </c>
    </row>
    <row r="1193" spans="1:14" x14ac:dyDescent="0.25">
      <c r="A1193" s="41" t="s">
        <v>210</v>
      </c>
      <c r="B1193" s="1">
        <v>2</v>
      </c>
      <c r="C1193" s="8">
        <v>46125</v>
      </c>
      <c r="D1193" s="1" t="s">
        <v>1675</v>
      </c>
      <c r="E1193" s="7" t="s">
        <v>16</v>
      </c>
      <c r="F1193" s="1" t="s">
        <v>26</v>
      </c>
      <c r="G1193" s="9" t="s">
        <v>35</v>
      </c>
      <c r="H1193" s="7" t="s">
        <v>74</v>
      </c>
      <c r="I1193" s="18">
        <v>15000000</v>
      </c>
      <c r="J1193" s="10">
        <v>379.59</v>
      </c>
      <c r="K1193" s="7" t="s">
        <v>12</v>
      </c>
      <c r="L1193" s="7" t="s">
        <v>53</v>
      </c>
      <c r="M1193" s="34">
        <v>46126</v>
      </c>
      <c r="N1193" s="7" t="s">
        <v>52</v>
      </c>
    </row>
    <row r="1194" spans="1:14" x14ac:dyDescent="0.25">
      <c r="A1194" s="41" t="s">
        <v>201</v>
      </c>
      <c r="B1194" s="1">
        <v>1</v>
      </c>
      <c r="C1194" s="8">
        <v>46120</v>
      </c>
      <c r="D1194" s="1" t="s">
        <v>1676</v>
      </c>
      <c r="E1194" s="7" t="s">
        <v>13</v>
      </c>
      <c r="F1194" s="1" t="s">
        <v>26</v>
      </c>
      <c r="G1194" s="9" t="s">
        <v>35</v>
      </c>
      <c r="H1194" s="7">
        <v>90</v>
      </c>
      <c r="I1194" s="18">
        <v>16000000</v>
      </c>
      <c r="J1194" s="10">
        <v>3554.76</v>
      </c>
      <c r="K1194" s="7" t="s">
        <v>13</v>
      </c>
      <c r="L1194" s="7" t="s">
        <v>54</v>
      </c>
      <c r="M1194" s="34">
        <v>46122</v>
      </c>
      <c r="N1194" s="7" t="s">
        <v>91</v>
      </c>
    </row>
    <row r="1195" spans="1:14" x14ac:dyDescent="0.25">
      <c r="A1195" s="41" t="s">
        <v>210</v>
      </c>
      <c r="B1195" s="1">
        <v>1</v>
      </c>
      <c r="C1195" s="8">
        <v>46120</v>
      </c>
      <c r="D1195" s="1" t="s">
        <v>1677</v>
      </c>
      <c r="E1195" s="7" t="s">
        <v>13</v>
      </c>
      <c r="F1195" s="1" t="s">
        <v>26</v>
      </c>
      <c r="G1195" s="9" t="s">
        <v>35</v>
      </c>
      <c r="H1195" s="7" t="s">
        <v>74</v>
      </c>
      <c r="I1195" s="18">
        <v>15001002</v>
      </c>
      <c r="J1195" s="10">
        <v>897.47</v>
      </c>
      <c r="K1195" s="7" t="s">
        <v>13</v>
      </c>
      <c r="L1195" s="7" t="s">
        <v>54</v>
      </c>
      <c r="M1195" s="34">
        <v>46122</v>
      </c>
      <c r="N1195" s="7" t="s">
        <v>52</v>
      </c>
    </row>
    <row r="1196" spans="1:14" x14ac:dyDescent="0.25">
      <c r="A1196" s="41" t="s">
        <v>370</v>
      </c>
      <c r="B1196" s="1">
        <v>2</v>
      </c>
      <c r="C1196" s="8">
        <v>46126</v>
      </c>
      <c r="D1196" s="1" t="s">
        <v>1678</v>
      </c>
      <c r="E1196" s="7" t="s">
        <v>2</v>
      </c>
      <c r="F1196" s="1" t="s">
        <v>26</v>
      </c>
      <c r="G1196" s="9" t="s">
        <v>35</v>
      </c>
      <c r="H1196" s="7">
        <v>815</v>
      </c>
      <c r="I1196" s="18">
        <v>15001001</v>
      </c>
      <c r="J1196" s="10">
        <v>4466</v>
      </c>
      <c r="K1196" s="7" t="s">
        <v>12</v>
      </c>
      <c r="L1196" s="7" t="s">
        <v>53</v>
      </c>
      <c r="M1196" s="34">
        <v>46127</v>
      </c>
      <c r="N1196" s="7" t="s">
        <v>91</v>
      </c>
    </row>
    <row r="1197" spans="1:14" x14ac:dyDescent="0.25">
      <c r="A1197" s="41" t="s">
        <v>448</v>
      </c>
      <c r="B1197" s="1">
        <v>2</v>
      </c>
      <c r="C1197" s="8">
        <v>46127</v>
      </c>
      <c r="D1197" s="1" t="s">
        <v>1679</v>
      </c>
      <c r="E1197" s="7" t="s">
        <v>2</v>
      </c>
      <c r="F1197" s="1" t="s">
        <v>26</v>
      </c>
      <c r="G1197" s="9" t="s">
        <v>35</v>
      </c>
      <c r="H1197" s="7">
        <v>45905</v>
      </c>
      <c r="I1197" s="18">
        <v>15001001</v>
      </c>
      <c r="J1197" s="10">
        <v>10188</v>
      </c>
      <c r="K1197" s="7" t="s">
        <v>12</v>
      </c>
      <c r="L1197" s="7" t="s">
        <v>53</v>
      </c>
      <c r="M1197" s="34">
        <v>46127</v>
      </c>
      <c r="N1197" s="7" t="s">
        <v>774</v>
      </c>
    </row>
    <row r="1198" spans="1:14" x14ac:dyDescent="0.25">
      <c r="A1198" s="41" t="s">
        <v>891</v>
      </c>
      <c r="B1198" s="1">
        <v>1</v>
      </c>
      <c r="C1198" s="8">
        <v>46120</v>
      </c>
      <c r="D1198" s="1" t="s">
        <v>1680</v>
      </c>
      <c r="E1198" s="7" t="s">
        <v>2</v>
      </c>
      <c r="F1198" s="1" t="s">
        <v>26</v>
      </c>
      <c r="G1198" s="9" t="s">
        <v>35</v>
      </c>
      <c r="H1198" s="7">
        <v>4543</v>
      </c>
      <c r="I1198" s="18">
        <v>15001001</v>
      </c>
      <c r="J1198" s="10">
        <v>9491.77</v>
      </c>
      <c r="K1198" s="7" t="s">
        <v>12</v>
      </c>
      <c r="L1198" s="7" t="s">
        <v>53</v>
      </c>
      <c r="M1198" s="34">
        <v>46126</v>
      </c>
      <c r="N1198" s="7" t="s">
        <v>91</v>
      </c>
    </row>
    <row r="1199" spans="1:14" x14ac:dyDescent="0.25">
      <c r="A1199" s="41" t="s">
        <v>364</v>
      </c>
      <c r="B1199" s="1">
        <v>2</v>
      </c>
      <c r="C1199" s="8">
        <v>46127</v>
      </c>
      <c r="D1199" s="1" t="s">
        <v>1681</v>
      </c>
      <c r="E1199" s="7" t="s">
        <v>13</v>
      </c>
      <c r="F1199" s="1" t="s">
        <v>26</v>
      </c>
      <c r="G1199" s="9" t="s">
        <v>35</v>
      </c>
      <c r="H1199" s="7">
        <v>2587</v>
      </c>
      <c r="I1199" s="18">
        <v>15001002</v>
      </c>
      <c r="J1199" s="10">
        <v>12664.48</v>
      </c>
      <c r="K1199" s="7" t="s">
        <v>13</v>
      </c>
      <c r="L1199" s="7" t="s">
        <v>54</v>
      </c>
      <c r="M1199" s="34">
        <v>46127</v>
      </c>
      <c r="N1199" s="7" t="s">
        <v>46</v>
      </c>
    </row>
    <row r="1200" spans="1:14" x14ac:dyDescent="0.25">
      <c r="A1200" s="41" t="s">
        <v>181</v>
      </c>
      <c r="B1200" s="1">
        <v>1</v>
      </c>
      <c r="C1200" s="8">
        <v>46120</v>
      </c>
      <c r="D1200" s="1" t="s">
        <v>1682</v>
      </c>
      <c r="E1200" s="7" t="s">
        <v>16</v>
      </c>
      <c r="F1200" s="1" t="s">
        <v>26</v>
      </c>
      <c r="G1200" s="9" t="s">
        <v>35</v>
      </c>
      <c r="H1200" s="7">
        <v>950389106</v>
      </c>
      <c r="I1200" s="18">
        <v>16600000</v>
      </c>
      <c r="J1200" s="10">
        <v>3122.63</v>
      </c>
      <c r="K1200" s="7" t="s">
        <v>12</v>
      </c>
      <c r="L1200" s="7" t="s">
        <v>53</v>
      </c>
      <c r="M1200" s="34">
        <v>46126</v>
      </c>
      <c r="N1200" s="7" t="s">
        <v>52</v>
      </c>
    </row>
    <row r="1201" spans="1:14" x14ac:dyDescent="0.25">
      <c r="A1201" s="41" t="s">
        <v>181</v>
      </c>
      <c r="B1201" s="1">
        <v>1</v>
      </c>
      <c r="C1201" s="8">
        <v>46120</v>
      </c>
      <c r="D1201" s="1" t="s">
        <v>1683</v>
      </c>
      <c r="E1201" s="7" t="s">
        <v>16</v>
      </c>
      <c r="F1201" s="1" t="s">
        <v>26</v>
      </c>
      <c r="G1201" s="9" t="s">
        <v>35</v>
      </c>
      <c r="H1201" s="7">
        <v>950594608</v>
      </c>
      <c r="I1201" s="18">
        <v>16600000</v>
      </c>
      <c r="J1201" s="10">
        <v>395.84</v>
      </c>
      <c r="K1201" s="7" t="s">
        <v>12</v>
      </c>
      <c r="L1201" s="7" t="s">
        <v>53</v>
      </c>
      <c r="M1201" s="34">
        <v>46126</v>
      </c>
      <c r="N1201" s="7" t="s">
        <v>52</v>
      </c>
    </row>
    <row r="1202" spans="1:14" x14ac:dyDescent="0.25">
      <c r="A1202" s="41" t="s">
        <v>432</v>
      </c>
      <c r="B1202" s="1">
        <v>1</v>
      </c>
      <c r="C1202" s="8">
        <v>46120</v>
      </c>
      <c r="D1202" s="1" t="s">
        <v>1684</v>
      </c>
      <c r="E1202" s="7" t="s">
        <v>14</v>
      </c>
      <c r="F1202" s="1" t="s">
        <v>26</v>
      </c>
      <c r="G1202" s="9" t="s">
        <v>35</v>
      </c>
      <c r="H1202" s="7">
        <v>120331</v>
      </c>
      <c r="I1202" s="18">
        <v>15000000</v>
      </c>
      <c r="J1202" s="10">
        <v>1800</v>
      </c>
      <c r="K1202" s="7" t="s">
        <v>12</v>
      </c>
      <c r="L1202" s="7" t="s">
        <v>53</v>
      </c>
      <c r="M1202" s="34">
        <v>46126</v>
      </c>
      <c r="N1202" s="7" t="s">
        <v>91</v>
      </c>
    </row>
    <row r="1203" spans="1:14" x14ac:dyDescent="0.25">
      <c r="A1203" s="41" t="s">
        <v>367</v>
      </c>
      <c r="B1203" s="1">
        <v>2</v>
      </c>
      <c r="C1203" s="8">
        <v>46125</v>
      </c>
      <c r="D1203" s="1" t="s">
        <v>1685</v>
      </c>
      <c r="E1203" s="7" t="s">
        <v>14</v>
      </c>
      <c r="F1203" s="1" t="s">
        <v>26</v>
      </c>
      <c r="G1203" s="9" t="s">
        <v>35</v>
      </c>
      <c r="H1203" s="7" t="s">
        <v>74</v>
      </c>
      <c r="I1203" s="18">
        <v>15000000</v>
      </c>
      <c r="J1203" s="10">
        <v>2327.7199999999998</v>
      </c>
      <c r="K1203" s="7" t="s">
        <v>12</v>
      </c>
      <c r="L1203" s="7" t="s">
        <v>53</v>
      </c>
      <c r="M1203" s="34">
        <v>46125</v>
      </c>
      <c r="N1203" s="7" t="s">
        <v>46</v>
      </c>
    </row>
    <row r="1204" spans="1:14" x14ac:dyDescent="0.25">
      <c r="A1204" s="41" t="s">
        <v>181</v>
      </c>
      <c r="B1204" s="1">
        <v>1</v>
      </c>
      <c r="C1204" s="8">
        <v>46120</v>
      </c>
      <c r="D1204" s="1" t="s">
        <v>1686</v>
      </c>
      <c r="E1204" s="7" t="s">
        <v>16</v>
      </c>
      <c r="F1204" s="1" t="s">
        <v>26</v>
      </c>
      <c r="G1204" s="9" t="s">
        <v>35</v>
      </c>
      <c r="H1204" s="7">
        <v>950389144</v>
      </c>
      <c r="I1204" s="18">
        <v>15010000</v>
      </c>
      <c r="J1204" s="10">
        <v>1635.12</v>
      </c>
      <c r="K1204" s="7" t="s">
        <v>12</v>
      </c>
      <c r="L1204" s="7" t="s">
        <v>53</v>
      </c>
      <c r="M1204" s="34">
        <v>46126</v>
      </c>
      <c r="N1204" s="7" t="s">
        <v>52</v>
      </c>
    </row>
    <row r="1205" spans="1:14" x14ac:dyDescent="0.25">
      <c r="A1205" s="41" t="s">
        <v>476</v>
      </c>
      <c r="B1205" s="1">
        <v>2</v>
      </c>
      <c r="C1205" s="8">
        <v>46125</v>
      </c>
      <c r="D1205" s="1" t="s">
        <v>1687</v>
      </c>
      <c r="E1205" s="7" t="s">
        <v>11</v>
      </c>
      <c r="F1205" s="1" t="s">
        <v>26</v>
      </c>
      <c r="G1205" s="9" t="s">
        <v>35</v>
      </c>
      <c r="H1205" s="7" t="s">
        <v>74</v>
      </c>
      <c r="I1205" s="18">
        <v>15000000</v>
      </c>
      <c r="J1205" s="10">
        <v>37200</v>
      </c>
      <c r="K1205" s="7" t="s">
        <v>12</v>
      </c>
      <c r="L1205" s="7" t="s">
        <v>53</v>
      </c>
      <c r="M1205" s="34">
        <v>46126</v>
      </c>
      <c r="N1205" s="7" t="s">
        <v>41</v>
      </c>
    </row>
    <row r="1206" spans="1:14" x14ac:dyDescent="0.25">
      <c r="A1206" s="41" t="s">
        <v>476</v>
      </c>
      <c r="B1206" s="1">
        <v>1</v>
      </c>
      <c r="C1206" s="8">
        <v>46120</v>
      </c>
      <c r="D1206" s="1" t="s">
        <v>1688</v>
      </c>
      <c r="E1206" s="7" t="s">
        <v>11</v>
      </c>
      <c r="F1206" s="1" t="s">
        <v>26</v>
      </c>
      <c r="G1206" s="9" t="s">
        <v>35</v>
      </c>
      <c r="H1206" s="7">
        <v>499</v>
      </c>
      <c r="I1206" s="18">
        <v>15000000</v>
      </c>
      <c r="J1206" s="10">
        <v>178747.5</v>
      </c>
      <c r="K1206" s="7" t="s">
        <v>12</v>
      </c>
      <c r="L1206" s="7" t="s">
        <v>53</v>
      </c>
      <c r="M1206" s="34">
        <v>46126</v>
      </c>
      <c r="N1206" s="7" t="s">
        <v>41</v>
      </c>
    </row>
    <row r="1207" spans="1:14" x14ac:dyDescent="0.25">
      <c r="A1207" s="41" t="s">
        <v>1516</v>
      </c>
      <c r="B1207" s="1">
        <v>1</v>
      </c>
      <c r="C1207" s="8">
        <v>46120</v>
      </c>
      <c r="D1207" s="1" t="s">
        <v>1689</v>
      </c>
      <c r="E1207" s="7" t="s">
        <v>11</v>
      </c>
      <c r="F1207" s="1" t="s">
        <v>26</v>
      </c>
      <c r="G1207" s="9" t="s">
        <v>37</v>
      </c>
      <c r="H1207" s="7" t="s">
        <v>74</v>
      </c>
      <c r="I1207" s="18" t="s">
        <v>0</v>
      </c>
      <c r="J1207" s="10" t="s">
        <v>61</v>
      </c>
      <c r="K1207" s="7" t="s">
        <v>22</v>
      </c>
      <c r="L1207" s="7" t="s">
        <v>55</v>
      </c>
      <c r="M1207" s="34">
        <v>46135</v>
      </c>
      <c r="N1207" s="7" t="s">
        <v>91</v>
      </c>
    </row>
    <row r="1208" spans="1:14" x14ac:dyDescent="0.25">
      <c r="A1208" s="41" t="s">
        <v>448</v>
      </c>
      <c r="B1208" s="1">
        <v>2</v>
      </c>
      <c r="C1208" s="8">
        <v>46140</v>
      </c>
      <c r="D1208" s="1" t="s">
        <v>1691</v>
      </c>
      <c r="E1208" s="7" t="s">
        <v>14</v>
      </c>
      <c r="F1208" s="1" t="s">
        <v>26</v>
      </c>
      <c r="G1208" s="9" t="s">
        <v>35</v>
      </c>
      <c r="H1208" s="7">
        <v>45907</v>
      </c>
      <c r="I1208" s="18">
        <v>15000000</v>
      </c>
      <c r="J1208" s="10">
        <v>1336</v>
      </c>
      <c r="K1208" s="7" t="s">
        <v>12</v>
      </c>
      <c r="L1208" s="7" t="s">
        <v>53</v>
      </c>
      <c r="M1208" s="34">
        <v>46142</v>
      </c>
      <c r="N1208" s="7" t="s">
        <v>774</v>
      </c>
    </row>
    <row r="1209" spans="1:14" x14ac:dyDescent="0.25">
      <c r="A1209" s="41" t="s">
        <v>815</v>
      </c>
      <c r="B1209" s="1">
        <v>1</v>
      </c>
      <c r="C1209" s="8">
        <v>46120</v>
      </c>
      <c r="D1209" s="1" t="s">
        <v>1692</v>
      </c>
      <c r="E1209" s="7" t="s">
        <v>2</v>
      </c>
      <c r="F1209" s="1" t="s">
        <v>26</v>
      </c>
      <c r="G1209" s="9" t="s">
        <v>35</v>
      </c>
      <c r="H1209" s="7">
        <v>1433</v>
      </c>
      <c r="I1209" s="18">
        <v>15001001</v>
      </c>
      <c r="J1209" s="10">
        <v>33119</v>
      </c>
      <c r="K1209" s="7" t="s">
        <v>12</v>
      </c>
      <c r="L1209" s="7" t="s">
        <v>53</v>
      </c>
      <c r="M1209" s="34">
        <v>46126</v>
      </c>
      <c r="N1209" s="7" t="s">
        <v>774</v>
      </c>
    </row>
    <row r="1210" spans="1:14" x14ac:dyDescent="0.25">
      <c r="A1210" s="41" t="s">
        <v>179</v>
      </c>
      <c r="B1210" s="1">
        <v>1</v>
      </c>
      <c r="C1210" s="8">
        <v>46120</v>
      </c>
      <c r="D1210" s="1" t="s">
        <v>1693</v>
      </c>
      <c r="E1210" s="7" t="s">
        <v>13</v>
      </c>
      <c r="F1210" s="1" t="s">
        <v>26</v>
      </c>
      <c r="G1210" s="9" t="s">
        <v>35</v>
      </c>
      <c r="H1210" s="7">
        <v>13</v>
      </c>
      <c r="I1210" s="18">
        <v>15001002</v>
      </c>
      <c r="J1210" s="10">
        <v>7080</v>
      </c>
      <c r="K1210" s="7" t="s">
        <v>13</v>
      </c>
      <c r="L1210" s="7" t="s">
        <v>54</v>
      </c>
      <c r="M1210" s="34">
        <v>46122</v>
      </c>
      <c r="N1210" s="7" t="s">
        <v>91</v>
      </c>
    </row>
    <row r="1211" spans="1:14" x14ac:dyDescent="0.25">
      <c r="A1211" s="41" t="s">
        <v>319</v>
      </c>
      <c r="B1211" s="1">
        <v>1</v>
      </c>
      <c r="C1211" s="8">
        <v>46120</v>
      </c>
      <c r="D1211" s="1" t="s">
        <v>1694</v>
      </c>
      <c r="E1211" s="7" t="s">
        <v>13</v>
      </c>
      <c r="F1211" s="1" t="s">
        <v>26</v>
      </c>
      <c r="G1211" s="9" t="s">
        <v>35</v>
      </c>
      <c r="H1211" s="7">
        <v>196</v>
      </c>
      <c r="I1211" s="18">
        <v>16000000</v>
      </c>
      <c r="J1211" s="10">
        <v>4376.42</v>
      </c>
      <c r="K1211" s="7" t="s">
        <v>13</v>
      </c>
      <c r="L1211" s="7" t="s">
        <v>54</v>
      </c>
      <c r="M1211" s="34">
        <v>46122</v>
      </c>
      <c r="N1211" s="7" t="s">
        <v>91</v>
      </c>
    </row>
    <row r="1212" spans="1:14" x14ac:dyDescent="0.25">
      <c r="A1212" s="41" t="s">
        <v>181</v>
      </c>
      <c r="B1212" s="1">
        <v>1</v>
      </c>
      <c r="C1212" s="8">
        <v>46120</v>
      </c>
      <c r="D1212" s="1" t="s">
        <v>1695</v>
      </c>
      <c r="E1212" s="7" t="s">
        <v>16</v>
      </c>
      <c r="F1212" s="1" t="s">
        <v>26</v>
      </c>
      <c r="G1212" s="9" t="s">
        <v>35</v>
      </c>
      <c r="H1212" s="7">
        <v>950389105</v>
      </c>
      <c r="I1212" s="18">
        <v>15000000</v>
      </c>
      <c r="J1212" s="10">
        <v>85.22</v>
      </c>
      <c r="K1212" s="7" t="s">
        <v>12</v>
      </c>
      <c r="L1212" s="7" t="s">
        <v>53</v>
      </c>
      <c r="M1212" s="34">
        <v>46126</v>
      </c>
      <c r="N1212" s="7" t="s">
        <v>52</v>
      </c>
    </row>
    <row r="1213" spans="1:14" x14ac:dyDescent="0.25">
      <c r="A1213" s="41" t="s">
        <v>574</v>
      </c>
      <c r="B1213" s="1">
        <v>1</v>
      </c>
      <c r="C1213" s="8">
        <v>46120</v>
      </c>
      <c r="D1213" s="1" t="s">
        <v>1696</v>
      </c>
      <c r="E1213" s="7" t="s">
        <v>20</v>
      </c>
      <c r="F1213" s="1" t="s">
        <v>26</v>
      </c>
      <c r="G1213" s="9" t="s">
        <v>35</v>
      </c>
      <c r="H1213" s="7" t="s">
        <v>74</v>
      </c>
      <c r="I1213" s="18">
        <v>17040000</v>
      </c>
      <c r="J1213" s="10">
        <v>28287.599999999999</v>
      </c>
      <c r="K1213" s="7" t="s">
        <v>12</v>
      </c>
      <c r="L1213" s="7" t="s">
        <v>53</v>
      </c>
      <c r="M1213" s="34">
        <v>46129</v>
      </c>
      <c r="N1213" s="7" t="s">
        <v>774</v>
      </c>
    </row>
    <row r="1214" spans="1:14" x14ac:dyDescent="0.25">
      <c r="A1214" s="41" t="s">
        <v>200</v>
      </c>
      <c r="B1214" s="1">
        <v>2</v>
      </c>
      <c r="C1214" s="8">
        <v>46120</v>
      </c>
      <c r="D1214" s="1" t="s">
        <v>1697</v>
      </c>
      <c r="E1214" s="7" t="s">
        <v>13</v>
      </c>
      <c r="F1214" s="1" t="s">
        <v>26</v>
      </c>
      <c r="G1214" s="9" t="s">
        <v>35</v>
      </c>
      <c r="H1214" s="7">
        <v>947</v>
      </c>
      <c r="I1214" s="18">
        <v>16000000</v>
      </c>
      <c r="J1214" s="10">
        <v>2129.48</v>
      </c>
      <c r="K1214" s="7" t="s">
        <v>13</v>
      </c>
      <c r="L1214" s="7" t="s">
        <v>54</v>
      </c>
      <c r="M1214" s="34">
        <v>46125</v>
      </c>
      <c r="N1214" s="7" t="s">
        <v>91</v>
      </c>
    </row>
    <row r="1215" spans="1:14" x14ac:dyDescent="0.25">
      <c r="A1215" s="41" t="s">
        <v>202</v>
      </c>
      <c r="B1215" s="1">
        <v>1</v>
      </c>
      <c r="C1215" s="8">
        <v>46121</v>
      </c>
      <c r="D1215" s="1" t="s">
        <v>1698</v>
      </c>
      <c r="E1215" s="7" t="s">
        <v>13</v>
      </c>
      <c r="F1215" s="1" t="s">
        <v>26</v>
      </c>
      <c r="G1215" s="9" t="s">
        <v>35</v>
      </c>
      <c r="H1215" s="7">
        <v>49</v>
      </c>
      <c r="I1215" s="18">
        <v>16000000</v>
      </c>
      <c r="J1215" s="10">
        <v>4734.84</v>
      </c>
      <c r="K1215" s="7" t="s">
        <v>13</v>
      </c>
      <c r="L1215" s="7" t="s">
        <v>54</v>
      </c>
      <c r="M1215" s="34">
        <v>46122</v>
      </c>
      <c r="N1215" s="7" t="s">
        <v>91</v>
      </c>
    </row>
    <row r="1216" spans="1:14" x14ac:dyDescent="0.25">
      <c r="A1216" s="41" t="s">
        <v>876</v>
      </c>
      <c r="B1216" s="1">
        <v>1</v>
      </c>
      <c r="C1216" s="8">
        <v>46121</v>
      </c>
      <c r="D1216" s="1" t="s">
        <v>1701</v>
      </c>
      <c r="E1216" s="7" t="s">
        <v>16</v>
      </c>
      <c r="F1216" s="1" t="s">
        <v>26</v>
      </c>
      <c r="G1216" s="9" t="s">
        <v>63</v>
      </c>
      <c r="H1216" s="7" t="s">
        <v>74</v>
      </c>
      <c r="I1216" s="18" t="s">
        <v>0</v>
      </c>
      <c r="J1216" s="10">
        <v>6500</v>
      </c>
      <c r="K1216" s="7" t="s">
        <v>17</v>
      </c>
      <c r="L1216" s="7" t="s">
        <v>40</v>
      </c>
      <c r="M1216" s="34">
        <v>46135</v>
      </c>
      <c r="N1216" s="7" t="s">
        <v>41</v>
      </c>
    </row>
    <row r="1217" spans="1:14" x14ac:dyDescent="0.25">
      <c r="A1217" s="41" t="s">
        <v>249</v>
      </c>
      <c r="B1217" s="1">
        <v>1</v>
      </c>
      <c r="C1217" s="8">
        <v>46121</v>
      </c>
      <c r="D1217" s="1" t="s">
        <v>1702</v>
      </c>
      <c r="E1217" s="7" t="s">
        <v>13</v>
      </c>
      <c r="F1217" s="1" t="s">
        <v>26</v>
      </c>
      <c r="G1217" s="9" t="s">
        <v>35</v>
      </c>
      <c r="H1217" s="7">
        <v>361415</v>
      </c>
      <c r="I1217" s="18">
        <v>16000000</v>
      </c>
      <c r="J1217" s="10">
        <v>161</v>
      </c>
      <c r="K1217" s="7" t="s">
        <v>13</v>
      </c>
      <c r="L1217" s="7" t="s">
        <v>54</v>
      </c>
      <c r="M1217" s="34">
        <v>46134</v>
      </c>
      <c r="N1217" s="7" t="s">
        <v>774</v>
      </c>
    </row>
    <row r="1218" spans="1:14" x14ac:dyDescent="0.25">
      <c r="A1218" s="41" t="s">
        <v>339</v>
      </c>
      <c r="B1218" s="1">
        <v>1</v>
      </c>
      <c r="C1218" s="8">
        <v>46121</v>
      </c>
      <c r="D1218" s="1" t="s">
        <v>1703</v>
      </c>
      <c r="E1218" s="7" t="s">
        <v>13</v>
      </c>
      <c r="F1218" s="1" t="s">
        <v>26</v>
      </c>
      <c r="G1218" s="9" t="s">
        <v>35</v>
      </c>
      <c r="H1218" s="7">
        <v>127</v>
      </c>
      <c r="I1218" s="18">
        <v>15001001</v>
      </c>
      <c r="J1218" s="10">
        <v>18000</v>
      </c>
      <c r="K1218" s="7" t="s">
        <v>13</v>
      </c>
      <c r="L1218" s="7" t="s">
        <v>54</v>
      </c>
      <c r="M1218" s="34">
        <v>46128</v>
      </c>
      <c r="N1218" s="7" t="s">
        <v>91</v>
      </c>
    </row>
    <row r="1219" spans="1:14" x14ac:dyDescent="0.25">
      <c r="A1219" s="41" t="s">
        <v>367</v>
      </c>
      <c r="B1219" s="1">
        <v>2</v>
      </c>
      <c r="C1219" s="8">
        <v>46127</v>
      </c>
      <c r="D1219" s="1" t="s">
        <v>1704</v>
      </c>
      <c r="E1219" s="7" t="s">
        <v>13</v>
      </c>
      <c r="F1219" s="1" t="s">
        <v>26</v>
      </c>
      <c r="G1219" s="9" t="s">
        <v>35</v>
      </c>
      <c r="H1219" s="7">
        <v>17571</v>
      </c>
      <c r="I1219" s="18">
        <v>15001002</v>
      </c>
      <c r="J1219" s="10">
        <v>1917.39</v>
      </c>
      <c r="K1219" s="7" t="s">
        <v>13</v>
      </c>
      <c r="L1219" s="7" t="s">
        <v>54</v>
      </c>
      <c r="M1219" s="34">
        <v>46128</v>
      </c>
      <c r="N1219" s="7" t="s">
        <v>91</v>
      </c>
    </row>
    <row r="1220" spans="1:14" x14ac:dyDescent="0.25">
      <c r="A1220" s="41" t="s">
        <v>831</v>
      </c>
      <c r="B1220" s="1">
        <v>1</v>
      </c>
      <c r="C1220" s="8">
        <v>46121</v>
      </c>
      <c r="D1220" s="1" t="s">
        <v>1706</v>
      </c>
      <c r="E1220" s="7" t="s">
        <v>12</v>
      </c>
      <c r="F1220" s="1" t="s">
        <v>26</v>
      </c>
      <c r="G1220" s="9" t="s">
        <v>35</v>
      </c>
      <c r="H1220" s="7">
        <v>778</v>
      </c>
      <c r="I1220" s="18">
        <v>15000000</v>
      </c>
      <c r="J1220" s="10">
        <v>32250</v>
      </c>
      <c r="K1220" s="7" t="s">
        <v>12</v>
      </c>
      <c r="L1220" s="7" t="s">
        <v>53</v>
      </c>
      <c r="M1220" s="34">
        <v>46127</v>
      </c>
      <c r="N1220" s="7" t="s">
        <v>91</v>
      </c>
    </row>
    <row r="1221" spans="1:14" x14ac:dyDescent="0.25">
      <c r="A1221" s="41" t="s">
        <v>183</v>
      </c>
      <c r="B1221" s="1">
        <v>2</v>
      </c>
      <c r="C1221" s="8">
        <v>46128</v>
      </c>
      <c r="D1221" s="1" t="s">
        <v>1707</v>
      </c>
      <c r="E1221" s="7" t="s">
        <v>2</v>
      </c>
      <c r="F1221" s="1" t="s">
        <v>26</v>
      </c>
      <c r="G1221" s="9" t="s">
        <v>35</v>
      </c>
      <c r="H1221" s="7">
        <v>13723</v>
      </c>
      <c r="I1221" s="18">
        <v>15001001</v>
      </c>
      <c r="J1221" s="10">
        <v>8797.83</v>
      </c>
      <c r="K1221" s="7" t="s">
        <v>12</v>
      </c>
      <c r="L1221" s="7" t="s">
        <v>53</v>
      </c>
      <c r="M1221" s="34">
        <v>46129</v>
      </c>
      <c r="N1221" s="7" t="s">
        <v>774</v>
      </c>
    </row>
    <row r="1222" spans="1:14" x14ac:dyDescent="0.25">
      <c r="A1222" s="41" t="s">
        <v>467</v>
      </c>
      <c r="B1222" s="1">
        <v>1</v>
      </c>
      <c r="C1222" s="8">
        <v>46121</v>
      </c>
      <c r="D1222" s="1" t="s">
        <v>1708</v>
      </c>
      <c r="E1222" s="7" t="s">
        <v>2</v>
      </c>
      <c r="F1222" s="1" t="s">
        <v>26</v>
      </c>
      <c r="G1222" s="9" t="s">
        <v>35</v>
      </c>
      <c r="H1222" s="7">
        <v>1261</v>
      </c>
      <c r="I1222" s="18">
        <v>15001001</v>
      </c>
      <c r="J1222" s="10">
        <v>22548.62</v>
      </c>
      <c r="K1222" s="7" t="s">
        <v>11</v>
      </c>
      <c r="L1222" s="7" t="s">
        <v>40</v>
      </c>
      <c r="M1222" s="34">
        <v>46125</v>
      </c>
      <c r="N1222" s="7" t="s">
        <v>62</v>
      </c>
    </row>
    <row r="1223" spans="1:14" x14ac:dyDescent="0.25">
      <c r="A1223" s="41" t="s">
        <v>137</v>
      </c>
      <c r="B1223" s="1">
        <v>2</v>
      </c>
      <c r="C1223" s="8">
        <v>46129</v>
      </c>
      <c r="D1223" s="1" t="s">
        <v>1709</v>
      </c>
      <c r="E1223" s="7" t="s">
        <v>13</v>
      </c>
      <c r="F1223" s="1" t="s">
        <v>26</v>
      </c>
      <c r="G1223" s="9" t="s">
        <v>35</v>
      </c>
      <c r="H1223" s="7">
        <v>1073</v>
      </c>
      <c r="I1223" s="18">
        <v>15001002</v>
      </c>
      <c r="J1223" s="10">
        <v>9440</v>
      </c>
      <c r="K1223" s="7" t="s">
        <v>13</v>
      </c>
      <c r="L1223" s="7" t="s">
        <v>54</v>
      </c>
      <c r="M1223" s="34">
        <v>46134</v>
      </c>
      <c r="N1223" s="7" t="s">
        <v>774</v>
      </c>
    </row>
    <row r="1224" spans="1:14" x14ac:dyDescent="0.25">
      <c r="A1224" s="41" t="s">
        <v>1710</v>
      </c>
      <c r="B1224" s="1">
        <v>2</v>
      </c>
      <c r="C1224" s="8">
        <v>46127</v>
      </c>
      <c r="D1224" s="1" t="s">
        <v>1711</v>
      </c>
      <c r="E1224" s="7" t="s">
        <v>2</v>
      </c>
      <c r="F1224" s="1" t="s">
        <v>26</v>
      </c>
      <c r="G1224" s="9" t="s">
        <v>35</v>
      </c>
      <c r="H1224" s="7">
        <v>206</v>
      </c>
      <c r="I1224" s="18">
        <v>15500000</v>
      </c>
      <c r="J1224" s="10">
        <v>15570</v>
      </c>
      <c r="K1224" s="7" t="s">
        <v>12</v>
      </c>
      <c r="L1224" s="7" t="s">
        <v>53</v>
      </c>
      <c r="M1224" s="34">
        <v>46127</v>
      </c>
      <c r="N1224" s="7" t="s">
        <v>774</v>
      </c>
    </row>
    <row r="1225" spans="1:14" x14ac:dyDescent="0.25">
      <c r="A1225" s="41" t="s">
        <v>364</v>
      </c>
      <c r="B1225" s="1">
        <v>2</v>
      </c>
      <c r="C1225" s="8">
        <v>46126</v>
      </c>
      <c r="D1225" s="1" t="s">
        <v>1712</v>
      </c>
      <c r="E1225" s="7" t="s">
        <v>2</v>
      </c>
      <c r="F1225" s="1" t="s">
        <v>26</v>
      </c>
      <c r="G1225" s="9" t="s">
        <v>35</v>
      </c>
      <c r="I1225" s="18">
        <v>15001001</v>
      </c>
      <c r="J1225" s="10">
        <v>44640</v>
      </c>
      <c r="K1225" s="7" t="s">
        <v>12</v>
      </c>
      <c r="L1225" s="7" t="s">
        <v>53</v>
      </c>
      <c r="M1225" s="34">
        <v>46127</v>
      </c>
      <c r="N1225" s="7" t="s">
        <v>46</v>
      </c>
    </row>
    <row r="1226" spans="1:14" x14ac:dyDescent="0.25">
      <c r="A1226" s="41" t="s">
        <v>1413</v>
      </c>
      <c r="B1226" s="1">
        <v>1</v>
      </c>
      <c r="C1226" s="8">
        <v>46121</v>
      </c>
      <c r="D1226" s="1" t="s">
        <v>1713</v>
      </c>
      <c r="E1226" s="7" t="s">
        <v>11</v>
      </c>
      <c r="F1226" s="1" t="s">
        <v>26</v>
      </c>
      <c r="G1226" s="9" t="s">
        <v>35</v>
      </c>
      <c r="H1226" s="7">
        <v>2478</v>
      </c>
      <c r="I1226" s="18">
        <v>15000000</v>
      </c>
      <c r="J1226" s="10">
        <v>5043.84</v>
      </c>
      <c r="K1226" s="7" t="s">
        <v>12</v>
      </c>
      <c r="L1226" s="7" t="s">
        <v>53</v>
      </c>
      <c r="M1226" s="34">
        <v>46126</v>
      </c>
      <c r="N1226" s="7" t="s">
        <v>41</v>
      </c>
    </row>
    <row r="1227" spans="1:14" x14ac:dyDescent="0.25">
      <c r="A1227" s="41" t="s">
        <v>1413</v>
      </c>
      <c r="B1227" s="1">
        <v>2</v>
      </c>
      <c r="C1227" s="8">
        <v>46127</v>
      </c>
      <c r="D1227" s="1" t="s">
        <v>1714</v>
      </c>
      <c r="E1227" s="7" t="s">
        <v>11</v>
      </c>
      <c r="F1227" s="1" t="s">
        <v>26</v>
      </c>
      <c r="G1227" s="9" t="s">
        <v>35</v>
      </c>
      <c r="H1227" s="7">
        <v>2477</v>
      </c>
      <c r="I1227" s="18">
        <v>15000000</v>
      </c>
      <c r="J1227" s="10">
        <v>6304.8</v>
      </c>
      <c r="K1227" s="7" t="s">
        <v>12</v>
      </c>
      <c r="L1227" s="7" t="s">
        <v>53</v>
      </c>
      <c r="M1227" s="34">
        <v>46127</v>
      </c>
      <c r="N1227" s="7" t="s">
        <v>41</v>
      </c>
    </row>
    <row r="1228" spans="1:14" x14ac:dyDescent="0.25">
      <c r="A1228" s="41" t="s">
        <v>364</v>
      </c>
      <c r="B1228" s="1">
        <v>1</v>
      </c>
      <c r="C1228" s="8">
        <v>46121</v>
      </c>
      <c r="D1228" s="1" t="s">
        <v>1715</v>
      </c>
      <c r="E1228" s="7" t="s">
        <v>2</v>
      </c>
      <c r="F1228" s="1" t="s">
        <v>26</v>
      </c>
      <c r="G1228" s="9" t="s">
        <v>35</v>
      </c>
      <c r="H1228" s="7">
        <v>2585</v>
      </c>
      <c r="I1228" s="18">
        <v>15000000</v>
      </c>
      <c r="J1228" s="10">
        <v>27360</v>
      </c>
      <c r="K1228" s="7" t="s">
        <v>12</v>
      </c>
      <c r="L1228" s="7" t="s">
        <v>53</v>
      </c>
      <c r="M1228" s="34">
        <v>46126</v>
      </c>
      <c r="N1228" s="7" t="s">
        <v>46</v>
      </c>
    </row>
    <row r="1229" spans="1:14" x14ac:dyDescent="0.25">
      <c r="A1229" s="41" t="s">
        <v>1413</v>
      </c>
      <c r="B1229" s="1">
        <v>1</v>
      </c>
      <c r="C1229" s="8">
        <v>46126</v>
      </c>
      <c r="D1229" s="1" t="s">
        <v>1841</v>
      </c>
      <c r="E1229" s="7" t="s">
        <v>11</v>
      </c>
      <c r="F1229" s="1" t="s">
        <v>26</v>
      </c>
      <c r="G1229" s="9" t="s">
        <v>35</v>
      </c>
      <c r="H1229" s="7">
        <v>2481</v>
      </c>
      <c r="I1229" s="18">
        <v>15000000</v>
      </c>
      <c r="J1229" s="10">
        <v>18561.400000000001</v>
      </c>
      <c r="K1229" s="7" t="s">
        <v>12</v>
      </c>
      <c r="L1229" s="7" t="s">
        <v>53</v>
      </c>
      <c r="M1229" s="34">
        <v>46126</v>
      </c>
      <c r="N1229" s="7" t="s">
        <v>41</v>
      </c>
    </row>
    <row r="1230" spans="1:14" x14ac:dyDescent="0.25">
      <c r="A1230" s="41" t="s">
        <v>1413</v>
      </c>
      <c r="B1230" s="1">
        <v>1</v>
      </c>
      <c r="C1230" s="8">
        <v>46121</v>
      </c>
      <c r="D1230" s="1" t="s">
        <v>1716</v>
      </c>
      <c r="E1230" s="7" t="s">
        <v>11</v>
      </c>
      <c r="F1230" s="1" t="s">
        <v>26</v>
      </c>
      <c r="G1230" s="9" t="s">
        <v>35</v>
      </c>
      <c r="H1230" s="7">
        <v>2481</v>
      </c>
      <c r="I1230" s="18">
        <v>15000000</v>
      </c>
      <c r="J1230" s="10">
        <v>4254</v>
      </c>
      <c r="K1230" s="7" t="s">
        <v>12</v>
      </c>
      <c r="L1230" s="7" t="s">
        <v>53</v>
      </c>
      <c r="M1230" s="34">
        <v>46126</v>
      </c>
      <c r="N1230" s="7" t="s">
        <v>41</v>
      </c>
    </row>
    <row r="1231" spans="1:14" x14ac:dyDescent="0.25">
      <c r="A1231" s="41" t="s">
        <v>1717</v>
      </c>
      <c r="B1231" s="1">
        <v>1</v>
      </c>
      <c r="C1231" s="8">
        <v>46121</v>
      </c>
      <c r="D1231" s="1" t="s">
        <v>1718</v>
      </c>
      <c r="E1231" s="7" t="s">
        <v>17</v>
      </c>
      <c r="F1231" s="1" t="s">
        <v>26</v>
      </c>
      <c r="G1231" s="9" t="s">
        <v>68</v>
      </c>
      <c r="I1231" s="18" t="s">
        <v>0</v>
      </c>
      <c r="J1231" s="10" t="s">
        <v>61</v>
      </c>
      <c r="K1231" s="7" t="s">
        <v>58</v>
      </c>
      <c r="L1231" s="7" t="s">
        <v>55</v>
      </c>
      <c r="M1231" s="34">
        <v>46121</v>
      </c>
      <c r="N1231" s="7" t="s">
        <v>41</v>
      </c>
    </row>
    <row r="1232" spans="1:14" x14ac:dyDescent="0.25">
      <c r="A1232" s="41" t="s">
        <v>371</v>
      </c>
      <c r="B1232" s="1">
        <v>2</v>
      </c>
      <c r="C1232" s="8">
        <v>46126</v>
      </c>
      <c r="D1232" s="1" t="s">
        <v>1719</v>
      </c>
      <c r="E1232" s="7" t="s">
        <v>83</v>
      </c>
      <c r="F1232" s="1" t="s">
        <v>26</v>
      </c>
      <c r="G1232" s="9" t="s">
        <v>35</v>
      </c>
      <c r="H1232" s="7">
        <v>1690</v>
      </c>
      <c r="I1232" s="18">
        <v>15000000</v>
      </c>
      <c r="J1232" s="10">
        <v>1284.97</v>
      </c>
      <c r="K1232" s="7" t="s">
        <v>12</v>
      </c>
      <c r="L1232" s="7" t="s">
        <v>53</v>
      </c>
      <c r="M1232" s="34">
        <v>46127</v>
      </c>
      <c r="N1232" s="7" t="s">
        <v>46</v>
      </c>
    </row>
    <row r="1233" spans="1:14" x14ac:dyDescent="0.25">
      <c r="A1233" s="41" t="s">
        <v>218</v>
      </c>
      <c r="B1233" s="1">
        <v>2</v>
      </c>
      <c r="C1233" s="8">
        <v>46129</v>
      </c>
      <c r="D1233" s="1" t="s">
        <v>1720</v>
      </c>
      <c r="E1233" s="7" t="s">
        <v>13</v>
      </c>
      <c r="F1233" s="1" t="s">
        <v>26</v>
      </c>
      <c r="G1233" s="9" t="s">
        <v>35</v>
      </c>
      <c r="H1233" s="7" t="s">
        <v>74</v>
      </c>
      <c r="I1233" s="18">
        <v>15001002</v>
      </c>
      <c r="J1233" s="10">
        <v>8260</v>
      </c>
      <c r="K1233" s="7" t="s">
        <v>13</v>
      </c>
      <c r="L1233" s="7" t="s">
        <v>54</v>
      </c>
      <c r="M1233" s="34">
        <v>46134</v>
      </c>
      <c r="N1233" s="7" t="s">
        <v>774</v>
      </c>
    </row>
    <row r="1234" spans="1:14" ht="30" x14ac:dyDescent="0.25">
      <c r="A1234" s="41" t="s">
        <v>1721</v>
      </c>
      <c r="B1234" s="1">
        <v>1</v>
      </c>
      <c r="C1234" s="8">
        <v>46121</v>
      </c>
      <c r="D1234" s="1" t="s">
        <v>1953</v>
      </c>
      <c r="E1234" s="7" t="s">
        <v>14</v>
      </c>
      <c r="F1234" s="1" t="s">
        <v>26</v>
      </c>
      <c r="G1234" s="9" t="s">
        <v>47</v>
      </c>
      <c r="H1234" s="7" t="s">
        <v>74</v>
      </c>
      <c r="I1234" s="18" t="s">
        <v>0</v>
      </c>
      <c r="J1234" s="10" t="s">
        <v>61</v>
      </c>
      <c r="K1234" s="7" t="s">
        <v>22</v>
      </c>
      <c r="L1234" s="7" t="s">
        <v>55</v>
      </c>
      <c r="M1234" s="34">
        <v>46135</v>
      </c>
      <c r="N1234" s="7" t="s">
        <v>46</v>
      </c>
    </row>
    <row r="1235" spans="1:14" x14ac:dyDescent="0.25">
      <c r="A1235" s="41" t="s">
        <v>1722</v>
      </c>
      <c r="B1235" s="1">
        <v>1</v>
      </c>
      <c r="C1235" s="8">
        <v>46121</v>
      </c>
      <c r="D1235" s="1" t="s">
        <v>1723</v>
      </c>
      <c r="E1235" s="7" t="s">
        <v>13</v>
      </c>
      <c r="F1235" s="1" t="s">
        <v>26</v>
      </c>
      <c r="G1235" s="9" t="s">
        <v>35</v>
      </c>
      <c r="H1235" s="7" t="s">
        <v>74</v>
      </c>
      <c r="I1235" s="18">
        <v>1</v>
      </c>
      <c r="J1235" s="10" t="s">
        <v>61</v>
      </c>
      <c r="K1235" s="7" t="s">
        <v>13</v>
      </c>
      <c r="L1235" s="7" t="s">
        <v>54</v>
      </c>
      <c r="M1235" s="34">
        <v>46121</v>
      </c>
    </row>
    <row r="1236" spans="1:14" ht="30" x14ac:dyDescent="0.25">
      <c r="A1236" s="41" t="s">
        <v>1725</v>
      </c>
      <c r="B1236" s="1">
        <v>1</v>
      </c>
      <c r="C1236" s="8">
        <v>46121</v>
      </c>
      <c r="D1236" s="1" t="s">
        <v>1724</v>
      </c>
      <c r="E1236" s="7" t="s">
        <v>13</v>
      </c>
      <c r="F1236" s="1" t="s">
        <v>26</v>
      </c>
      <c r="G1236" s="9" t="s">
        <v>48</v>
      </c>
      <c r="H1236" s="7" t="s">
        <v>74</v>
      </c>
      <c r="I1236" s="18" t="s">
        <v>0</v>
      </c>
      <c r="J1236" s="10" t="s">
        <v>61</v>
      </c>
      <c r="K1236" s="7" t="s">
        <v>22</v>
      </c>
      <c r="L1236" s="7" t="s">
        <v>55</v>
      </c>
      <c r="M1236" s="34">
        <v>46136</v>
      </c>
      <c r="N1236" s="7" t="s">
        <v>91</v>
      </c>
    </row>
    <row r="1237" spans="1:14" x14ac:dyDescent="0.25">
      <c r="A1237" s="41" t="s">
        <v>629</v>
      </c>
      <c r="B1237" s="1">
        <v>1</v>
      </c>
      <c r="C1237" s="8">
        <v>46121</v>
      </c>
      <c r="D1237" s="1" t="s">
        <v>1726</v>
      </c>
      <c r="E1237" s="7" t="s">
        <v>2</v>
      </c>
      <c r="F1237" s="1" t="s">
        <v>26</v>
      </c>
      <c r="G1237" s="9" t="s">
        <v>35</v>
      </c>
      <c r="H1237" s="7">
        <v>80</v>
      </c>
      <c r="I1237" s="18">
        <v>15500000</v>
      </c>
      <c r="J1237" s="10">
        <v>64974</v>
      </c>
      <c r="K1237" s="7" t="s">
        <v>12</v>
      </c>
      <c r="L1237" s="7" t="s">
        <v>53</v>
      </c>
      <c r="M1237" s="34">
        <v>46129</v>
      </c>
    </row>
    <row r="1238" spans="1:14" x14ac:dyDescent="0.25">
      <c r="A1238" s="41" t="s">
        <v>1417</v>
      </c>
      <c r="B1238" s="1">
        <v>2</v>
      </c>
      <c r="C1238" s="8">
        <v>46125</v>
      </c>
      <c r="D1238" s="1" t="s">
        <v>1728</v>
      </c>
      <c r="E1238" s="7" t="s">
        <v>13</v>
      </c>
      <c r="F1238" s="1" t="s">
        <v>26</v>
      </c>
      <c r="G1238" s="9" t="s">
        <v>35</v>
      </c>
      <c r="K1238" s="7" t="s">
        <v>13</v>
      </c>
      <c r="L1238" s="7" t="s">
        <v>54</v>
      </c>
      <c r="M1238" s="34">
        <v>46125</v>
      </c>
      <c r="N1238" s="7" t="s">
        <v>41</v>
      </c>
    </row>
    <row r="1239" spans="1:14" x14ac:dyDescent="0.25">
      <c r="A1239" s="41" t="s">
        <v>79</v>
      </c>
      <c r="B1239" s="1">
        <v>1</v>
      </c>
      <c r="C1239" s="8">
        <v>46122</v>
      </c>
      <c r="D1239" s="1" t="s">
        <v>1727</v>
      </c>
      <c r="E1239" s="7" t="s">
        <v>13</v>
      </c>
      <c r="F1239" s="1" t="s">
        <v>26</v>
      </c>
      <c r="G1239" s="9" t="s">
        <v>35</v>
      </c>
      <c r="H1239" s="7">
        <v>77</v>
      </c>
      <c r="I1239" s="18">
        <v>15001002</v>
      </c>
      <c r="J1239" s="10">
        <v>5245</v>
      </c>
      <c r="K1239" s="7" t="s">
        <v>13</v>
      </c>
      <c r="L1239" s="7" t="s">
        <v>54</v>
      </c>
      <c r="M1239" s="34">
        <v>46127</v>
      </c>
      <c r="N1239" s="7" t="s">
        <v>91</v>
      </c>
    </row>
    <row r="1240" spans="1:14" x14ac:dyDescent="0.25">
      <c r="A1240" s="41" t="s">
        <v>227</v>
      </c>
      <c r="B1240" s="1">
        <v>1</v>
      </c>
      <c r="C1240" s="8">
        <v>46122</v>
      </c>
      <c r="D1240" s="1" t="s">
        <v>1729</v>
      </c>
      <c r="E1240" s="7" t="s">
        <v>13</v>
      </c>
      <c r="F1240" s="1" t="s">
        <v>26</v>
      </c>
      <c r="G1240" s="9" t="s">
        <v>35</v>
      </c>
      <c r="H1240" s="7">
        <v>786</v>
      </c>
      <c r="I1240" s="18">
        <v>15001002</v>
      </c>
      <c r="J1240" s="10">
        <v>16903.05</v>
      </c>
      <c r="K1240" s="7" t="s">
        <v>13</v>
      </c>
      <c r="L1240" s="7" t="s">
        <v>54</v>
      </c>
      <c r="M1240" s="34">
        <v>46128</v>
      </c>
      <c r="N1240" s="7" t="s">
        <v>46</v>
      </c>
    </row>
    <row r="1241" spans="1:14" x14ac:dyDescent="0.25">
      <c r="A1241" s="41" t="s">
        <v>236</v>
      </c>
      <c r="B1241" s="1">
        <v>1</v>
      </c>
      <c r="C1241" s="8">
        <v>46122</v>
      </c>
      <c r="D1241" s="1" t="s">
        <v>1730</v>
      </c>
      <c r="E1241" s="7" t="s">
        <v>13</v>
      </c>
      <c r="F1241" s="1" t="s">
        <v>26</v>
      </c>
      <c r="G1241" s="9" t="s">
        <v>35</v>
      </c>
      <c r="H1241" s="7">
        <v>192656</v>
      </c>
      <c r="I1241" s="18">
        <v>16000000</v>
      </c>
      <c r="J1241" s="10">
        <v>14000.7</v>
      </c>
      <c r="K1241" s="7" t="s">
        <v>13</v>
      </c>
      <c r="L1241" s="7" t="s">
        <v>54</v>
      </c>
      <c r="M1241" s="34">
        <v>46127</v>
      </c>
      <c r="N1241" s="7" t="s">
        <v>46</v>
      </c>
    </row>
    <row r="1242" spans="1:14" x14ac:dyDescent="0.25">
      <c r="A1242" s="41" t="s">
        <v>236</v>
      </c>
      <c r="B1242" s="1">
        <v>1</v>
      </c>
      <c r="C1242" s="8">
        <v>46122</v>
      </c>
      <c r="D1242" s="1" t="s">
        <v>1731</v>
      </c>
      <c r="E1242" s="7" t="s">
        <v>13</v>
      </c>
      <c r="F1242" s="1" t="s">
        <v>26</v>
      </c>
      <c r="G1242" s="9" t="s">
        <v>35</v>
      </c>
      <c r="H1242" s="7">
        <v>192527</v>
      </c>
      <c r="I1242" s="18">
        <v>16000000</v>
      </c>
      <c r="J1242" s="10">
        <v>3106.2</v>
      </c>
      <c r="K1242" s="7" t="s">
        <v>13</v>
      </c>
      <c r="L1242" s="7" t="s">
        <v>54</v>
      </c>
      <c r="M1242" s="34">
        <v>46128</v>
      </c>
      <c r="N1242" s="7" t="s">
        <v>91</v>
      </c>
    </row>
    <row r="1243" spans="1:14" x14ac:dyDescent="0.25">
      <c r="A1243" s="41" t="s">
        <v>236</v>
      </c>
      <c r="B1243" s="1">
        <v>1</v>
      </c>
      <c r="C1243" s="8">
        <v>46122</v>
      </c>
      <c r="D1243" s="1" t="s">
        <v>1732</v>
      </c>
      <c r="E1243" s="7" t="s">
        <v>13</v>
      </c>
      <c r="F1243" s="1" t="s">
        <v>26</v>
      </c>
      <c r="G1243" s="9" t="s">
        <v>35</v>
      </c>
      <c r="H1243" s="7">
        <v>192619</v>
      </c>
      <c r="I1243" s="18">
        <v>16000000</v>
      </c>
      <c r="J1243" s="10">
        <v>2715</v>
      </c>
      <c r="K1243" s="7" t="s">
        <v>13</v>
      </c>
      <c r="L1243" s="7" t="s">
        <v>54</v>
      </c>
      <c r="M1243" s="34">
        <v>46128</v>
      </c>
      <c r="N1243" s="7" t="s">
        <v>91</v>
      </c>
    </row>
    <row r="1244" spans="1:14" x14ac:dyDescent="0.25">
      <c r="A1244" s="41" t="s">
        <v>268</v>
      </c>
      <c r="B1244" s="1">
        <v>1</v>
      </c>
      <c r="C1244" s="8">
        <v>46122</v>
      </c>
      <c r="D1244" s="1" t="s">
        <v>1733</v>
      </c>
      <c r="E1244" s="7" t="s">
        <v>13</v>
      </c>
      <c r="F1244" s="1" t="s">
        <v>26</v>
      </c>
      <c r="G1244" s="9" t="s">
        <v>35</v>
      </c>
      <c r="H1244" s="7">
        <v>4890</v>
      </c>
      <c r="I1244" s="18">
        <v>15001002</v>
      </c>
      <c r="J1244" s="10">
        <v>6060</v>
      </c>
      <c r="K1244" s="7" t="s">
        <v>13</v>
      </c>
      <c r="L1244" s="7" t="s">
        <v>54</v>
      </c>
      <c r="M1244" s="34">
        <v>46128</v>
      </c>
      <c r="N1244" s="7" t="s">
        <v>91</v>
      </c>
    </row>
    <row r="1245" spans="1:14" x14ac:dyDescent="0.25">
      <c r="A1245" s="41" t="s">
        <v>1735</v>
      </c>
      <c r="B1245" s="1">
        <v>2</v>
      </c>
      <c r="C1245" s="8">
        <v>46128</v>
      </c>
      <c r="D1245" s="1" t="s">
        <v>1734</v>
      </c>
      <c r="E1245" s="7" t="s">
        <v>94</v>
      </c>
      <c r="F1245" s="1" t="s">
        <v>26</v>
      </c>
      <c r="G1245" s="9" t="s">
        <v>35</v>
      </c>
      <c r="H1245" s="7" t="s">
        <v>74</v>
      </c>
      <c r="I1245" s="18">
        <v>17190000</v>
      </c>
      <c r="J1245" s="10">
        <v>15566.07</v>
      </c>
      <c r="K1245" s="7" t="s">
        <v>12</v>
      </c>
      <c r="L1245" s="7" t="s">
        <v>53</v>
      </c>
      <c r="M1245" s="34">
        <v>46129</v>
      </c>
      <c r="N1245" s="7" t="s">
        <v>46</v>
      </c>
    </row>
    <row r="1246" spans="1:14" x14ac:dyDescent="0.25">
      <c r="A1246" s="41" t="s">
        <v>1736</v>
      </c>
      <c r="B1246" s="1">
        <v>1</v>
      </c>
      <c r="C1246" s="8">
        <v>46122</v>
      </c>
      <c r="D1246" s="1" t="s">
        <v>1737</v>
      </c>
      <c r="E1246" s="7" t="s">
        <v>83</v>
      </c>
      <c r="F1246" s="1" t="s">
        <v>26</v>
      </c>
      <c r="G1246" s="9" t="s">
        <v>35</v>
      </c>
      <c r="H1246" s="7" t="s">
        <v>74</v>
      </c>
      <c r="I1246" s="18">
        <v>15000000</v>
      </c>
      <c r="J1246" s="15">
        <v>928.45</v>
      </c>
      <c r="K1246" s="7" t="s">
        <v>12</v>
      </c>
      <c r="L1246" s="7" t="s">
        <v>53</v>
      </c>
      <c r="M1246" s="34">
        <v>46122</v>
      </c>
      <c r="N1246" s="7" t="s">
        <v>41</v>
      </c>
    </row>
    <row r="1247" spans="1:14" x14ac:dyDescent="0.25">
      <c r="A1247" s="41" t="s">
        <v>1740</v>
      </c>
      <c r="B1247" s="1">
        <v>1</v>
      </c>
      <c r="C1247" s="8">
        <v>46122</v>
      </c>
      <c r="D1247" s="1" t="s">
        <v>1750</v>
      </c>
      <c r="E1247" s="7" t="s">
        <v>83</v>
      </c>
      <c r="F1247" s="1" t="s">
        <v>26</v>
      </c>
      <c r="G1247" s="9" t="s">
        <v>35</v>
      </c>
      <c r="H1247" s="7" t="s">
        <v>74</v>
      </c>
      <c r="I1247" s="18">
        <v>15001002</v>
      </c>
      <c r="J1247" s="10">
        <v>928.45</v>
      </c>
      <c r="K1247" s="7" t="s">
        <v>12</v>
      </c>
      <c r="L1247" s="7" t="s">
        <v>53</v>
      </c>
      <c r="M1247" s="34">
        <v>46122</v>
      </c>
      <c r="N1247" s="7" t="s">
        <v>41</v>
      </c>
    </row>
    <row r="1248" spans="1:14" x14ac:dyDescent="0.25">
      <c r="A1248" s="41" t="s">
        <v>1739</v>
      </c>
      <c r="B1248" s="1">
        <v>1</v>
      </c>
      <c r="C1248" s="8">
        <v>46122</v>
      </c>
      <c r="D1248" s="1" t="s">
        <v>1738</v>
      </c>
      <c r="E1248" s="7" t="s">
        <v>83</v>
      </c>
      <c r="F1248" s="1" t="s">
        <v>26</v>
      </c>
      <c r="G1248" s="9" t="s">
        <v>35</v>
      </c>
      <c r="H1248" s="7" t="s">
        <v>74</v>
      </c>
      <c r="I1248" s="18">
        <v>15000000</v>
      </c>
      <c r="J1248" s="10">
        <v>928.45</v>
      </c>
      <c r="K1248" s="7" t="s">
        <v>12</v>
      </c>
      <c r="L1248" s="7" t="s">
        <v>53</v>
      </c>
      <c r="M1248" s="34">
        <v>46122</v>
      </c>
      <c r="N1248" s="7" t="s">
        <v>41</v>
      </c>
    </row>
    <row r="1249" spans="1:14" x14ac:dyDescent="0.25">
      <c r="A1249" s="41" t="s">
        <v>1413</v>
      </c>
      <c r="B1249" s="1">
        <v>1</v>
      </c>
      <c r="C1249" s="8">
        <v>46122</v>
      </c>
      <c r="D1249" s="1" t="s">
        <v>1741</v>
      </c>
      <c r="E1249" s="7" t="s">
        <v>11</v>
      </c>
      <c r="F1249" s="1" t="s">
        <v>26</v>
      </c>
      <c r="G1249" s="9" t="s">
        <v>35</v>
      </c>
      <c r="H1249" s="7">
        <v>2484</v>
      </c>
      <c r="I1249" s="18">
        <v>15000000</v>
      </c>
      <c r="J1249" s="10">
        <v>7308</v>
      </c>
      <c r="K1249" s="7" t="s">
        <v>12</v>
      </c>
      <c r="L1249" s="7" t="s">
        <v>53</v>
      </c>
      <c r="M1249" s="34">
        <v>46126</v>
      </c>
      <c r="N1249" s="7" t="s">
        <v>41</v>
      </c>
    </row>
    <row r="1250" spans="1:14" x14ac:dyDescent="0.25">
      <c r="A1250" s="41" t="s">
        <v>467</v>
      </c>
      <c r="B1250" s="1">
        <v>1</v>
      </c>
      <c r="C1250" s="8">
        <v>46122</v>
      </c>
      <c r="D1250" s="1" t="s">
        <v>1742</v>
      </c>
      <c r="E1250" s="7" t="s">
        <v>16</v>
      </c>
      <c r="F1250" s="1" t="s">
        <v>26</v>
      </c>
      <c r="G1250" s="9" t="s">
        <v>35</v>
      </c>
      <c r="H1250" s="7">
        <v>1264</v>
      </c>
      <c r="I1250" s="18">
        <v>16600000</v>
      </c>
      <c r="J1250" s="10">
        <v>8000</v>
      </c>
      <c r="K1250" s="7" t="s">
        <v>11</v>
      </c>
      <c r="L1250" s="7" t="s">
        <v>40</v>
      </c>
      <c r="M1250" s="34">
        <v>46125</v>
      </c>
      <c r="N1250" s="7" t="s">
        <v>62</v>
      </c>
    </row>
    <row r="1251" spans="1:14" x14ac:dyDescent="0.25">
      <c r="A1251" s="41" t="s">
        <v>467</v>
      </c>
      <c r="B1251" s="1">
        <v>1</v>
      </c>
      <c r="C1251" s="8">
        <v>46122</v>
      </c>
      <c r="D1251" s="1" t="s">
        <v>1743</v>
      </c>
      <c r="E1251" s="7" t="s">
        <v>16</v>
      </c>
      <c r="F1251" s="1" t="s">
        <v>26</v>
      </c>
      <c r="G1251" s="9" t="s">
        <v>35</v>
      </c>
      <c r="H1251" s="7">
        <v>1266</v>
      </c>
      <c r="I1251" s="18">
        <v>16610000</v>
      </c>
      <c r="J1251" s="10">
        <v>667.5</v>
      </c>
      <c r="K1251" s="7" t="s">
        <v>11</v>
      </c>
      <c r="L1251" s="7" t="s">
        <v>40</v>
      </c>
      <c r="M1251" s="34">
        <v>46125</v>
      </c>
      <c r="N1251" s="7" t="s">
        <v>62</v>
      </c>
    </row>
    <row r="1252" spans="1:14" x14ac:dyDescent="0.25">
      <c r="A1252" s="41" t="s">
        <v>467</v>
      </c>
      <c r="B1252" s="1">
        <v>1</v>
      </c>
      <c r="C1252" s="8">
        <v>46122</v>
      </c>
      <c r="D1252" s="1" t="s">
        <v>1744</v>
      </c>
      <c r="E1252" s="7" t="s">
        <v>16</v>
      </c>
      <c r="F1252" s="1" t="s">
        <v>26</v>
      </c>
      <c r="G1252" s="9" t="s">
        <v>35</v>
      </c>
      <c r="H1252" s="7">
        <v>1265</v>
      </c>
      <c r="I1252" s="18">
        <v>16610000</v>
      </c>
      <c r="J1252" s="10">
        <v>347.5</v>
      </c>
      <c r="K1252" s="7" t="s">
        <v>11</v>
      </c>
      <c r="L1252" s="7" t="s">
        <v>40</v>
      </c>
      <c r="M1252" s="34">
        <v>46125</v>
      </c>
      <c r="N1252" s="7" t="s">
        <v>62</v>
      </c>
    </row>
    <row r="1253" spans="1:14" x14ac:dyDescent="0.25">
      <c r="A1253" s="41" t="s">
        <v>483</v>
      </c>
      <c r="B1253" s="1">
        <v>2</v>
      </c>
      <c r="C1253" s="8">
        <v>46136</v>
      </c>
      <c r="D1253" s="1" t="s">
        <v>1745</v>
      </c>
      <c r="E1253" s="7" t="s">
        <v>2</v>
      </c>
      <c r="F1253" s="1" t="s">
        <v>26</v>
      </c>
      <c r="G1253" s="9" t="s">
        <v>35</v>
      </c>
      <c r="H1253" s="7">
        <v>2696</v>
      </c>
      <c r="I1253" s="18">
        <v>15001001</v>
      </c>
      <c r="J1253" s="10">
        <v>207473.14</v>
      </c>
      <c r="K1253" s="7" t="s">
        <v>12</v>
      </c>
      <c r="L1253" s="7" t="s">
        <v>53</v>
      </c>
      <c r="M1253" s="34">
        <v>46136</v>
      </c>
      <c r="N1253" s="7" t="s">
        <v>46</v>
      </c>
    </row>
    <row r="1254" spans="1:14" x14ac:dyDescent="0.25">
      <c r="A1254" s="41" t="s">
        <v>740</v>
      </c>
      <c r="B1254" s="1">
        <v>1</v>
      </c>
      <c r="C1254" s="8">
        <v>46122</v>
      </c>
      <c r="D1254" s="1" t="s">
        <v>1746</v>
      </c>
      <c r="E1254" s="7" t="s">
        <v>2</v>
      </c>
      <c r="F1254" s="1" t="s">
        <v>26</v>
      </c>
      <c r="G1254" s="9" t="s">
        <v>35</v>
      </c>
      <c r="H1254" s="7">
        <v>5180</v>
      </c>
      <c r="I1254" s="18">
        <v>15001001</v>
      </c>
      <c r="J1254" s="10">
        <v>2500</v>
      </c>
      <c r="K1254" s="7" t="s">
        <v>12</v>
      </c>
      <c r="L1254" s="7" t="s">
        <v>53</v>
      </c>
      <c r="M1254" s="34">
        <v>46126</v>
      </c>
      <c r="N1254" s="7" t="s">
        <v>46</v>
      </c>
    </row>
    <row r="1255" spans="1:14" x14ac:dyDescent="0.25">
      <c r="A1255" s="41" t="s">
        <v>1413</v>
      </c>
      <c r="B1255" s="1">
        <v>1</v>
      </c>
      <c r="C1255" s="8">
        <v>46122</v>
      </c>
      <c r="D1255" s="1" t="s">
        <v>1747</v>
      </c>
      <c r="E1255" s="7" t="s">
        <v>11</v>
      </c>
      <c r="F1255" s="1" t="s">
        <v>26</v>
      </c>
      <c r="G1255" s="9" t="s">
        <v>35</v>
      </c>
      <c r="H1255" s="7">
        <v>2452</v>
      </c>
      <c r="I1255" s="18">
        <v>15000000</v>
      </c>
      <c r="J1255" s="10">
        <v>10500</v>
      </c>
      <c r="K1255" s="7" t="s">
        <v>12</v>
      </c>
      <c r="L1255" s="7" t="s">
        <v>53</v>
      </c>
      <c r="M1255" s="34">
        <v>46126</v>
      </c>
      <c r="N1255" s="7" t="s">
        <v>41</v>
      </c>
    </row>
    <row r="1256" spans="1:14" x14ac:dyDescent="0.25">
      <c r="A1256" s="41" t="s">
        <v>1413</v>
      </c>
      <c r="B1256" s="1">
        <v>1</v>
      </c>
      <c r="C1256" s="8">
        <v>46122</v>
      </c>
      <c r="D1256" s="1" t="s">
        <v>1748</v>
      </c>
      <c r="E1256" s="7" t="s">
        <v>11</v>
      </c>
      <c r="F1256" s="1" t="s">
        <v>26</v>
      </c>
      <c r="G1256" s="9" t="s">
        <v>35</v>
      </c>
      <c r="H1256" s="7">
        <v>2483</v>
      </c>
      <c r="I1256" s="18">
        <v>15000000</v>
      </c>
      <c r="J1256" s="10">
        <v>4254</v>
      </c>
      <c r="K1256" s="7" t="s">
        <v>12</v>
      </c>
      <c r="L1256" s="7" t="s">
        <v>53</v>
      </c>
      <c r="M1256" s="34">
        <v>46126</v>
      </c>
      <c r="N1256" s="7" t="s">
        <v>41</v>
      </c>
    </row>
    <row r="1257" spans="1:14" x14ac:dyDescent="0.25">
      <c r="A1257" s="41" t="s">
        <v>574</v>
      </c>
      <c r="B1257" s="1">
        <v>2</v>
      </c>
      <c r="C1257" s="8">
        <v>46156</v>
      </c>
      <c r="D1257" s="1" t="s">
        <v>2176</v>
      </c>
      <c r="E1257" s="7" t="s">
        <v>20</v>
      </c>
      <c r="F1257" s="1" t="s">
        <v>26</v>
      </c>
      <c r="G1257" s="9" t="s">
        <v>35</v>
      </c>
      <c r="H1257" s="7" t="s">
        <v>74</v>
      </c>
      <c r="I1257" s="18" t="s">
        <v>0</v>
      </c>
      <c r="J1257" s="10">
        <v>116190.8</v>
      </c>
      <c r="K1257" s="7" t="s">
        <v>12</v>
      </c>
      <c r="L1257" s="7" t="s">
        <v>53</v>
      </c>
      <c r="M1257" s="34">
        <v>46156</v>
      </c>
      <c r="N1257" s="7" t="s">
        <v>41</v>
      </c>
    </row>
    <row r="1258" spans="1:14" x14ac:dyDescent="0.25">
      <c r="A1258" s="41" t="s">
        <v>1413</v>
      </c>
      <c r="B1258" s="1">
        <v>1</v>
      </c>
      <c r="C1258" s="8">
        <v>46122</v>
      </c>
      <c r="D1258" s="1" t="s">
        <v>1749</v>
      </c>
      <c r="E1258" s="7" t="s">
        <v>11</v>
      </c>
      <c r="F1258" s="1" t="s">
        <v>26</v>
      </c>
      <c r="G1258" s="9" t="s">
        <v>35</v>
      </c>
      <c r="H1258" s="7">
        <v>2482</v>
      </c>
      <c r="I1258" s="18">
        <v>15000000</v>
      </c>
      <c r="J1258" s="10">
        <v>6199.72</v>
      </c>
      <c r="K1258" s="7" t="s">
        <v>12</v>
      </c>
      <c r="L1258" s="7" t="s">
        <v>53</v>
      </c>
      <c r="M1258" s="34">
        <v>46126</v>
      </c>
      <c r="N1258" s="7" t="s">
        <v>41</v>
      </c>
    </row>
    <row r="1259" spans="1:14" x14ac:dyDescent="0.25">
      <c r="A1259" s="41" t="s">
        <v>1752</v>
      </c>
      <c r="B1259" s="1">
        <v>1</v>
      </c>
      <c r="C1259" s="8">
        <v>46135</v>
      </c>
      <c r="D1259" s="1" t="s">
        <v>1751</v>
      </c>
      <c r="E1259" s="7" t="s">
        <v>13</v>
      </c>
      <c r="F1259" s="1" t="s">
        <v>26</v>
      </c>
      <c r="G1259" s="9" t="s">
        <v>38</v>
      </c>
      <c r="H1259" s="7" t="s">
        <v>74</v>
      </c>
      <c r="I1259" s="18" t="s">
        <v>0</v>
      </c>
      <c r="J1259" s="10" t="s">
        <v>61</v>
      </c>
      <c r="K1259" s="7" t="s">
        <v>22</v>
      </c>
      <c r="L1259" s="7" t="s">
        <v>55</v>
      </c>
      <c r="M1259" s="34">
        <v>46136</v>
      </c>
      <c r="N1259" s="7" t="s">
        <v>91</v>
      </c>
    </row>
    <row r="1260" spans="1:14" x14ac:dyDescent="0.25">
      <c r="A1260" s="41" t="s">
        <v>1754</v>
      </c>
      <c r="B1260" s="1">
        <v>2</v>
      </c>
      <c r="C1260" s="8">
        <v>46136</v>
      </c>
      <c r="D1260" s="1" t="s">
        <v>1753</v>
      </c>
      <c r="E1260" s="7" t="s">
        <v>13</v>
      </c>
      <c r="F1260" s="1" t="s">
        <v>26</v>
      </c>
      <c r="G1260" s="9" t="s">
        <v>38</v>
      </c>
      <c r="H1260" s="7" t="s">
        <v>74</v>
      </c>
      <c r="I1260" s="18" t="s">
        <v>0</v>
      </c>
      <c r="J1260" s="10" t="s">
        <v>61</v>
      </c>
      <c r="K1260" s="7" t="s">
        <v>58</v>
      </c>
      <c r="L1260" s="7" t="s">
        <v>59</v>
      </c>
      <c r="M1260" s="34">
        <v>46129</v>
      </c>
      <c r="N1260" s="7" t="s">
        <v>41</v>
      </c>
    </row>
    <row r="1261" spans="1:14" x14ac:dyDescent="0.25">
      <c r="A1261" s="41" t="s">
        <v>1756</v>
      </c>
      <c r="B1261" s="1">
        <v>2</v>
      </c>
      <c r="C1261" s="8">
        <v>46135</v>
      </c>
      <c r="D1261" s="1" t="s">
        <v>1755</v>
      </c>
      <c r="E1261" s="7" t="s">
        <v>13</v>
      </c>
      <c r="F1261" s="1" t="s">
        <v>26</v>
      </c>
      <c r="G1261" s="9" t="s">
        <v>38</v>
      </c>
      <c r="H1261" s="7" t="s">
        <v>74</v>
      </c>
      <c r="I1261" s="18" t="s">
        <v>0</v>
      </c>
      <c r="J1261" s="10" t="s">
        <v>61</v>
      </c>
      <c r="K1261" s="7" t="s">
        <v>22</v>
      </c>
      <c r="L1261" s="7" t="s">
        <v>55</v>
      </c>
      <c r="M1261" s="34">
        <v>46135</v>
      </c>
      <c r="N1261" s="7" t="s">
        <v>41</v>
      </c>
    </row>
    <row r="1262" spans="1:14" x14ac:dyDescent="0.25">
      <c r="A1262" s="41" t="s">
        <v>362</v>
      </c>
      <c r="B1262" s="1">
        <v>1</v>
      </c>
      <c r="C1262" s="8">
        <v>46135</v>
      </c>
      <c r="D1262" s="1" t="s">
        <v>1757</v>
      </c>
      <c r="E1262" s="7" t="s">
        <v>13</v>
      </c>
      <c r="F1262" s="1" t="s">
        <v>26</v>
      </c>
      <c r="G1262" s="9" t="s">
        <v>38</v>
      </c>
      <c r="H1262" s="7" t="s">
        <v>74</v>
      </c>
      <c r="I1262" s="18" t="s">
        <v>0</v>
      </c>
      <c r="J1262" s="10" t="s">
        <v>61</v>
      </c>
      <c r="K1262" s="7" t="s">
        <v>22</v>
      </c>
      <c r="L1262" s="7" t="s">
        <v>55</v>
      </c>
      <c r="M1262" s="34">
        <v>46136</v>
      </c>
      <c r="N1262" s="7" t="s">
        <v>91</v>
      </c>
    </row>
    <row r="1263" spans="1:14" ht="30" x14ac:dyDescent="0.25">
      <c r="B1263" s="1">
        <v>1</v>
      </c>
      <c r="C1263" s="8">
        <v>46122</v>
      </c>
      <c r="D1263" s="1" t="s">
        <v>1758</v>
      </c>
      <c r="E1263" s="7" t="s">
        <v>13</v>
      </c>
      <c r="F1263" s="1" t="s">
        <v>26</v>
      </c>
      <c r="G1263" s="9" t="s">
        <v>47</v>
      </c>
      <c r="K1263" s="7" t="s">
        <v>22</v>
      </c>
      <c r="L1263" s="7" t="s">
        <v>40</v>
      </c>
      <c r="M1263" s="34">
        <v>46135</v>
      </c>
      <c r="N1263" s="7" t="s">
        <v>41</v>
      </c>
    </row>
    <row r="1264" spans="1:14" x14ac:dyDescent="0.25">
      <c r="A1264" s="41" t="s">
        <v>219</v>
      </c>
      <c r="B1264" s="1">
        <v>1</v>
      </c>
      <c r="C1264" s="8">
        <v>46122</v>
      </c>
      <c r="D1264" s="1" t="s">
        <v>1759</v>
      </c>
      <c r="E1264" s="7" t="s">
        <v>13</v>
      </c>
      <c r="F1264" s="1" t="s">
        <v>26</v>
      </c>
      <c r="G1264" s="9" t="s">
        <v>35</v>
      </c>
      <c r="H1264" s="7">
        <v>2460</v>
      </c>
      <c r="I1264" s="18">
        <v>16000000</v>
      </c>
      <c r="J1264" s="10">
        <v>196413.97</v>
      </c>
      <c r="K1264" s="7" t="s">
        <v>13</v>
      </c>
      <c r="L1264" s="7" t="s">
        <v>54</v>
      </c>
      <c r="M1264" s="34">
        <v>46127</v>
      </c>
      <c r="N1264" s="7" t="s">
        <v>41</v>
      </c>
    </row>
    <row r="1265" spans="1:14" x14ac:dyDescent="0.25">
      <c r="A1265" s="41" t="s">
        <v>219</v>
      </c>
      <c r="B1265" s="1">
        <v>2</v>
      </c>
      <c r="C1265" s="8">
        <v>46128</v>
      </c>
      <c r="D1265" s="1" t="s">
        <v>1760</v>
      </c>
      <c r="E1265" s="7" t="s">
        <v>13</v>
      </c>
      <c r="F1265" s="1" t="s">
        <v>26</v>
      </c>
      <c r="G1265" s="9" t="s">
        <v>35</v>
      </c>
      <c r="H1265" s="7">
        <v>2459</v>
      </c>
      <c r="I1265" s="18">
        <v>15001002</v>
      </c>
      <c r="J1265" s="10">
        <v>413935.05</v>
      </c>
      <c r="K1265" s="7" t="s">
        <v>13</v>
      </c>
      <c r="L1265" s="7" t="s">
        <v>53</v>
      </c>
      <c r="M1265" s="34">
        <v>46128</v>
      </c>
      <c r="N1265" s="7" t="s">
        <v>41</v>
      </c>
    </row>
    <row r="1266" spans="1:14" x14ac:dyDescent="0.25">
      <c r="A1266" s="41" t="s">
        <v>1761</v>
      </c>
      <c r="B1266" s="1">
        <v>1</v>
      </c>
      <c r="C1266" s="8">
        <v>46122</v>
      </c>
      <c r="D1266" s="1" t="s">
        <v>1762</v>
      </c>
      <c r="E1266" s="7" t="s">
        <v>13</v>
      </c>
      <c r="F1266" s="1" t="s">
        <v>26</v>
      </c>
      <c r="G1266" s="9" t="s">
        <v>35</v>
      </c>
      <c r="H1266" s="7">
        <v>418</v>
      </c>
      <c r="I1266" s="18">
        <v>15001002</v>
      </c>
      <c r="J1266" s="10">
        <v>11800</v>
      </c>
      <c r="K1266" s="7" t="s">
        <v>13</v>
      </c>
      <c r="L1266" s="7" t="s">
        <v>54</v>
      </c>
      <c r="M1266" s="34">
        <v>46127</v>
      </c>
      <c r="N1266" s="7" t="s">
        <v>46</v>
      </c>
    </row>
    <row r="1267" spans="1:14" x14ac:dyDescent="0.25">
      <c r="A1267" s="41" t="s">
        <v>1413</v>
      </c>
      <c r="B1267" s="1">
        <v>1</v>
      </c>
      <c r="C1267" s="8">
        <v>46122</v>
      </c>
      <c r="D1267" s="1" t="s">
        <v>1763</v>
      </c>
      <c r="E1267" s="7" t="s">
        <v>11</v>
      </c>
      <c r="F1267" s="1" t="s">
        <v>26</v>
      </c>
      <c r="G1267" s="9" t="s">
        <v>35</v>
      </c>
      <c r="H1267" s="7">
        <v>2485</v>
      </c>
      <c r="I1267" s="18">
        <v>15000000</v>
      </c>
      <c r="J1267" s="10">
        <v>18275.84</v>
      </c>
      <c r="K1267" s="7" t="s">
        <v>12</v>
      </c>
      <c r="L1267" s="7" t="s">
        <v>53</v>
      </c>
      <c r="M1267" s="34">
        <v>46127</v>
      </c>
      <c r="N1267" s="7" t="s">
        <v>46</v>
      </c>
    </row>
    <row r="1268" spans="1:14" x14ac:dyDescent="0.25">
      <c r="A1268" s="41" t="s">
        <v>1413</v>
      </c>
      <c r="B1268" s="1">
        <v>1</v>
      </c>
      <c r="C1268" s="8">
        <v>46122</v>
      </c>
      <c r="D1268" s="1" t="s">
        <v>1764</v>
      </c>
      <c r="E1268" s="7" t="s">
        <v>11</v>
      </c>
      <c r="F1268" s="1" t="s">
        <v>26</v>
      </c>
      <c r="G1268" s="9" t="s">
        <v>35</v>
      </c>
      <c r="H1268" s="7">
        <v>2486</v>
      </c>
      <c r="I1268" s="18">
        <v>15000000</v>
      </c>
      <c r="J1268" s="10">
        <v>18561.400000000001</v>
      </c>
      <c r="K1268" s="7" t="s">
        <v>12</v>
      </c>
      <c r="L1268" s="7" t="s">
        <v>53</v>
      </c>
      <c r="M1268" s="34">
        <v>46128</v>
      </c>
      <c r="N1268" s="7" t="s">
        <v>41</v>
      </c>
    </row>
    <row r="1269" spans="1:14" x14ac:dyDescent="0.25">
      <c r="A1269" s="41" t="s">
        <v>906</v>
      </c>
      <c r="B1269" s="1">
        <v>2</v>
      </c>
      <c r="C1269" s="8">
        <v>46127</v>
      </c>
      <c r="D1269" s="1" t="s">
        <v>1765</v>
      </c>
      <c r="E1269" s="7" t="s">
        <v>2</v>
      </c>
      <c r="F1269" s="1" t="s">
        <v>26</v>
      </c>
      <c r="G1269" s="9" t="s">
        <v>35</v>
      </c>
      <c r="H1269" s="7">
        <v>703</v>
      </c>
      <c r="I1269" s="18">
        <v>15500000</v>
      </c>
      <c r="J1269" s="10">
        <v>82447.53</v>
      </c>
      <c r="K1269" s="7" t="s">
        <v>12</v>
      </c>
      <c r="L1269" s="7" t="s">
        <v>53</v>
      </c>
      <c r="M1269" s="34">
        <v>46127</v>
      </c>
      <c r="N1269" s="7" t="s">
        <v>46</v>
      </c>
    </row>
    <row r="1270" spans="1:14" x14ac:dyDescent="0.25">
      <c r="A1270" s="41" t="s">
        <v>370</v>
      </c>
      <c r="B1270" s="1">
        <v>2</v>
      </c>
      <c r="C1270" s="8">
        <v>46129</v>
      </c>
      <c r="D1270" s="1" t="s">
        <v>1766</v>
      </c>
      <c r="E1270" s="7" t="s">
        <v>13</v>
      </c>
      <c r="F1270" s="1" t="s">
        <v>26</v>
      </c>
      <c r="G1270" s="9" t="s">
        <v>35</v>
      </c>
      <c r="H1270" s="7">
        <v>816</v>
      </c>
      <c r="I1270" s="18">
        <v>15001002</v>
      </c>
      <c r="J1270" s="10">
        <v>2889</v>
      </c>
      <c r="K1270" s="7" t="s">
        <v>13</v>
      </c>
      <c r="L1270" s="7" t="s">
        <v>54</v>
      </c>
      <c r="M1270" s="34">
        <v>46135</v>
      </c>
      <c r="N1270" s="7" t="s">
        <v>46</v>
      </c>
    </row>
    <row r="1271" spans="1:14" x14ac:dyDescent="0.25">
      <c r="A1271" s="41" t="s">
        <v>448</v>
      </c>
      <c r="B1271" s="1">
        <v>1</v>
      </c>
      <c r="C1271" s="8">
        <v>46122</v>
      </c>
      <c r="D1271" s="1" t="s">
        <v>1767</v>
      </c>
      <c r="E1271" s="7" t="s">
        <v>13</v>
      </c>
      <c r="F1271" s="1" t="s">
        <v>26</v>
      </c>
      <c r="G1271" s="9" t="s">
        <v>35</v>
      </c>
      <c r="H1271" s="7">
        <v>45908</v>
      </c>
      <c r="I1271" s="18">
        <v>15001002</v>
      </c>
      <c r="J1271" s="10">
        <v>916</v>
      </c>
      <c r="K1271" s="7" t="s">
        <v>13</v>
      </c>
      <c r="L1271" s="7" t="s">
        <v>54</v>
      </c>
      <c r="M1271" s="34">
        <v>46127</v>
      </c>
      <c r="N1271" s="7" t="s">
        <v>46</v>
      </c>
    </row>
    <row r="1272" spans="1:14" x14ac:dyDescent="0.25">
      <c r="A1272" s="41" t="s">
        <v>1768</v>
      </c>
      <c r="B1272" s="1">
        <v>2</v>
      </c>
      <c r="C1272" s="8">
        <v>46127</v>
      </c>
      <c r="D1272" s="1" t="s">
        <v>1769</v>
      </c>
      <c r="E1272" s="7" t="s">
        <v>13</v>
      </c>
      <c r="F1272" s="1" t="s">
        <v>26</v>
      </c>
      <c r="G1272" s="9" t="s">
        <v>35</v>
      </c>
      <c r="H1272" s="7">
        <v>37165</v>
      </c>
      <c r="I1272" s="18">
        <v>15001002</v>
      </c>
      <c r="J1272" s="10">
        <v>9256</v>
      </c>
      <c r="K1272" s="7" t="s">
        <v>13</v>
      </c>
      <c r="L1272" s="7" t="s">
        <v>54</v>
      </c>
      <c r="M1272" s="34">
        <v>46127</v>
      </c>
      <c r="N1272" s="7" t="s">
        <v>46</v>
      </c>
    </row>
    <row r="1273" spans="1:14" x14ac:dyDescent="0.25">
      <c r="A1273" s="41" t="s">
        <v>371</v>
      </c>
      <c r="B1273" s="1">
        <v>2</v>
      </c>
      <c r="C1273" s="8">
        <v>46127</v>
      </c>
      <c r="D1273" s="1" t="s">
        <v>1770</v>
      </c>
      <c r="E1273" s="7" t="s">
        <v>13</v>
      </c>
      <c r="F1273" s="1" t="s">
        <v>26</v>
      </c>
      <c r="G1273" s="9" t="s">
        <v>35</v>
      </c>
      <c r="H1273" s="7">
        <v>1694</v>
      </c>
      <c r="I1273" s="18">
        <v>15001002</v>
      </c>
      <c r="J1273" s="10">
        <v>24414.3</v>
      </c>
      <c r="K1273" s="7" t="s">
        <v>13</v>
      </c>
      <c r="L1273" s="7" t="s">
        <v>54</v>
      </c>
      <c r="M1273" s="34">
        <v>46127</v>
      </c>
      <c r="N1273" s="7" t="s">
        <v>46</v>
      </c>
    </row>
    <row r="1274" spans="1:14" x14ac:dyDescent="0.25">
      <c r="A1274" s="41" t="s">
        <v>367</v>
      </c>
      <c r="B1274" s="1">
        <v>2</v>
      </c>
      <c r="C1274" s="8">
        <v>46134</v>
      </c>
      <c r="D1274" s="1" t="s">
        <v>1771</v>
      </c>
      <c r="E1274" s="7" t="s">
        <v>12</v>
      </c>
      <c r="F1274" s="1" t="s">
        <v>26</v>
      </c>
      <c r="G1274" s="9" t="s">
        <v>35</v>
      </c>
      <c r="H1274" s="7" t="s">
        <v>74</v>
      </c>
      <c r="I1274" s="18">
        <v>150010</v>
      </c>
      <c r="J1274" s="10">
        <v>482.41</v>
      </c>
      <c r="K1274" s="7" t="s">
        <v>12</v>
      </c>
      <c r="L1274" s="7" t="s">
        <v>53</v>
      </c>
      <c r="M1274" s="34">
        <v>46135</v>
      </c>
      <c r="N1274" s="7" t="s">
        <v>91</v>
      </c>
    </row>
    <row r="1275" spans="1:14" x14ac:dyDescent="0.25">
      <c r="A1275" s="41" t="s">
        <v>183</v>
      </c>
      <c r="B1275" s="1">
        <v>1</v>
      </c>
      <c r="C1275" s="8">
        <v>46122</v>
      </c>
      <c r="D1275" s="1" t="s">
        <v>1772</v>
      </c>
      <c r="E1275" s="7" t="s">
        <v>13</v>
      </c>
      <c r="F1275" s="1" t="s">
        <v>26</v>
      </c>
      <c r="G1275" s="9" t="s">
        <v>35</v>
      </c>
      <c r="H1275" s="7">
        <v>13724</v>
      </c>
      <c r="I1275" s="18">
        <v>15001002</v>
      </c>
      <c r="J1275" s="10">
        <v>8797.83</v>
      </c>
      <c r="K1275" s="7" t="s">
        <v>13</v>
      </c>
      <c r="L1275" s="7" t="s">
        <v>54</v>
      </c>
      <c r="M1275" s="34">
        <v>46128</v>
      </c>
      <c r="N1275" s="7" t="s">
        <v>91</v>
      </c>
    </row>
    <row r="1276" spans="1:14" x14ac:dyDescent="0.25">
      <c r="A1276" s="41" t="s">
        <v>441</v>
      </c>
      <c r="B1276" s="1">
        <v>2</v>
      </c>
      <c r="C1276" s="8">
        <v>46128</v>
      </c>
      <c r="D1276" s="1" t="s">
        <v>1773</v>
      </c>
      <c r="E1276" s="7" t="s">
        <v>2</v>
      </c>
      <c r="F1276" s="1" t="s">
        <v>26</v>
      </c>
      <c r="G1276" s="9" t="s">
        <v>35</v>
      </c>
      <c r="H1276" s="7">
        <v>12399</v>
      </c>
      <c r="I1276" s="18">
        <v>15001001</v>
      </c>
      <c r="J1276" s="10">
        <v>16308.76</v>
      </c>
      <c r="K1276" s="7" t="s">
        <v>12</v>
      </c>
      <c r="L1276" s="7" t="s">
        <v>53</v>
      </c>
      <c r="M1276" s="34">
        <v>46128</v>
      </c>
      <c r="N1276" s="7" t="s">
        <v>91</v>
      </c>
    </row>
    <row r="1277" spans="1:14" x14ac:dyDescent="0.25">
      <c r="A1277" s="41" t="s">
        <v>380</v>
      </c>
      <c r="B1277" s="1">
        <v>1</v>
      </c>
      <c r="C1277" s="8">
        <v>46122</v>
      </c>
      <c r="D1277" s="1" t="s">
        <v>1774</v>
      </c>
      <c r="E1277" s="7" t="s">
        <v>12</v>
      </c>
      <c r="F1277" s="1" t="s">
        <v>26</v>
      </c>
      <c r="G1277" s="9" t="s">
        <v>35</v>
      </c>
      <c r="H1277" s="7">
        <v>2026965</v>
      </c>
      <c r="I1277" s="18">
        <v>15000000</v>
      </c>
      <c r="J1277" s="10">
        <v>33000</v>
      </c>
      <c r="K1277" s="7" t="s">
        <v>12</v>
      </c>
      <c r="L1277" s="7" t="s">
        <v>53</v>
      </c>
      <c r="M1277" s="34">
        <v>46127</v>
      </c>
      <c r="N1277" s="7" t="s">
        <v>62</v>
      </c>
    </row>
    <row r="1278" spans="1:14" x14ac:dyDescent="0.25">
      <c r="A1278" s="41" t="s">
        <v>380</v>
      </c>
      <c r="B1278" s="1">
        <v>1</v>
      </c>
      <c r="C1278" s="8">
        <v>46122</v>
      </c>
      <c r="D1278" s="1" t="s">
        <v>1775</v>
      </c>
      <c r="E1278" s="7" t="s">
        <v>12</v>
      </c>
      <c r="F1278" s="1" t="s">
        <v>26</v>
      </c>
      <c r="G1278" s="9" t="s">
        <v>35</v>
      </c>
      <c r="H1278" s="7">
        <v>2026945</v>
      </c>
      <c r="I1278" s="18">
        <v>15000000</v>
      </c>
      <c r="J1278" s="10">
        <v>33000</v>
      </c>
      <c r="K1278" s="7" t="s">
        <v>12</v>
      </c>
      <c r="L1278" s="7" t="s">
        <v>53</v>
      </c>
      <c r="M1278" s="34">
        <v>46127</v>
      </c>
      <c r="N1278" s="7" t="s">
        <v>62</v>
      </c>
    </row>
    <row r="1279" spans="1:14" x14ac:dyDescent="0.25">
      <c r="A1279" s="41" t="s">
        <v>183</v>
      </c>
      <c r="B1279" s="1">
        <v>1</v>
      </c>
      <c r="C1279" s="8">
        <v>46122</v>
      </c>
      <c r="D1279" s="1" t="s">
        <v>1776</v>
      </c>
      <c r="E1279" s="7" t="s">
        <v>12</v>
      </c>
      <c r="F1279" s="1" t="s">
        <v>26</v>
      </c>
      <c r="G1279" s="9" t="s">
        <v>35</v>
      </c>
      <c r="H1279" s="7">
        <v>13722</v>
      </c>
      <c r="I1279" s="18">
        <v>15000000</v>
      </c>
      <c r="J1279" s="10">
        <v>26950.28</v>
      </c>
      <c r="K1279" s="7" t="s">
        <v>12</v>
      </c>
      <c r="L1279" s="7" t="s">
        <v>53</v>
      </c>
      <c r="M1279" s="34">
        <v>46127</v>
      </c>
      <c r="N1279" s="7" t="s">
        <v>62</v>
      </c>
    </row>
    <row r="1280" spans="1:14" x14ac:dyDescent="0.25">
      <c r="A1280" s="41" t="s">
        <v>1778</v>
      </c>
      <c r="B1280" s="1">
        <v>1</v>
      </c>
      <c r="C1280" s="8">
        <v>46122</v>
      </c>
      <c r="D1280" s="1" t="s">
        <v>1777</v>
      </c>
      <c r="E1280" s="7" t="s">
        <v>83</v>
      </c>
      <c r="F1280" s="1" t="s">
        <v>26</v>
      </c>
      <c r="G1280" s="9" t="s">
        <v>35</v>
      </c>
      <c r="H1280" s="7" t="s">
        <v>74</v>
      </c>
      <c r="I1280" s="18">
        <v>15000000</v>
      </c>
      <c r="J1280" s="10">
        <v>141693.71</v>
      </c>
      <c r="K1280" s="7" t="s">
        <v>12</v>
      </c>
      <c r="L1280" s="7" t="s">
        <v>53</v>
      </c>
      <c r="M1280" s="34">
        <v>46126</v>
      </c>
      <c r="N1280" s="7" t="s">
        <v>62</v>
      </c>
    </row>
    <row r="1281" spans="1:14" x14ac:dyDescent="0.25">
      <c r="A1281" s="41" t="s">
        <v>412</v>
      </c>
      <c r="B1281" s="1">
        <v>1</v>
      </c>
      <c r="C1281" s="8">
        <v>46125</v>
      </c>
      <c r="D1281" s="1" t="s">
        <v>1780</v>
      </c>
      <c r="E1281" s="7" t="s">
        <v>2</v>
      </c>
      <c r="F1281" s="1" t="s">
        <v>26</v>
      </c>
      <c r="G1281" s="9" t="s">
        <v>35</v>
      </c>
      <c r="I1281" s="18">
        <v>15400000</v>
      </c>
      <c r="J1281" s="10">
        <v>2996</v>
      </c>
      <c r="K1281" s="7" t="s">
        <v>12</v>
      </c>
      <c r="L1281" s="7" t="s">
        <v>53</v>
      </c>
      <c r="M1281" s="34">
        <v>46127</v>
      </c>
      <c r="N1281" s="7" t="s">
        <v>62</v>
      </c>
    </row>
    <row r="1282" spans="1:14" x14ac:dyDescent="0.25">
      <c r="A1282" s="41" t="s">
        <v>252</v>
      </c>
      <c r="B1282" s="1">
        <v>1</v>
      </c>
      <c r="C1282" s="8">
        <v>46125</v>
      </c>
      <c r="D1282" s="1" t="s">
        <v>1781</v>
      </c>
      <c r="E1282" s="7" t="s">
        <v>16</v>
      </c>
      <c r="F1282" s="1" t="s">
        <v>26</v>
      </c>
      <c r="G1282" s="9" t="s">
        <v>35</v>
      </c>
      <c r="H1282" s="7">
        <v>1857</v>
      </c>
      <c r="I1282" s="18">
        <v>16610000</v>
      </c>
      <c r="J1282" s="10">
        <v>4513</v>
      </c>
      <c r="K1282" s="7" t="s">
        <v>12</v>
      </c>
      <c r="L1282" s="7" t="s">
        <v>53</v>
      </c>
      <c r="M1282" s="34">
        <v>46135</v>
      </c>
      <c r="N1282" s="7" t="s">
        <v>52</v>
      </c>
    </row>
    <row r="1283" spans="1:14" x14ac:dyDescent="0.25">
      <c r="A1283" s="41" t="s">
        <v>252</v>
      </c>
      <c r="B1283" s="1">
        <v>1</v>
      </c>
      <c r="C1283" s="8">
        <v>46125</v>
      </c>
      <c r="D1283" s="1" t="s">
        <v>1783</v>
      </c>
      <c r="E1283" s="7" t="s">
        <v>16</v>
      </c>
      <c r="F1283" s="1" t="s">
        <v>26</v>
      </c>
      <c r="G1283" s="9" t="s">
        <v>35</v>
      </c>
      <c r="H1283" s="7" t="s">
        <v>1782</v>
      </c>
      <c r="I1283" s="18">
        <v>16660000</v>
      </c>
      <c r="J1283" s="10">
        <v>3130</v>
      </c>
      <c r="K1283" s="7" t="s">
        <v>12</v>
      </c>
      <c r="L1283" s="7" t="s">
        <v>53</v>
      </c>
      <c r="M1283" s="34">
        <v>46139</v>
      </c>
      <c r="N1283" s="7" t="s">
        <v>92</v>
      </c>
    </row>
    <row r="1284" spans="1:14" x14ac:dyDescent="0.25">
      <c r="A1284" s="41" t="s">
        <v>252</v>
      </c>
      <c r="B1284" s="1">
        <v>1</v>
      </c>
      <c r="C1284" s="8">
        <v>46125</v>
      </c>
      <c r="D1284" s="1" t="s">
        <v>1784</v>
      </c>
      <c r="E1284" s="7" t="s">
        <v>16</v>
      </c>
      <c r="F1284" s="1" t="s">
        <v>26</v>
      </c>
      <c r="G1284" s="9" t="s">
        <v>35</v>
      </c>
      <c r="H1284" s="7">
        <v>1859</v>
      </c>
      <c r="I1284" s="18">
        <v>15000000</v>
      </c>
      <c r="J1284" s="10">
        <v>6743</v>
      </c>
      <c r="K1284" s="7" t="s">
        <v>12</v>
      </c>
      <c r="L1284" s="7" t="s">
        <v>53</v>
      </c>
      <c r="M1284" s="34">
        <v>46139</v>
      </c>
      <c r="N1284" s="7" t="s">
        <v>92</v>
      </c>
    </row>
    <row r="1285" spans="1:14" x14ac:dyDescent="0.25">
      <c r="A1285" s="41" t="s">
        <v>252</v>
      </c>
      <c r="B1285" s="1">
        <v>2</v>
      </c>
      <c r="C1285" s="8">
        <v>46135</v>
      </c>
      <c r="D1285" s="1" t="s">
        <v>1785</v>
      </c>
      <c r="E1285" s="7" t="s">
        <v>16</v>
      </c>
      <c r="F1285" s="1" t="s">
        <v>26</v>
      </c>
      <c r="G1285" s="9" t="s">
        <v>35</v>
      </c>
      <c r="H1285" s="7">
        <v>1860</v>
      </c>
      <c r="I1285" s="18">
        <v>16600000</v>
      </c>
      <c r="J1285" s="10">
        <v>10363</v>
      </c>
      <c r="K1285" s="7" t="s">
        <v>12</v>
      </c>
      <c r="L1285" s="7" t="s">
        <v>53</v>
      </c>
      <c r="M1285" s="34">
        <v>46135</v>
      </c>
      <c r="N1285" s="7" t="s">
        <v>52</v>
      </c>
    </row>
    <row r="1286" spans="1:14" x14ac:dyDescent="0.25">
      <c r="A1286" s="41" t="s">
        <v>313</v>
      </c>
      <c r="B1286" s="1">
        <v>1</v>
      </c>
      <c r="C1286" s="8">
        <v>46125</v>
      </c>
      <c r="D1286" s="1" t="s">
        <v>1786</v>
      </c>
      <c r="E1286" s="7" t="s">
        <v>13</v>
      </c>
      <c r="F1286" s="1" t="s">
        <v>26</v>
      </c>
      <c r="G1286" s="9" t="s">
        <v>35</v>
      </c>
      <c r="H1286" s="7">
        <v>12303</v>
      </c>
      <c r="I1286" s="18">
        <v>16000000</v>
      </c>
      <c r="J1286" s="10">
        <v>5045.04</v>
      </c>
      <c r="K1286" s="7" t="s">
        <v>13</v>
      </c>
      <c r="L1286" s="7" t="s">
        <v>54</v>
      </c>
      <c r="M1286" s="34">
        <v>46128</v>
      </c>
      <c r="N1286" s="7" t="s">
        <v>41</v>
      </c>
    </row>
    <row r="1287" spans="1:14" x14ac:dyDescent="0.25">
      <c r="A1287" s="41" t="s">
        <v>188</v>
      </c>
      <c r="B1287" s="1">
        <v>1</v>
      </c>
      <c r="C1287" s="8">
        <v>46125</v>
      </c>
      <c r="D1287" s="1" t="s">
        <v>1787</v>
      </c>
      <c r="E1287" s="7" t="s">
        <v>13</v>
      </c>
      <c r="F1287" s="1" t="s">
        <v>26</v>
      </c>
      <c r="G1287" s="9" t="s">
        <v>35</v>
      </c>
      <c r="H1287" s="7" t="s">
        <v>74</v>
      </c>
      <c r="I1287" s="18">
        <v>16000000</v>
      </c>
      <c r="J1287" s="10">
        <v>600</v>
      </c>
      <c r="K1287" s="7" t="s">
        <v>13</v>
      </c>
      <c r="L1287" s="7" t="s">
        <v>40</v>
      </c>
      <c r="M1287" s="34">
        <v>46127</v>
      </c>
      <c r="N1287" s="7" t="s">
        <v>91</v>
      </c>
    </row>
    <row r="1288" spans="1:14" x14ac:dyDescent="0.25">
      <c r="A1288" s="41" t="s">
        <v>196</v>
      </c>
      <c r="B1288" s="1">
        <v>1</v>
      </c>
      <c r="C1288" s="8">
        <v>46125</v>
      </c>
      <c r="D1288" s="1" t="s">
        <v>1788</v>
      </c>
      <c r="E1288" s="7" t="s">
        <v>13</v>
      </c>
      <c r="F1288" s="1" t="s">
        <v>26</v>
      </c>
      <c r="G1288" s="9" t="s">
        <v>35</v>
      </c>
      <c r="H1288" s="7" t="s">
        <v>74</v>
      </c>
      <c r="I1288" s="18">
        <v>16000000</v>
      </c>
      <c r="J1288" s="10">
        <v>540</v>
      </c>
      <c r="K1288" s="7" t="s">
        <v>13</v>
      </c>
      <c r="L1288" s="7" t="s">
        <v>40</v>
      </c>
      <c r="M1288" s="34">
        <v>46127</v>
      </c>
      <c r="N1288" s="7" t="s">
        <v>91</v>
      </c>
    </row>
    <row r="1289" spans="1:14" x14ac:dyDescent="0.25">
      <c r="A1289" s="41" t="s">
        <v>252</v>
      </c>
      <c r="B1289" s="1">
        <v>1</v>
      </c>
      <c r="C1289" s="8">
        <v>46125</v>
      </c>
      <c r="D1289" s="1" t="s">
        <v>1789</v>
      </c>
      <c r="E1289" s="7" t="s">
        <v>16</v>
      </c>
      <c r="F1289" s="1" t="s">
        <v>26</v>
      </c>
      <c r="G1289" s="9" t="s">
        <v>35</v>
      </c>
      <c r="H1289" s="7">
        <v>1862</v>
      </c>
      <c r="I1289" s="18">
        <v>16600000</v>
      </c>
      <c r="J1289" s="10">
        <v>1510</v>
      </c>
      <c r="K1289" s="7" t="s">
        <v>12</v>
      </c>
      <c r="L1289" s="7" t="s">
        <v>53</v>
      </c>
      <c r="M1289" s="34">
        <v>46128</v>
      </c>
    </row>
    <row r="1290" spans="1:14" x14ac:dyDescent="0.25">
      <c r="A1290" s="41" t="s">
        <v>252</v>
      </c>
      <c r="B1290" s="1">
        <v>1</v>
      </c>
      <c r="C1290" s="8">
        <v>46125</v>
      </c>
      <c r="D1290" s="1" t="s">
        <v>1790</v>
      </c>
      <c r="E1290" s="7" t="s">
        <v>16</v>
      </c>
      <c r="F1290" s="1" t="s">
        <v>26</v>
      </c>
      <c r="G1290" s="9" t="s">
        <v>35</v>
      </c>
      <c r="H1290" s="7">
        <v>1863</v>
      </c>
      <c r="I1290" s="18">
        <v>15000000</v>
      </c>
      <c r="J1290" s="10">
        <v>320</v>
      </c>
      <c r="K1290" s="7" t="s">
        <v>12</v>
      </c>
      <c r="L1290" s="7" t="s">
        <v>53</v>
      </c>
      <c r="M1290" s="34">
        <v>46128</v>
      </c>
    </row>
    <row r="1291" spans="1:14" x14ac:dyDescent="0.25">
      <c r="A1291" s="41" t="s">
        <v>252</v>
      </c>
      <c r="B1291" s="1">
        <v>1</v>
      </c>
      <c r="C1291" s="8">
        <v>46125</v>
      </c>
      <c r="D1291" s="1" t="s">
        <v>1791</v>
      </c>
      <c r="E1291" s="7" t="s">
        <v>16</v>
      </c>
      <c r="F1291" s="1" t="s">
        <v>26</v>
      </c>
      <c r="G1291" s="9" t="s">
        <v>35</v>
      </c>
      <c r="H1291" s="7">
        <v>1864</v>
      </c>
      <c r="I1291" s="18">
        <v>16600000</v>
      </c>
      <c r="J1291" s="10">
        <v>280</v>
      </c>
      <c r="K1291" s="7" t="s">
        <v>12</v>
      </c>
      <c r="L1291" s="7" t="s">
        <v>53</v>
      </c>
      <c r="M1291" s="34">
        <v>46128</v>
      </c>
      <c r="N1291" s="7" t="s">
        <v>52</v>
      </c>
    </row>
    <row r="1292" spans="1:14" x14ac:dyDescent="0.25">
      <c r="A1292" s="41" t="s">
        <v>193</v>
      </c>
      <c r="B1292" s="1">
        <v>1</v>
      </c>
      <c r="C1292" s="8">
        <v>46125</v>
      </c>
      <c r="D1292" s="1" t="s">
        <v>1792</v>
      </c>
      <c r="E1292" s="7" t="s">
        <v>13</v>
      </c>
      <c r="F1292" s="1" t="s">
        <v>26</v>
      </c>
      <c r="G1292" s="9" t="s">
        <v>35</v>
      </c>
      <c r="H1292" s="7" t="s">
        <v>74</v>
      </c>
      <c r="I1292" s="18">
        <v>16000000</v>
      </c>
      <c r="J1292" s="10">
        <v>1580</v>
      </c>
      <c r="K1292" s="7" t="s">
        <v>13</v>
      </c>
      <c r="L1292" s="7" t="s">
        <v>54</v>
      </c>
      <c r="M1292" s="34">
        <v>46128</v>
      </c>
      <c r="N1292" s="7" t="s">
        <v>91</v>
      </c>
    </row>
    <row r="1293" spans="1:14" x14ac:dyDescent="0.25">
      <c r="A1293" s="41" t="s">
        <v>1794</v>
      </c>
      <c r="B1293" s="1">
        <v>2</v>
      </c>
      <c r="C1293" s="8">
        <v>46129</v>
      </c>
      <c r="D1293" s="1" t="s">
        <v>1793</v>
      </c>
      <c r="E1293" s="7" t="s">
        <v>13</v>
      </c>
      <c r="F1293" s="1" t="s">
        <v>26</v>
      </c>
      <c r="G1293" s="9" t="s">
        <v>35</v>
      </c>
      <c r="H1293" s="7" t="s">
        <v>74</v>
      </c>
      <c r="I1293" s="18">
        <v>16000000</v>
      </c>
      <c r="J1293" s="10">
        <v>520</v>
      </c>
      <c r="K1293" s="7" t="s">
        <v>13</v>
      </c>
      <c r="L1293" s="7" t="s">
        <v>40</v>
      </c>
      <c r="M1293" s="34">
        <v>46134</v>
      </c>
      <c r="N1293" s="7" t="s">
        <v>91</v>
      </c>
    </row>
    <row r="1294" spans="1:14" x14ac:dyDescent="0.25">
      <c r="A1294" s="41" t="s">
        <v>189</v>
      </c>
      <c r="B1294" s="1">
        <v>1</v>
      </c>
      <c r="C1294" s="8">
        <v>46125</v>
      </c>
      <c r="D1294" s="1" t="s">
        <v>1273</v>
      </c>
      <c r="E1294" s="7" t="s">
        <v>13</v>
      </c>
      <c r="F1294" s="1" t="s">
        <v>26</v>
      </c>
      <c r="G1294" s="9" t="s">
        <v>35</v>
      </c>
      <c r="I1294" s="18">
        <v>16000000</v>
      </c>
      <c r="J1294" s="10">
        <v>440</v>
      </c>
      <c r="K1294" s="7" t="s">
        <v>17</v>
      </c>
      <c r="L1294" s="7" t="s">
        <v>40</v>
      </c>
      <c r="M1294" s="34">
        <v>46129</v>
      </c>
      <c r="N1294" s="7" t="s">
        <v>91</v>
      </c>
    </row>
    <row r="1295" spans="1:14" x14ac:dyDescent="0.25">
      <c r="A1295" s="41" t="s">
        <v>1431</v>
      </c>
      <c r="B1295" s="1">
        <v>1</v>
      </c>
      <c r="C1295" s="8">
        <v>46125</v>
      </c>
      <c r="D1295" s="1" t="s">
        <v>1432</v>
      </c>
      <c r="E1295" s="7" t="s">
        <v>13</v>
      </c>
      <c r="F1295" s="1" t="s">
        <v>26</v>
      </c>
      <c r="G1295" s="9" t="s">
        <v>38</v>
      </c>
      <c r="H1295" s="7" t="s">
        <v>74</v>
      </c>
      <c r="I1295" s="18" t="s">
        <v>0</v>
      </c>
      <c r="J1295" s="10" t="s">
        <v>61</v>
      </c>
      <c r="K1295" s="7" t="s">
        <v>22</v>
      </c>
      <c r="L1295" s="7" t="s">
        <v>55</v>
      </c>
      <c r="M1295" s="34">
        <v>46134</v>
      </c>
    </row>
    <row r="1296" spans="1:14" x14ac:dyDescent="0.25">
      <c r="A1296" s="41" t="s">
        <v>189</v>
      </c>
      <c r="B1296" s="1">
        <v>1</v>
      </c>
      <c r="C1296" s="8">
        <v>46125</v>
      </c>
      <c r="D1296" s="1" t="s">
        <v>1273</v>
      </c>
      <c r="E1296" s="7" t="s">
        <v>13</v>
      </c>
      <c r="F1296" s="1" t="s">
        <v>26</v>
      </c>
      <c r="G1296" s="9" t="s">
        <v>35</v>
      </c>
      <c r="H1296" s="7" t="s">
        <v>74</v>
      </c>
      <c r="I1296" s="18">
        <v>16000000</v>
      </c>
      <c r="J1296" s="10">
        <v>440</v>
      </c>
      <c r="K1296" s="7" t="s">
        <v>13</v>
      </c>
      <c r="L1296" s="7" t="s">
        <v>54</v>
      </c>
      <c r="M1296" s="34">
        <v>46134</v>
      </c>
    </row>
    <row r="1297" spans="1:14" x14ac:dyDescent="0.25">
      <c r="A1297" s="41" t="s">
        <v>252</v>
      </c>
      <c r="B1297" s="1">
        <v>1</v>
      </c>
      <c r="C1297" s="8">
        <v>46125</v>
      </c>
      <c r="D1297" s="1" t="s">
        <v>1795</v>
      </c>
      <c r="E1297" s="7" t="s">
        <v>16</v>
      </c>
      <c r="F1297" s="1" t="s">
        <v>26</v>
      </c>
      <c r="G1297" s="9" t="s">
        <v>35</v>
      </c>
      <c r="H1297" s="7">
        <v>1865</v>
      </c>
      <c r="I1297" s="18">
        <v>16600000</v>
      </c>
      <c r="J1297" s="10">
        <v>240</v>
      </c>
      <c r="K1297" s="7" t="s">
        <v>12</v>
      </c>
      <c r="L1297" s="7" t="s">
        <v>53</v>
      </c>
      <c r="M1297" s="34">
        <v>46128</v>
      </c>
      <c r="N1297" s="7" t="s">
        <v>52</v>
      </c>
    </row>
    <row r="1298" spans="1:14" x14ac:dyDescent="0.25">
      <c r="A1298" s="41" t="s">
        <v>1797</v>
      </c>
      <c r="B1298" s="1">
        <v>1</v>
      </c>
      <c r="C1298" s="8">
        <v>46125</v>
      </c>
      <c r="D1298" s="1" t="s">
        <v>1796</v>
      </c>
      <c r="E1298" s="7" t="s">
        <v>83</v>
      </c>
      <c r="F1298" s="1" t="s">
        <v>26</v>
      </c>
      <c r="G1298" s="9" t="s">
        <v>35</v>
      </c>
      <c r="H1298" s="7" t="s">
        <v>74</v>
      </c>
      <c r="I1298" s="18">
        <v>15000000</v>
      </c>
      <c r="J1298" s="10">
        <v>26588.63</v>
      </c>
      <c r="K1298" s="7" t="s">
        <v>12</v>
      </c>
      <c r="L1298" s="7" t="s">
        <v>53</v>
      </c>
      <c r="M1298" s="34">
        <v>46127</v>
      </c>
      <c r="N1298" s="7" t="s">
        <v>62</v>
      </c>
    </row>
    <row r="1299" spans="1:14" x14ac:dyDescent="0.25">
      <c r="A1299" s="41" t="s">
        <v>412</v>
      </c>
      <c r="B1299" s="1">
        <v>1</v>
      </c>
      <c r="C1299" s="8">
        <v>46125</v>
      </c>
      <c r="D1299" s="1" t="s">
        <v>1780</v>
      </c>
      <c r="E1299" s="7" t="s">
        <v>2</v>
      </c>
      <c r="F1299" s="1" t="s">
        <v>26</v>
      </c>
      <c r="G1299" s="9" t="s">
        <v>35</v>
      </c>
      <c r="H1299" s="7">
        <v>1646</v>
      </c>
      <c r="I1299" s="18">
        <v>15400000</v>
      </c>
      <c r="J1299" s="10">
        <v>2996.0010000000002</v>
      </c>
      <c r="K1299" s="7" t="s">
        <v>12</v>
      </c>
      <c r="L1299" s="7" t="s">
        <v>53</v>
      </c>
      <c r="M1299" s="34">
        <v>46128</v>
      </c>
    </row>
    <row r="1300" spans="1:14" x14ac:dyDescent="0.25">
      <c r="A1300" s="41" t="s">
        <v>424</v>
      </c>
      <c r="B1300" s="1">
        <v>2</v>
      </c>
      <c r="C1300" s="8">
        <v>46129</v>
      </c>
      <c r="D1300" s="1" t="s">
        <v>1798</v>
      </c>
      <c r="E1300" s="7" t="s">
        <v>14</v>
      </c>
      <c r="F1300" s="1" t="s">
        <v>26</v>
      </c>
      <c r="G1300" s="9" t="s">
        <v>35</v>
      </c>
      <c r="H1300" s="7" t="s">
        <v>74</v>
      </c>
      <c r="I1300" s="18">
        <v>15000000</v>
      </c>
      <c r="J1300" s="10">
        <v>159370.20000000001</v>
      </c>
      <c r="K1300" s="7" t="s">
        <v>12</v>
      </c>
      <c r="L1300" s="7" t="s">
        <v>53</v>
      </c>
      <c r="M1300" s="34">
        <v>46129</v>
      </c>
      <c r="N1300" s="7" t="s">
        <v>91</v>
      </c>
    </row>
    <row r="1301" spans="1:14" x14ac:dyDescent="0.25">
      <c r="A1301" s="41" t="s">
        <v>252</v>
      </c>
      <c r="B1301" s="1">
        <v>1</v>
      </c>
      <c r="C1301" s="8">
        <v>46125</v>
      </c>
      <c r="D1301" s="1" t="s">
        <v>1799</v>
      </c>
      <c r="E1301" s="7" t="s">
        <v>16</v>
      </c>
      <c r="F1301" s="1" t="s">
        <v>26</v>
      </c>
      <c r="G1301" s="9" t="s">
        <v>35</v>
      </c>
      <c r="H1301" s="7">
        <v>3350</v>
      </c>
      <c r="I1301" s="18">
        <v>16600000</v>
      </c>
      <c r="J1301" s="10">
        <v>11046.13</v>
      </c>
      <c r="K1301" s="7" t="s">
        <v>12</v>
      </c>
      <c r="L1301" s="7" t="s">
        <v>53</v>
      </c>
      <c r="M1301" s="34">
        <v>46134</v>
      </c>
      <c r="N1301" s="7" t="s">
        <v>52</v>
      </c>
    </row>
    <row r="1302" spans="1:14" x14ac:dyDescent="0.25">
      <c r="A1302" s="41" t="s">
        <v>252</v>
      </c>
      <c r="B1302" s="1">
        <v>1</v>
      </c>
      <c r="C1302" s="8">
        <v>46125</v>
      </c>
      <c r="D1302" s="1" t="s">
        <v>1800</v>
      </c>
      <c r="E1302" s="7" t="s">
        <v>16</v>
      </c>
      <c r="F1302" s="1" t="s">
        <v>26</v>
      </c>
      <c r="G1302" s="9" t="s">
        <v>35</v>
      </c>
      <c r="H1302" s="7">
        <v>3347</v>
      </c>
      <c r="I1302" s="18">
        <v>16600000</v>
      </c>
      <c r="J1302" s="10">
        <v>5600.12</v>
      </c>
      <c r="K1302" s="7" t="s">
        <v>12</v>
      </c>
      <c r="L1302" s="7" t="s">
        <v>53</v>
      </c>
      <c r="M1302" s="34">
        <v>46135</v>
      </c>
      <c r="N1302" s="7" t="s">
        <v>52</v>
      </c>
    </row>
    <row r="1303" spans="1:14" x14ac:dyDescent="0.25">
      <c r="A1303" s="41" t="s">
        <v>252</v>
      </c>
      <c r="B1303" s="1">
        <v>1</v>
      </c>
      <c r="C1303" s="8">
        <v>46125</v>
      </c>
      <c r="D1303" s="1" t="s">
        <v>1801</v>
      </c>
      <c r="E1303" s="7" t="s">
        <v>16</v>
      </c>
      <c r="F1303" s="1" t="s">
        <v>26</v>
      </c>
      <c r="G1303" s="9" t="s">
        <v>35</v>
      </c>
      <c r="H1303" s="7">
        <v>3348</v>
      </c>
      <c r="I1303" s="18">
        <v>16600000</v>
      </c>
      <c r="J1303" s="10">
        <v>4102.54</v>
      </c>
      <c r="K1303" s="7" t="s">
        <v>12</v>
      </c>
      <c r="L1303" s="7" t="s">
        <v>53</v>
      </c>
      <c r="M1303" s="34">
        <v>46135</v>
      </c>
      <c r="N1303" s="7" t="s">
        <v>52</v>
      </c>
    </row>
    <row r="1304" spans="1:14" x14ac:dyDescent="0.25">
      <c r="A1304" s="41" t="s">
        <v>268</v>
      </c>
      <c r="B1304" s="1">
        <v>1</v>
      </c>
      <c r="C1304" s="8">
        <v>46125</v>
      </c>
      <c r="D1304" s="1" t="s">
        <v>1802</v>
      </c>
      <c r="E1304" s="7" t="s">
        <v>13</v>
      </c>
      <c r="F1304" s="1" t="s">
        <v>26</v>
      </c>
      <c r="G1304" s="9" t="s">
        <v>35</v>
      </c>
      <c r="H1304" s="7">
        <v>4898</v>
      </c>
      <c r="I1304" s="18">
        <v>16210000</v>
      </c>
      <c r="J1304" s="10">
        <v>4320</v>
      </c>
      <c r="K1304" s="7" t="s">
        <v>13</v>
      </c>
      <c r="L1304" s="7" t="s">
        <v>54</v>
      </c>
      <c r="M1304" s="34">
        <v>46128</v>
      </c>
      <c r="N1304" s="7" t="s">
        <v>41</v>
      </c>
    </row>
    <row r="1305" spans="1:14" x14ac:dyDescent="0.25">
      <c r="A1305" s="41" t="s">
        <v>339</v>
      </c>
      <c r="B1305" s="1">
        <v>1</v>
      </c>
      <c r="C1305" s="8">
        <v>46125</v>
      </c>
      <c r="D1305" s="1" t="s">
        <v>1803</v>
      </c>
      <c r="E1305" s="7" t="s">
        <v>13</v>
      </c>
      <c r="F1305" s="1" t="s">
        <v>26</v>
      </c>
      <c r="G1305" s="9" t="s">
        <v>63</v>
      </c>
      <c r="H1305" s="7" t="s">
        <v>74</v>
      </c>
      <c r="I1305" s="18">
        <v>15001002</v>
      </c>
      <c r="J1305" s="10" t="s">
        <v>61</v>
      </c>
      <c r="K1305" s="7" t="s">
        <v>17</v>
      </c>
      <c r="L1305" s="7" t="s">
        <v>40</v>
      </c>
      <c r="M1305" s="34">
        <v>46134</v>
      </c>
      <c r="N1305" s="7" t="s">
        <v>41</v>
      </c>
    </row>
    <row r="1306" spans="1:14" x14ac:dyDescent="0.25">
      <c r="A1306" s="41" t="s">
        <v>231</v>
      </c>
      <c r="B1306" s="1">
        <v>1</v>
      </c>
      <c r="C1306" s="8">
        <v>46125</v>
      </c>
      <c r="D1306" s="1" t="s">
        <v>1804</v>
      </c>
      <c r="E1306" s="7" t="s">
        <v>11</v>
      </c>
      <c r="F1306" s="1" t="s">
        <v>26</v>
      </c>
      <c r="G1306" s="9" t="s">
        <v>63</v>
      </c>
      <c r="H1306" s="7" t="s">
        <v>74</v>
      </c>
      <c r="I1306" s="18">
        <v>15001002</v>
      </c>
      <c r="J1306" s="10" t="s">
        <v>61</v>
      </c>
      <c r="K1306" s="7" t="s">
        <v>17</v>
      </c>
      <c r="L1306" s="7" t="s">
        <v>40</v>
      </c>
      <c r="M1306" s="34">
        <v>46134</v>
      </c>
      <c r="N1306" s="7" t="s">
        <v>41</v>
      </c>
    </row>
    <row r="1307" spans="1:14" x14ac:dyDescent="0.25">
      <c r="A1307" s="41" t="s">
        <v>483</v>
      </c>
      <c r="B1307" s="1">
        <v>1</v>
      </c>
      <c r="C1307" s="8">
        <v>46125</v>
      </c>
      <c r="D1307" s="1" t="s">
        <v>1805</v>
      </c>
      <c r="E1307" s="7" t="s">
        <v>2</v>
      </c>
      <c r="F1307" s="1" t="s">
        <v>26</v>
      </c>
      <c r="G1307" s="9" t="s">
        <v>35</v>
      </c>
      <c r="H1307" s="7">
        <v>2697</v>
      </c>
      <c r="I1307" s="18">
        <v>15001001</v>
      </c>
      <c r="J1307" s="10">
        <v>179361.17</v>
      </c>
      <c r="K1307" s="7" t="s">
        <v>12</v>
      </c>
      <c r="L1307" s="7" t="s">
        <v>53</v>
      </c>
      <c r="M1307" s="34">
        <v>46139</v>
      </c>
      <c r="N1307" s="7" t="s">
        <v>41</v>
      </c>
    </row>
    <row r="1308" spans="1:14" x14ac:dyDescent="0.25">
      <c r="A1308" s="41" t="s">
        <v>1436</v>
      </c>
      <c r="B1308" s="1">
        <v>1</v>
      </c>
      <c r="C1308" s="8">
        <v>46125</v>
      </c>
      <c r="D1308" s="1" t="s">
        <v>1806</v>
      </c>
      <c r="E1308" s="7" t="s">
        <v>2</v>
      </c>
      <c r="F1308" s="1" t="s">
        <v>26</v>
      </c>
      <c r="G1308" s="9" t="s">
        <v>35</v>
      </c>
      <c r="H1308" s="7">
        <v>1623</v>
      </c>
      <c r="I1308" s="18">
        <v>15420000</v>
      </c>
      <c r="J1308" s="10">
        <v>30080.48</v>
      </c>
      <c r="K1308" s="7" t="s">
        <v>12</v>
      </c>
      <c r="L1308" s="7" t="s">
        <v>53</v>
      </c>
      <c r="M1308" s="34">
        <v>46128</v>
      </c>
      <c r="N1308" s="7" t="s">
        <v>62</v>
      </c>
    </row>
    <row r="1309" spans="1:14" x14ac:dyDescent="0.25">
      <c r="A1309" s="41" t="s">
        <v>1436</v>
      </c>
      <c r="B1309" s="1">
        <v>1</v>
      </c>
      <c r="C1309" s="8">
        <v>46125</v>
      </c>
      <c r="D1309" s="1" t="s">
        <v>1807</v>
      </c>
      <c r="E1309" s="7" t="s">
        <v>2</v>
      </c>
      <c r="F1309" s="1" t="s">
        <v>26</v>
      </c>
      <c r="G1309" s="9" t="s">
        <v>35</v>
      </c>
      <c r="H1309" s="7">
        <v>1624</v>
      </c>
      <c r="I1309" s="18">
        <v>15001001</v>
      </c>
      <c r="J1309" s="10">
        <v>1769.44</v>
      </c>
      <c r="K1309" s="7" t="s">
        <v>12</v>
      </c>
      <c r="L1309" s="7" t="s">
        <v>53</v>
      </c>
      <c r="M1309" s="34">
        <v>46128</v>
      </c>
      <c r="N1309" s="7" t="s">
        <v>91</v>
      </c>
    </row>
    <row r="1310" spans="1:14" x14ac:dyDescent="0.25">
      <c r="A1310" s="41" t="s">
        <v>441</v>
      </c>
      <c r="B1310" s="1">
        <v>4</v>
      </c>
      <c r="C1310" s="8">
        <v>46157</v>
      </c>
      <c r="D1310" s="1" t="s">
        <v>1808</v>
      </c>
      <c r="E1310" s="7" t="s">
        <v>14</v>
      </c>
      <c r="F1310" s="1" t="s">
        <v>26</v>
      </c>
      <c r="G1310" s="9" t="s">
        <v>35</v>
      </c>
      <c r="H1310" s="7">
        <v>12392</v>
      </c>
      <c r="I1310" s="18">
        <v>15000000</v>
      </c>
      <c r="J1310" s="10">
        <v>9363.19</v>
      </c>
      <c r="K1310" s="7" t="s">
        <v>12</v>
      </c>
      <c r="L1310" s="7" t="s">
        <v>53</v>
      </c>
      <c r="M1310" s="34">
        <v>46157</v>
      </c>
      <c r="N1310" s="7" t="s">
        <v>46</v>
      </c>
    </row>
    <row r="1311" spans="1:14" x14ac:dyDescent="0.25">
      <c r="A1311" s="41" t="s">
        <v>1413</v>
      </c>
      <c r="B1311" s="1">
        <v>1</v>
      </c>
      <c r="C1311" s="8">
        <v>46125</v>
      </c>
      <c r="D1311" s="1" t="s">
        <v>1809</v>
      </c>
      <c r="E1311" s="7" t="s">
        <v>11</v>
      </c>
      <c r="F1311" s="1" t="s">
        <v>26</v>
      </c>
      <c r="G1311" s="9" t="s">
        <v>35</v>
      </c>
      <c r="H1311" s="7">
        <v>2489</v>
      </c>
      <c r="I1311" s="18">
        <v>15000000</v>
      </c>
      <c r="J1311" s="10">
        <v>4000</v>
      </c>
      <c r="K1311" s="7" t="s">
        <v>12</v>
      </c>
      <c r="L1311" s="7" t="s">
        <v>53</v>
      </c>
      <c r="M1311" s="34">
        <v>46128</v>
      </c>
      <c r="N1311" s="7" t="s">
        <v>41</v>
      </c>
    </row>
    <row r="1312" spans="1:14" x14ac:dyDescent="0.25">
      <c r="A1312" s="41" t="s">
        <v>513</v>
      </c>
      <c r="B1312" s="1">
        <v>1</v>
      </c>
      <c r="C1312" s="8">
        <v>46125</v>
      </c>
      <c r="D1312" s="1" t="s">
        <v>1810</v>
      </c>
      <c r="E1312" s="7" t="s">
        <v>12</v>
      </c>
      <c r="F1312" s="1" t="s">
        <v>26</v>
      </c>
      <c r="G1312" s="9" t="s">
        <v>35</v>
      </c>
      <c r="H1312" s="18">
        <v>5775</v>
      </c>
      <c r="I1312" s="18">
        <v>15000000</v>
      </c>
      <c r="J1312" s="10">
        <v>7800</v>
      </c>
      <c r="K1312" s="7" t="s">
        <v>12</v>
      </c>
      <c r="L1312" s="7" t="s">
        <v>53</v>
      </c>
      <c r="M1312" s="34">
        <v>46127</v>
      </c>
      <c r="N1312" s="7" t="s">
        <v>62</v>
      </c>
    </row>
    <row r="1313" spans="1:15" x14ac:dyDescent="0.25">
      <c r="A1313" s="41" t="s">
        <v>1811</v>
      </c>
      <c r="B1313" s="1">
        <v>1</v>
      </c>
      <c r="C1313" s="8">
        <v>46125</v>
      </c>
      <c r="D1313" s="1" t="s">
        <v>1812</v>
      </c>
      <c r="E1313" s="7" t="s">
        <v>16</v>
      </c>
      <c r="F1313" s="1" t="s">
        <v>26</v>
      </c>
      <c r="G1313" s="9" t="s">
        <v>35</v>
      </c>
      <c r="H1313" s="7">
        <v>719</v>
      </c>
      <c r="I1313" s="18">
        <v>15000000</v>
      </c>
      <c r="J1313" s="10">
        <v>736000</v>
      </c>
      <c r="K1313" s="7" t="s">
        <v>12</v>
      </c>
      <c r="L1313" s="7" t="s">
        <v>53</v>
      </c>
      <c r="M1313" s="34">
        <v>46127</v>
      </c>
      <c r="N1313" s="7" t="s">
        <v>62</v>
      </c>
    </row>
    <row r="1314" spans="1:15" x14ac:dyDescent="0.25">
      <c r="A1314" s="41" t="s">
        <v>332</v>
      </c>
      <c r="B1314" s="1">
        <v>1</v>
      </c>
      <c r="C1314" s="8">
        <v>46125</v>
      </c>
      <c r="D1314" s="1" t="s">
        <v>1813</v>
      </c>
      <c r="E1314" s="7" t="s">
        <v>13</v>
      </c>
      <c r="F1314" s="1" t="s">
        <v>26</v>
      </c>
      <c r="G1314" s="9" t="s">
        <v>35</v>
      </c>
      <c r="H1314" s="7">
        <v>940</v>
      </c>
      <c r="I1314" s="18">
        <v>15001002</v>
      </c>
      <c r="J1314" s="10">
        <v>36954.53</v>
      </c>
      <c r="K1314" s="7" t="s">
        <v>13</v>
      </c>
      <c r="L1314" s="7" t="s">
        <v>54</v>
      </c>
      <c r="M1314" s="34">
        <v>46128</v>
      </c>
      <c r="N1314" s="7" t="s">
        <v>91</v>
      </c>
    </row>
    <row r="1315" spans="1:15" x14ac:dyDescent="0.25">
      <c r="A1315" s="41" t="s">
        <v>1717</v>
      </c>
      <c r="B1315" s="1">
        <v>1</v>
      </c>
      <c r="C1315" s="8">
        <v>46125</v>
      </c>
      <c r="D1315" s="1" t="s">
        <v>1814</v>
      </c>
      <c r="E1315" s="7" t="s">
        <v>17</v>
      </c>
      <c r="F1315" s="1" t="s">
        <v>26</v>
      </c>
      <c r="G1315" s="9" t="s">
        <v>68</v>
      </c>
      <c r="H1315" s="7" t="s">
        <v>74</v>
      </c>
      <c r="I1315" s="18">
        <v>15000000</v>
      </c>
      <c r="J1315" s="10" t="s">
        <v>61</v>
      </c>
      <c r="K1315" s="7" t="s">
        <v>58</v>
      </c>
      <c r="L1315" s="7" t="s">
        <v>55</v>
      </c>
      <c r="M1315" s="34">
        <v>46126</v>
      </c>
      <c r="N1315" s="7" t="s">
        <v>41</v>
      </c>
    </row>
    <row r="1316" spans="1:15" x14ac:dyDescent="0.25">
      <c r="A1316" s="41" t="s">
        <v>1815</v>
      </c>
      <c r="B1316" s="1">
        <v>1</v>
      </c>
      <c r="C1316" s="8">
        <v>46126</v>
      </c>
      <c r="D1316" s="1" t="s">
        <v>1816</v>
      </c>
      <c r="E1316" s="7" t="s">
        <v>16</v>
      </c>
      <c r="F1316" s="1" t="s">
        <v>26</v>
      </c>
      <c r="G1316" s="9" t="s">
        <v>35</v>
      </c>
      <c r="H1316" s="7">
        <v>883</v>
      </c>
      <c r="I1316" s="18">
        <v>15000000</v>
      </c>
      <c r="J1316" s="10">
        <v>266800</v>
      </c>
      <c r="K1316" s="7" t="s">
        <v>12</v>
      </c>
      <c r="L1316" s="7" t="s">
        <v>53</v>
      </c>
      <c r="M1316" s="34">
        <v>46128</v>
      </c>
      <c r="N1316" s="7" t="s">
        <v>62</v>
      </c>
    </row>
    <row r="1317" spans="1:15" x14ac:dyDescent="0.25">
      <c r="A1317" s="41" t="s">
        <v>907</v>
      </c>
      <c r="B1317" s="1">
        <v>1</v>
      </c>
      <c r="C1317" s="8">
        <v>46126</v>
      </c>
      <c r="D1317" s="1" t="s">
        <v>1817</v>
      </c>
      <c r="E1317" s="7" t="s">
        <v>16</v>
      </c>
      <c r="F1317" s="1" t="s">
        <v>26</v>
      </c>
      <c r="G1317" s="9" t="s">
        <v>35</v>
      </c>
      <c r="H1317" s="7">
        <v>5630</v>
      </c>
      <c r="I1317" s="18">
        <v>15000000</v>
      </c>
      <c r="J1317" s="10">
        <v>23840</v>
      </c>
      <c r="K1317" s="7" t="s">
        <v>12</v>
      </c>
      <c r="L1317" s="7" t="s">
        <v>53</v>
      </c>
      <c r="M1317" s="34">
        <v>46129</v>
      </c>
      <c r="N1317" s="7" t="s">
        <v>41</v>
      </c>
    </row>
    <row r="1318" spans="1:15" x14ac:dyDescent="0.25">
      <c r="A1318" s="41" t="s">
        <v>1484</v>
      </c>
      <c r="B1318" s="1">
        <v>2</v>
      </c>
      <c r="C1318" s="8">
        <v>46129</v>
      </c>
      <c r="D1318" s="1" t="s">
        <v>1909</v>
      </c>
      <c r="E1318" s="7" t="s">
        <v>2</v>
      </c>
      <c r="F1318" s="1" t="s">
        <v>26</v>
      </c>
      <c r="G1318" s="9" t="s">
        <v>35</v>
      </c>
      <c r="H1318" s="7">
        <v>8789</v>
      </c>
      <c r="I1318" s="18">
        <v>15000000</v>
      </c>
      <c r="J1318" s="10">
        <v>11222.5</v>
      </c>
      <c r="K1318" s="7" t="s">
        <v>12</v>
      </c>
      <c r="L1318" s="7" t="s">
        <v>53</v>
      </c>
      <c r="M1318" s="34">
        <v>46129</v>
      </c>
      <c r="N1318" s="7" t="s">
        <v>41</v>
      </c>
      <c r="O1318" s="7" t="s">
        <v>1910</v>
      </c>
    </row>
    <row r="1319" spans="1:15" x14ac:dyDescent="0.25">
      <c r="A1319" s="41" t="s">
        <v>462</v>
      </c>
      <c r="B1319" s="1">
        <v>1</v>
      </c>
      <c r="C1319" s="8">
        <v>46126</v>
      </c>
      <c r="D1319" s="1" t="s">
        <v>1818</v>
      </c>
      <c r="E1319" s="7" t="s">
        <v>2</v>
      </c>
      <c r="F1319" s="1" t="s">
        <v>26</v>
      </c>
      <c r="G1319" s="9" t="s">
        <v>35</v>
      </c>
      <c r="H1319" s="7">
        <v>1403</v>
      </c>
      <c r="I1319" s="18">
        <v>15400000</v>
      </c>
      <c r="J1319" s="10">
        <v>19679.650000000001</v>
      </c>
      <c r="K1319" s="7" t="s">
        <v>12</v>
      </c>
      <c r="L1319" s="7" t="s">
        <v>53</v>
      </c>
      <c r="M1319" s="34">
        <v>46135</v>
      </c>
      <c r="N1319" s="7" t="s">
        <v>91</v>
      </c>
    </row>
    <row r="1320" spans="1:15" x14ac:dyDescent="0.25">
      <c r="C1320" s="8"/>
      <c r="G1320" s="75"/>
    </row>
    <row r="1321" spans="1:15" x14ac:dyDescent="0.25">
      <c r="A1321" s="41" t="s">
        <v>462</v>
      </c>
      <c r="B1321" s="1">
        <v>2</v>
      </c>
      <c r="C1321" s="8">
        <v>46126</v>
      </c>
      <c r="D1321" s="1" t="s">
        <v>1819</v>
      </c>
      <c r="E1321" s="7" t="s">
        <v>2</v>
      </c>
      <c r="F1321" s="1" t="s">
        <v>26</v>
      </c>
      <c r="G1321" s="9" t="s">
        <v>35</v>
      </c>
      <c r="H1321" s="7">
        <v>1405</v>
      </c>
      <c r="I1321" s="18">
        <v>15001001</v>
      </c>
      <c r="J1321" s="10">
        <v>28462.16</v>
      </c>
      <c r="K1321" s="7" t="s">
        <v>12</v>
      </c>
      <c r="L1321" s="7" t="s">
        <v>53</v>
      </c>
      <c r="M1321" s="34">
        <v>46135</v>
      </c>
      <c r="N1321" s="7" t="s">
        <v>91</v>
      </c>
    </row>
    <row r="1322" spans="1:15" x14ac:dyDescent="0.25">
      <c r="A1322" s="41" t="s">
        <v>782</v>
      </c>
      <c r="B1322" s="1">
        <v>1</v>
      </c>
      <c r="C1322" s="8">
        <v>46126</v>
      </c>
      <c r="D1322" s="1" t="s">
        <v>1820</v>
      </c>
      <c r="E1322" s="7" t="s">
        <v>56</v>
      </c>
      <c r="F1322" s="1" t="s">
        <v>26</v>
      </c>
      <c r="G1322" s="9" t="s">
        <v>35</v>
      </c>
      <c r="H1322" s="7">
        <v>273</v>
      </c>
      <c r="I1322" s="18">
        <v>15000000</v>
      </c>
      <c r="J1322" s="10">
        <v>3900</v>
      </c>
      <c r="K1322" s="7" t="s">
        <v>12</v>
      </c>
      <c r="L1322" s="7" t="s">
        <v>53</v>
      </c>
      <c r="M1322" s="34">
        <v>46129</v>
      </c>
      <c r="N1322" s="7" t="s">
        <v>41</v>
      </c>
    </row>
    <row r="1323" spans="1:15" x14ac:dyDescent="0.25">
      <c r="A1323" s="41" t="s">
        <v>782</v>
      </c>
      <c r="B1323" s="1">
        <v>2</v>
      </c>
      <c r="C1323" s="8">
        <v>46129</v>
      </c>
      <c r="D1323" s="1" t="s">
        <v>1821</v>
      </c>
      <c r="E1323" s="7" t="s">
        <v>56</v>
      </c>
      <c r="F1323" s="1" t="s">
        <v>26</v>
      </c>
      <c r="G1323" s="9" t="s">
        <v>35</v>
      </c>
      <c r="H1323" s="7">
        <v>272</v>
      </c>
      <c r="I1323" s="18">
        <v>15000000</v>
      </c>
      <c r="J1323" s="10">
        <v>9100</v>
      </c>
      <c r="K1323" s="7" t="s">
        <v>12</v>
      </c>
      <c r="L1323" s="7" t="s">
        <v>53</v>
      </c>
      <c r="M1323" s="34">
        <v>46129</v>
      </c>
      <c r="N1323" s="7" t="s">
        <v>41</v>
      </c>
    </row>
    <row r="1324" spans="1:15" x14ac:dyDescent="0.25">
      <c r="A1324" s="41" t="s">
        <v>785</v>
      </c>
      <c r="B1324" s="1">
        <v>1</v>
      </c>
      <c r="C1324" s="8">
        <v>46126</v>
      </c>
      <c r="D1324" s="1" t="s">
        <v>1822</v>
      </c>
      <c r="E1324" s="7" t="s">
        <v>56</v>
      </c>
      <c r="F1324" s="1" t="s">
        <v>26</v>
      </c>
      <c r="G1324" s="9" t="s">
        <v>35</v>
      </c>
      <c r="H1324" s="7">
        <v>3540</v>
      </c>
      <c r="I1324" s="18">
        <v>15000000</v>
      </c>
      <c r="J1324" s="10">
        <v>4040.21</v>
      </c>
      <c r="K1324" s="7" t="s">
        <v>12</v>
      </c>
      <c r="L1324" s="7" t="s">
        <v>53</v>
      </c>
      <c r="M1324" s="34">
        <v>46127</v>
      </c>
      <c r="N1324" s="7" t="s">
        <v>62</v>
      </c>
    </row>
    <row r="1325" spans="1:15" x14ac:dyDescent="0.25">
      <c r="A1325" s="41" t="s">
        <v>441</v>
      </c>
      <c r="B1325" s="1">
        <v>2</v>
      </c>
      <c r="C1325" s="8">
        <v>46135</v>
      </c>
      <c r="D1325" s="1" t="s">
        <v>1908</v>
      </c>
      <c r="E1325" s="7" t="s">
        <v>13</v>
      </c>
      <c r="F1325" s="1" t="s">
        <v>26</v>
      </c>
      <c r="G1325" s="9" t="s">
        <v>35</v>
      </c>
      <c r="H1325" s="7">
        <v>12390</v>
      </c>
      <c r="I1325" s="18">
        <v>16590000</v>
      </c>
      <c r="J1325" s="10">
        <v>5882.76</v>
      </c>
      <c r="K1325" s="7" t="s">
        <v>13</v>
      </c>
      <c r="L1325" s="7" t="s">
        <v>54</v>
      </c>
      <c r="M1325" s="34">
        <v>46135</v>
      </c>
      <c r="N1325" s="7" t="s">
        <v>46</v>
      </c>
    </row>
    <row r="1326" spans="1:15" x14ac:dyDescent="0.25">
      <c r="A1326" s="41" t="s">
        <v>441</v>
      </c>
      <c r="B1326" s="1">
        <v>1</v>
      </c>
      <c r="C1326" s="8">
        <v>46126</v>
      </c>
      <c r="D1326" s="1" t="s">
        <v>1823</v>
      </c>
      <c r="E1326" s="7" t="s">
        <v>16</v>
      </c>
      <c r="F1326" s="1" t="s">
        <v>26</v>
      </c>
      <c r="G1326" s="9" t="s">
        <v>35</v>
      </c>
      <c r="H1326" s="7">
        <v>12396</v>
      </c>
      <c r="I1326" s="18">
        <v>16600000</v>
      </c>
      <c r="J1326" s="10">
        <v>238.42</v>
      </c>
      <c r="K1326" s="7" t="s">
        <v>12</v>
      </c>
      <c r="L1326" s="7" t="s">
        <v>53</v>
      </c>
      <c r="M1326" s="34">
        <v>46129</v>
      </c>
      <c r="N1326" s="7" t="s">
        <v>46</v>
      </c>
    </row>
    <row r="1327" spans="1:15" x14ac:dyDescent="0.25">
      <c r="A1327" s="41" t="s">
        <v>441</v>
      </c>
      <c r="B1327" s="1">
        <v>1</v>
      </c>
      <c r="C1327" s="8">
        <v>46126</v>
      </c>
      <c r="D1327" s="1" t="s">
        <v>1824</v>
      </c>
      <c r="E1327" s="7" t="s">
        <v>16</v>
      </c>
      <c r="F1327" s="1" t="s">
        <v>26</v>
      </c>
      <c r="G1327" s="9" t="s">
        <v>35</v>
      </c>
      <c r="H1327" s="7">
        <v>12396</v>
      </c>
      <c r="I1327" s="18">
        <v>16600000</v>
      </c>
      <c r="J1327" s="10">
        <v>192.78</v>
      </c>
      <c r="K1327" s="7" t="s">
        <v>12</v>
      </c>
      <c r="L1327" s="7" t="s">
        <v>53</v>
      </c>
      <c r="M1327" s="34">
        <v>46129</v>
      </c>
      <c r="N1327" s="7" t="s">
        <v>46</v>
      </c>
    </row>
    <row r="1328" spans="1:15" x14ac:dyDescent="0.25">
      <c r="A1328" s="41" t="s">
        <v>441</v>
      </c>
      <c r="B1328" s="1">
        <v>1</v>
      </c>
      <c r="C1328" s="8">
        <v>46126</v>
      </c>
      <c r="D1328" s="1" t="s">
        <v>1825</v>
      </c>
      <c r="E1328" s="7" t="s">
        <v>16</v>
      </c>
      <c r="F1328" s="1" t="s">
        <v>26</v>
      </c>
      <c r="G1328" s="9" t="s">
        <v>35</v>
      </c>
      <c r="H1328" s="7">
        <v>12396</v>
      </c>
      <c r="I1328" s="18">
        <v>16600000</v>
      </c>
      <c r="J1328" s="10">
        <v>36.049999999999997</v>
      </c>
      <c r="K1328" s="7" t="s">
        <v>12</v>
      </c>
      <c r="L1328" s="7" t="s">
        <v>53</v>
      </c>
      <c r="M1328" s="34">
        <v>46129</v>
      </c>
      <c r="N1328" s="7" t="s">
        <v>46</v>
      </c>
    </row>
    <row r="1329" spans="1:14" x14ac:dyDescent="0.25">
      <c r="A1329" s="41" t="s">
        <v>441</v>
      </c>
      <c r="B1329" s="1">
        <v>1</v>
      </c>
      <c r="C1329" s="8">
        <v>46126</v>
      </c>
      <c r="D1329" s="1" t="s">
        <v>1826</v>
      </c>
      <c r="E1329" s="7" t="s">
        <v>16</v>
      </c>
      <c r="F1329" s="1" t="s">
        <v>26</v>
      </c>
      <c r="G1329" s="9" t="s">
        <v>35</v>
      </c>
      <c r="H1329" s="7">
        <v>12396</v>
      </c>
      <c r="I1329" s="18">
        <v>15000000</v>
      </c>
      <c r="J1329" s="10">
        <v>861.07</v>
      </c>
      <c r="K1329" s="7" t="s">
        <v>12</v>
      </c>
      <c r="L1329" s="7" t="s">
        <v>53</v>
      </c>
      <c r="M1329" s="34">
        <v>46129</v>
      </c>
      <c r="N1329" s="7" t="s">
        <v>46</v>
      </c>
    </row>
    <row r="1330" spans="1:14" x14ac:dyDescent="0.25">
      <c r="A1330" s="41" t="s">
        <v>1827</v>
      </c>
      <c r="B1330" s="1">
        <v>2</v>
      </c>
      <c r="C1330" s="8">
        <v>46129</v>
      </c>
      <c r="D1330" s="1" t="s">
        <v>1828</v>
      </c>
      <c r="E1330" s="7" t="s">
        <v>16</v>
      </c>
      <c r="F1330" s="1" t="s">
        <v>26</v>
      </c>
      <c r="G1330" s="9" t="s">
        <v>35</v>
      </c>
      <c r="H1330" s="7" t="s">
        <v>74</v>
      </c>
      <c r="I1330" s="18" t="s">
        <v>0</v>
      </c>
      <c r="J1330" s="10" t="s">
        <v>61</v>
      </c>
      <c r="K1330" s="7" t="s">
        <v>12</v>
      </c>
      <c r="L1330" s="7" t="s">
        <v>53</v>
      </c>
      <c r="M1330" s="34">
        <v>46129</v>
      </c>
      <c r="N1330" s="7" t="s">
        <v>41</v>
      </c>
    </row>
    <row r="1331" spans="1:14" x14ac:dyDescent="0.25">
      <c r="A1331" s="41" t="s">
        <v>1830</v>
      </c>
      <c r="B1331" s="1">
        <v>2</v>
      </c>
      <c r="C1331" s="8">
        <v>46127</v>
      </c>
      <c r="D1331" s="1" t="s">
        <v>1829</v>
      </c>
      <c r="E1331" s="7" t="s">
        <v>83</v>
      </c>
      <c r="F1331" s="1" t="s">
        <v>26</v>
      </c>
      <c r="G1331" s="9" t="s">
        <v>35</v>
      </c>
      <c r="H1331" s="7" t="s">
        <v>74</v>
      </c>
      <c r="I1331" s="18" t="s">
        <v>0</v>
      </c>
      <c r="J1331" s="10" t="s">
        <v>61</v>
      </c>
      <c r="K1331" s="7" t="s">
        <v>83</v>
      </c>
      <c r="L1331" s="7" t="s">
        <v>40</v>
      </c>
      <c r="M1331" s="34">
        <v>46127</v>
      </c>
      <c r="N1331" s="7" t="s">
        <v>41</v>
      </c>
    </row>
    <row r="1332" spans="1:14" x14ac:dyDescent="0.25">
      <c r="A1332" s="41" t="s">
        <v>590</v>
      </c>
      <c r="B1332" s="1">
        <v>1</v>
      </c>
      <c r="C1332" s="8">
        <v>46126</v>
      </c>
      <c r="D1332" s="1" t="s">
        <v>1831</v>
      </c>
      <c r="E1332" s="7" t="s">
        <v>14</v>
      </c>
      <c r="F1332" s="1" t="s">
        <v>26</v>
      </c>
      <c r="G1332" s="9" t="s">
        <v>35</v>
      </c>
      <c r="H1332" s="7" t="s">
        <v>74</v>
      </c>
      <c r="I1332" s="18">
        <v>15000000</v>
      </c>
      <c r="J1332" s="10">
        <v>179.52</v>
      </c>
      <c r="K1332" s="7" t="s">
        <v>12</v>
      </c>
      <c r="L1332" s="7" t="s">
        <v>53</v>
      </c>
      <c r="M1332" s="34">
        <v>46127</v>
      </c>
      <c r="N1332" s="7" t="s">
        <v>41</v>
      </c>
    </row>
    <row r="1333" spans="1:14" x14ac:dyDescent="0.25">
      <c r="A1333" s="41" t="s">
        <v>1078</v>
      </c>
      <c r="B1333" s="1">
        <v>1</v>
      </c>
      <c r="C1333" s="8">
        <v>46126</v>
      </c>
      <c r="D1333" s="1" t="s">
        <v>1832</v>
      </c>
      <c r="E1333" s="7" t="s">
        <v>2</v>
      </c>
      <c r="F1333" s="1" t="s">
        <v>26</v>
      </c>
      <c r="G1333" s="9" t="s">
        <v>35</v>
      </c>
      <c r="H1333" s="7">
        <v>62</v>
      </c>
      <c r="I1333" s="18">
        <v>15001001</v>
      </c>
      <c r="J1333" s="10">
        <v>43117.599999999999</v>
      </c>
      <c r="K1333" s="7" t="s">
        <v>12</v>
      </c>
      <c r="L1333" s="7" t="s">
        <v>53</v>
      </c>
      <c r="M1333" s="34">
        <v>46129</v>
      </c>
      <c r="N1333" s="7" t="s">
        <v>91</v>
      </c>
    </row>
    <row r="1334" spans="1:14" x14ac:dyDescent="0.25">
      <c r="A1334" s="41" t="s">
        <v>409</v>
      </c>
      <c r="B1334" s="1">
        <v>2</v>
      </c>
      <c r="C1334" s="8">
        <v>46129</v>
      </c>
      <c r="D1334" s="1" t="s">
        <v>1833</v>
      </c>
      <c r="E1334" s="7" t="s">
        <v>14</v>
      </c>
      <c r="F1334" s="1" t="s">
        <v>26</v>
      </c>
      <c r="G1334" s="9" t="s">
        <v>35</v>
      </c>
      <c r="H1334" s="7">
        <v>1087</v>
      </c>
      <c r="I1334" s="18">
        <v>17510000</v>
      </c>
      <c r="J1334" s="10">
        <v>378446.11</v>
      </c>
      <c r="K1334" s="7" t="s">
        <v>12</v>
      </c>
      <c r="L1334" s="7" t="s">
        <v>53</v>
      </c>
      <c r="M1334" s="34">
        <v>46129</v>
      </c>
      <c r="N1334" s="7" t="s">
        <v>41</v>
      </c>
    </row>
    <row r="1335" spans="1:14" x14ac:dyDescent="0.25">
      <c r="A1335" s="41" t="s">
        <v>296</v>
      </c>
      <c r="B1335" s="1">
        <v>1</v>
      </c>
      <c r="C1335" s="8">
        <v>46129</v>
      </c>
      <c r="D1335" s="1" t="s">
        <v>1920</v>
      </c>
      <c r="E1335" s="7" t="s">
        <v>13</v>
      </c>
      <c r="F1335" s="1" t="s">
        <v>26</v>
      </c>
      <c r="G1335" s="9" t="s">
        <v>35</v>
      </c>
      <c r="H1335" s="7" t="s">
        <v>74</v>
      </c>
      <c r="I1335" s="18">
        <v>16000000</v>
      </c>
      <c r="J1335" s="10">
        <v>6600</v>
      </c>
      <c r="K1335" s="7" t="s">
        <v>13</v>
      </c>
      <c r="L1335" s="7" t="s">
        <v>54</v>
      </c>
      <c r="M1335" s="34">
        <v>46135</v>
      </c>
      <c r="N1335" s="7" t="s">
        <v>91</v>
      </c>
    </row>
    <row r="1336" spans="1:14" x14ac:dyDescent="0.25">
      <c r="A1336" s="41" t="s">
        <v>497</v>
      </c>
      <c r="B1336" s="1">
        <v>2</v>
      </c>
      <c r="C1336" s="8">
        <v>46160</v>
      </c>
      <c r="D1336" s="1" t="s">
        <v>1834</v>
      </c>
      <c r="E1336" s="7" t="s">
        <v>16</v>
      </c>
      <c r="F1336" s="1" t="s">
        <v>26</v>
      </c>
      <c r="G1336" s="9" t="s">
        <v>68</v>
      </c>
      <c r="H1336" s="7" t="s">
        <v>74</v>
      </c>
      <c r="I1336" s="18" t="s">
        <v>0</v>
      </c>
      <c r="J1336" s="10" t="s">
        <v>61</v>
      </c>
      <c r="K1336" s="7" t="s">
        <v>16</v>
      </c>
      <c r="L1336" s="7" t="s">
        <v>40</v>
      </c>
      <c r="M1336" s="34">
        <v>46160</v>
      </c>
      <c r="N1336" s="7" t="s">
        <v>41</v>
      </c>
    </row>
    <row r="1337" spans="1:14" x14ac:dyDescent="0.25">
      <c r="A1337" s="41" t="s">
        <v>497</v>
      </c>
      <c r="B1337" s="1">
        <v>1</v>
      </c>
      <c r="C1337" s="8">
        <v>46126</v>
      </c>
      <c r="D1337" s="1" t="s">
        <v>1835</v>
      </c>
      <c r="E1337" s="7" t="s">
        <v>16</v>
      </c>
      <c r="F1337" s="1" t="s">
        <v>26</v>
      </c>
      <c r="G1337" s="9" t="s">
        <v>35</v>
      </c>
      <c r="H1337" s="7" t="s">
        <v>74</v>
      </c>
      <c r="I1337" s="18">
        <v>15000000</v>
      </c>
      <c r="J1337" s="10">
        <v>35000</v>
      </c>
      <c r="K1337" s="7" t="s">
        <v>12</v>
      </c>
      <c r="L1337" s="7" t="s">
        <v>53</v>
      </c>
      <c r="M1337" s="34">
        <v>46128</v>
      </c>
      <c r="N1337" s="7" t="s">
        <v>41</v>
      </c>
    </row>
    <row r="1338" spans="1:14" x14ac:dyDescent="0.25">
      <c r="A1338" s="41" t="s">
        <v>219</v>
      </c>
      <c r="B1338" s="1">
        <v>2</v>
      </c>
      <c r="C1338" s="8">
        <v>46139</v>
      </c>
      <c r="D1338" s="1" t="s">
        <v>1836</v>
      </c>
      <c r="E1338" s="7" t="s">
        <v>2</v>
      </c>
      <c r="F1338" s="1" t="s">
        <v>26</v>
      </c>
      <c r="G1338" s="9" t="s">
        <v>35</v>
      </c>
      <c r="H1338" s="7">
        <v>2483</v>
      </c>
      <c r="I1338" s="18">
        <v>15001001</v>
      </c>
      <c r="J1338" s="10">
        <v>180515.03</v>
      </c>
      <c r="K1338" s="7" t="s">
        <v>12</v>
      </c>
      <c r="L1338" s="7" t="s">
        <v>53</v>
      </c>
      <c r="M1338" s="34">
        <v>46139</v>
      </c>
      <c r="N1338" s="7" t="s">
        <v>41</v>
      </c>
    </row>
    <row r="1339" spans="1:14" x14ac:dyDescent="0.25">
      <c r="A1339" s="41" t="s">
        <v>1837</v>
      </c>
      <c r="B1339" s="1">
        <v>1</v>
      </c>
      <c r="C1339" s="8">
        <v>46126</v>
      </c>
      <c r="D1339" s="1" t="s">
        <v>1838</v>
      </c>
      <c r="E1339" s="7" t="s">
        <v>13</v>
      </c>
      <c r="F1339" s="1" t="s">
        <v>26</v>
      </c>
      <c r="G1339" s="9" t="s">
        <v>38</v>
      </c>
      <c r="H1339" s="7" t="s">
        <v>74</v>
      </c>
      <c r="I1339" s="18">
        <v>15001002</v>
      </c>
      <c r="J1339" s="10" t="s">
        <v>61</v>
      </c>
      <c r="K1339" s="7" t="s">
        <v>22</v>
      </c>
      <c r="L1339" s="7" t="s">
        <v>55</v>
      </c>
      <c r="M1339" s="34">
        <v>46128</v>
      </c>
      <c r="N1339" s="7" t="s">
        <v>46</v>
      </c>
    </row>
    <row r="1340" spans="1:14" x14ac:dyDescent="0.25">
      <c r="A1340" s="41" t="s">
        <v>534</v>
      </c>
      <c r="B1340" s="1">
        <v>1</v>
      </c>
      <c r="C1340" s="8">
        <v>46126</v>
      </c>
      <c r="D1340" s="1" t="s">
        <v>1839</v>
      </c>
      <c r="E1340" s="7" t="s">
        <v>13</v>
      </c>
      <c r="F1340" s="1" t="s">
        <v>26</v>
      </c>
      <c r="G1340" s="9" t="s">
        <v>38</v>
      </c>
      <c r="H1340" s="7" t="s">
        <v>74</v>
      </c>
      <c r="I1340" s="18">
        <v>15001002</v>
      </c>
      <c r="J1340" s="10" t="s">
        <v>61</v>
      </c>
      <c r="K1340" s="7" t="s">
        <v>22</v>
      </c>
      <c r="L1340" s="7" t="s">
        <v>55</v>
      </c>
      <c r="M1340" s="34">
        <v>46128</v>
      </c>
      <c r="N1340" s="7" t="s">
        <v>62</v>
      </c>
    </row>
    <row r="1341" spans="1:14" x14ac:dyDescent="0.25">
      <c r="A1341" s="41" t="s">
        <v>161</v>
      </c>
      <c r="B1341" s="1">
        <v>1</v>
      </c>
      <c r="C1341" s="8">
        <v>46126</v>
      </c>
      <c r="D1341" s="1" t="s">
        <v>1840</v>
      </c>
      <c r="E1341" s="7" t="s">
        <v>13</v>
      </c>
      <c r="F1341" s="1" t="s">
        <v>26</v>
      </c>
      <c r="G1341" s="9" t="s">
        <v>38</v>
      </c>
      <c r="H1341" s="7" t="s">
        <v>74</v>
      </c>
      <c r="I1341" s="18">
        <v>15001002</v>
      </c>
      <c r="J1341" s="10" t="s">
        <v>61</v>
      </c>
      <c r="K1341" s="7" t="s">
        <v>22</v>
      </c>
      <c r="L1341" s="7" t="s">
        <v>55</v>
      </c>
      <c r="M1341" s="34">
        <v>46129</v>
      </c>
      <c r="N1341" s="7" t="s">
        <v>62</v>
      </c>
    </row>
    <row r="1342" spans="1:14" x14ac:dyDescent="0.25">
      <c r="A1342" s="41" t="s">
        <v>223</v>
      </c>
      <c r="B1342" s="1">
        <v>1</v>
      </c>
      <c r="C1342" s="8">
        <v>46127</v>
      </c>
      <c r="D1342" s="1" t="s">
        <v>1842</v>
      </c>
      <c r="E1342" s="7" t="s">
        <v>14</v>
      </c>
      <c r="F1342" s="1" t="s">
        <v>26</v>
      </c>
      <c r="G1342" s="9" t="s">
        <v>35</v>
      </c>
      <c r="H1342" s="7">
        <v>18315</v>
      </c>
      <c r="I1342" s="18">
        <v>15000000</v>
      </c>
      <c r="J1342" s="10">
        <v>37490</v>
      </c>
      <c r="K1342" s="7" t="s">
        <v>12</v>
      </c>
      <c r="L1342" s="7" t="s">
        <v>53</v>
      </c>
      <c r="M1342" s="34">
        <v>46129</v>
      </c>
      <c r="N1342" s="7" t="s">
        <v>41</v>
      </c>
    </row>
    <row r="1343" spans="1:14" x14ac:dyDescent="0.25">
      <c r="A1343" s="41" t="s">
        <v>1413</v>
      </c>
      <c r="B1343" s="1">
        <v>1</v>
      </c>
      <c r="C1343" s="8">
        <v>46127</v>
      </c>
      <c r="D1343" s="1" t="s">
        <v>1843</v>
      </c>
      <c r="E1343" s="7" t="s">
        <v>11</v>
      </c>
      <c r="F1343" s="1" t="s">
        <v>26</v>
      </c>
      <c r="G1343" s="9" t="s">
        <v>35</v>
      </c>
      <c r="H1343" s="7">
        <v>2500</v>
      </c>
      <c r="I1343" s="18">
        <v>15000000</v>
      </c>
      <c r="J1343" s="10">
        <v>8920</v>
      </c>
      <c r="K1343" s="7" t="s">
        <v>12</v>
      </c>
      <c r="L1343" s="7" t="s">
        <v>53</v>
      </c>
      <c r="M1343" s="34">
        <v>46135</v>
      </c>
      <c r="N1343" s="7" t="s">
        <v>92</v>
      </c>
    </row>
    <row r="1344" spans="1:14" x14ac:dyDescent="0.25">
      <c r="A1344" s="41" t="s">
        <v>1413</v>
      </c>
      <c r="B1344" s="1">
        <v>1</v>
      </c>
      <c r="C1344" s="8">
        <v>46127</v>
      </c>
      <c r="D1344" s="1" t="s">
        <v>1844</v>
      </c>
      <c r="E1344" s="7" t="s">
        <v>11</v>
      </c>
      <c r="F1344" s="1" t="s">
        <v>26</v>
      </c>
      <c r="G1344" s="9" t="s">
        <v>35</v>
      </c>
      <c r="H1344" s="7">
        <v>2498</v>
      </c>
      <c r="I1344" s="18">
        <v>15000000</v>
      </c>
      <c r="J1344" s="10">
        <v>7000</v>
      </c>
      <c r="K1344" s="7" t="s">
        <v>12</v>
      </c>
      <c r="L1344" s="7" t="s">
        <v>53</v>
      </c>
      <c r="M1344" s="34">
        <v>46135</v>
      </c>
      <c r="N1344" s="7" t="s">
        <v>92</v>
      </c>
    </row>
    <row r="1345" spans="1:14" x14ac:dyDescent="0.25">
      <c r="A1345" s="41" t="s">
        <v>1413</v>
      </c>
      <c r="B1345" s="1">
        <v>1</v>
      </c>
      <c r="C1345" s="8">
        <v>46127</v>
      </c>
      <c r="D1345" s="1" t="s">
        <v>1845</v>
      </c>
      <c r="E1345" s="7" t="s">
        <v>11</v>
      </c>
      <c r="F1345" s="1" t="s">
        <v>26</v>
      </c>
      <c r="G1345" s="9" t="s">
        <v>35</v>
      </c>
      <c r="H1345" s="7">
        <v>2502</v>
      </c>
      <c r="I1345" s="18">
        <v>15000000</v>
      </c>
      <c r="J1345" s="10">
        <v>6690</v>
      </c>
      <c r="K1345" s="7" t="s">
        <v>12</v>
      </c>
      <c r="L1345" s="7" t="s">
        <v>53</v>
      </c>
      <c r="M1345" s="34">
        <v>46135</v>
      </c>
      <c r="N1345" s="7" t="s">
        <v>92</v>
      </c>
    </row>
    <row r="1346" spans="1:14" x14ac:dyDescent="0.25">
      <c r="A1346" s="41" t="s">
        <v>1846</v>
      </c>
      <c r="B1346" s="1">
        <v>2</v>
      </c>
      <c r="C1346" s="8">
        <v>46136</v>
      </c>
      <c r="D1346" s="1" t="s">
        <v>1847</v>
      </c>
      <c r="E1346" s="7" t="s">
        <v>13</v>
      </c>
      <c r="F1346" s="1" t="s">
        <v>26</v>
      </c>
      <c r="G1346" s="9" t="s">
        <v>35</v>
      </c>
      <c r="H1346" s="7">
        <v>149845</v>
      </c>
      <c r="I1346" s="18">
        <v>15001002</v>
      </c>
      <c r="J1346" s="10">
        <v>19968</v>
      </c>
      <c r="K1346" s="7" t="s">
        <v>13</v>
      </c>
      <c r="L1346" s="7" t="s">
        <v>54</v>
      </c>
      <c r="M1346" s="34">
        <v>46136</v>
      </c>
      <c r="N1346" s="7" t="s">
        <v>92</v>
      </c>
    </row>
    <row r="1347" spans="1:14" x14ac:dyDescent="0.25">
      <c r="A1347" s="41" t="s">
        <v>385</v>
      </c>
      <c r="B1347" s="1">
        <v>2</v>
      </c>
      <c r="C1347" s="8">
        <v>46128</v>
      </c>
      <c r="D1347" s="1" t="s">
        <v>1848</v>
      </c>
      <c r="E1347" s="7" t="s">
        <v>2</v>
      </c>
      <c r="F1347" s="1" t="s">
        <v>26</v>
      </c>
      <c r="G1347" s="9" t="s">
        <v>35</v>
      </c>
      <c r="H1347" s="7">
        <v>4524</v>
      </c>
      <c r="I1347" s="18">
        <v>15001001</v>
      </c>
      <c r="J1347" s="10">
        <v>219536.9</v>
      </c>
      <c r="K1347" s="7" t="s">
        <v>12</v>
      </c>
      <c r="L1347" s="7" t="s">
        <v>53</v>
      </c>
      <c r="M1347" s="34">
        <v>46128</v>
      </c>
      <c r="N1347" s="7" t="s">
        <v>41</v>
      </c>
    </row>
    <row r="1348" spans="1:14" x14ac:dyDescent="0.25">
      <c r="A1348" s="41" t="s">
        <v>385</v>
      </c>
      <c r="B1348" s="1">
        <v>2</v>
      </c>
      <c r="C1348" s="8">
        <v>46127</v>
      </c>
      <c r="D1348" s="1" t="s">
        <v>1849</v>
      </c>
      <c r="E1348" s="7" t="s">
        <v>2</v>
      </c>
      <c r="F1348" s="1" t="s">
        <v>26</v>
      </c>
      <c r="G1348" s="9" t="s">
        <v>35</v>
      </c>
      <c r="H1348" s="7">
        <v>4523</v>
      </c>
      <c r="I1348" s="18">
        <v>15001001</v>
      </c>
      <c r="J1348" s="10">
        <v>208069.18</v>
      </c>
      <c r="K1348" s="7" t="s">
        <v>12</v>
      </c>
      <c r="L1348" s="7" t="s">
        <v>53</v>
      </c>
      <c r="M1348" s="34">
        <v>46128</v>
      </c>
      <c r="N1348" s="7" t="s">
        <v>41</v>
      </c>
    </row>
    <row r="1349" spans="1:14" x14ac:dyDescent="0.25">
      <c r="A1349" s="41" t="s">
        <v>664</v>
      </c>
      <c r="B1349" s="1">
        <v>1</v>
      </c>
      <c r="C1349" s="8">
        <v>46127</v>
      </c>
      <c r="D1349" s="1" t="s">
        <v>1850</v>
      </c>
      <c r="E1349" s="7" t="s">
        <v>14</v>
      </c>
      <c r="F1349" s="1" t="s">
        <v>26</v>
      </c>
      <c r="G1349" s="9" t="s">
        <v>35</v>
      </c>
      <c r="H1349" s="7" t="s">
        <v>1851</v>
      </c>
      <c r="I1349" s="18">
        <v>15000000</v>
      </c>
      <c r="J1349" s="10">
        <v>1934.86</v>
      </c>
      <c r="K1349" s="7" t="s">
        <v>12</v>
      </c>
      <c r="L1349" s="7" t="s">
        <v>53</v>
      </c>
      <c r="M1349" s="34">
        <v>46129</v>
      </c>
      <c r="N1349" s="7" t="s">
        <v>774</v>
      </c>
    </row>
    <row r="1350" spans="1:14" x14ac:dyDescent="0.25">
      <c r="A1350" s="41" t="s">
        <v>1853</v>
      </c>
      <c r="B1350" s="1">
        <v>2</v>
      </c>
      <c r="C1350" s="8">
        <v>46129</v>
      </c>
      <c r="D1350" s="1" t="s">
        <v>1852</v>
      </c>
      <c r="E1350" s="7" t="s">
        <v>2</v>
      </c>
      <c r="F1350" s="1" t="s">
        <v>26</v>
      </c>
      <c r="G1350" s="9" t="s">
        <v>35</v>
      </c>
      <c r="H1350" s="7" t="s">
        <v>898</v>
      </c>
      <c r="I1350" s="18">
        <v>25440000</v>
      </c>
      <c r="J1350" s="10">
        <v>43492.9</v>
      </c>
      <c r="K1350" s="7" t="s">
        <v>12</v>
      </c>
      <c r="L1350" s="7" t="s">
        <v>53</v>
      </c>
      <c r="M1350" s="34">
        <v>46129</v>
      </c>
      <c r="N1350" s="7" t="s">
        <v>41</v>
      </c>
    </row>
    <row r="1351" spans="1:14" x14ac:dyDescent="0.25">
      <c r="A1351" s="41" t="s">
        <v>1413</v>
      </c>
      <c r="B1351" s="1">
        <v>1</v>
      </c>
      <c r="C1351" s="8">
        <v>46127</v>
      </c>
      <c r="D1351" s="1" t="s">
        <v>1854</v>
      </c>
      <c r="E1351" s="7" t="s">
        <v>11</v>
      </c>
      <c r="F1351" s="1" t="s">
        <v>26</v>
      </c>
      <c r="G1351" s="9" t="s">
        <v>35</v>
      </c>
      <c r="H1351" s="7">
        <v>2506</v>
      </c>
      <c r="I1351" s="18">
        <v>15000000</v>
      </c>
      <c r="J1351" s="10">
        <v>19800</v>
      </c>
      <c r="K1351" s="7" t="s">
        <v>12</v>
      </c>
      <c r="L1351" s="7" t="s">
        <v>53</v>
      </c>
      <c r="M1351" s="34">
        <v>46135</v>
      </c>
      <c r="N1351" s="7" t="s">
        <v>41</v>
      </c>
    </row>
    <row r="1352" spans="1:14" x14ac:dyDescent="0.25">
      <c r="A1352" s="41" t="s">
        <v>1413</v>
      </c>
      <c r="B1352" s="1">
        <v>1</v>
      </c>
      <c r="C1352" s="8">
        <v>46127</v>
      </c>
      <c r="D1352" s="1" t="s">
        <v>1855</v>
      </c>
      <c r="E1352" s="7" t="s">
        <v>11</v>
      </c>
      <c r="F1352" s="1" t="s">
        <v>26</v>
      </c>
      <c r="G1352" s="9" t="s">
        <v>35</v>
      </c>
      <c r="H1352" s="7">
        <v>2504</v>
      </c>
      <c r="I1352" s="18">
        <v>15000000</v>
      </c>
      <c r="J1352" s="10">
        <v>19800</v>
      </c>
      <c r="K1352" s="7" t="s">
        <v>12</v>
      </c>
      <c r="L1352" s="7" t="s">
        <v>53</v>
      </c>
      <c r="M1352" s="34">
        <v>46135</v>
      </c>
      <c r="N1352" s="7" t="s">
        <v>41</v>
      </c>
    </row>
    <row r="1353" spans="1:14" x14ac:dyDescent="0.25">
      <c r="A1353" s="41" t="s">
        <v>1856</v>
      </c>
      <c r="B1353" s="1">
        <v>1</v>
      </c>
      <c r="C1353" s="8">
        <v>46127</v>
      </c>
      <c r="D1353" s="1" t="s">
        <v>1857</v>
      </c>
      <c r="E1353" s="7" t="s">
        <v>13</v>
      </c>
      <c r="F1353" s="1" t="s">
        <v>26</v>
      </c>
      <c r="G1353" s="9" t="s">
        <v>35</v>
      </c>
      <c r="H1353" s="7">
        <v>2131584</v>
      </c>
      <c r="I1353" s="18">
        <v>16210000</v>
      </c>
      <c r="J1353" s="10">
        <v>11490</v>
      </c>
      <c r="K1353" s="7" t="s">
        <v>13</v>
      </c>
      <c r="L1353" s="7" t="s">
        <v>54</v>
      </c>
      <c r="M1353" s="34">
        <v>46136</v>
      </c>
      <c r="N1353" s="7" t="s">
        <v>92</v>
      </c>
    </row>
    <row r="1354" spans="1:14" x14ac:dyDescent="0.25">
      <c r="A1354" s="41" t="s">
        <v>1188</v>
      </c>
      <c r="B1354" s="1">
        <v>1</v>
      </c>
      <c r="C1354" s="8">
        <v>46127</v>
      </c>
      <c r="D1354" s="1" t="s">
        <v>1858</v>
      </c>
      <c r="E1354" s="7" t="s">
        <v>13</v>
      </c>
      <c r="F1354" s="1" t="s">
        <v>26</v>
      </c>
      <c r="G1354" s="9" t="s">
        <v>35</v>
      </c>
      <c r="H1354" s="7">
        <v>47249</v>
      </c>
      <c r="I1354" s="18">
        <v>15001002</v>
      </c>
      <c r="J1354" s="10">
        <v>23640</v>
      </c>
      <c r="K1354" s="7" t="s">
        <v>13</v>
      </c>
      <c r="L1354" s="7" t="s">
        <v>54</v>
      </c>
      <c r="M1354" s="34">
        <v>46134</v>
      </c>
      <c r="N1354" s="7" t="s">
        <v>92</v>
      </c>
    </row>
    <row r="1355" spans="1:14" x14ac:dyDescent="0.25">
      <c r="A1355" s="41" t="s">
        <v>252</v>
      </c>
      <c r="B1355" s="1">
        <v>2</v>
      </c>
      <c r="C1355" s="8">
        <v>46141</v>
      </c>
      <c r="D1355" s="1" t="s">
        <v>1859</v>
      </c>
      <c r="E1355" s="7" t="s">
        <v>13</v>
      </c>
      <c r="F1355" s="1" t="s">
        <v>26</v>
      </c>
      <c r="G1355" s="9" t="s">
        <v>35</v>
      </c>
      <c r="H1355" s="7">
        <v>1853</v>
      </c>
      <c r="I1355" s="18">
        <v>15001002</v>
      </c>
      <c r="J1355" s="10">
        <v>52498</v>
      </c>
      <c r="K1355" s="7" t="s">
        <v>13</v>
      </c>
      <c r="L1355" s="7" t="s">
        <v>54</v>
      </c>
      <c r="M1355" s="34">
        <v>46146</v>
      </c>
      <c r="N1355" s="7" t="s">
        <v>92</v>
      </c>
    </row>
    <row r="1356" spans="1:14" x14ac:dyDescent="0.25">
      <c r="A1356" s="41" t="s">
        <v>252</v>
      </c>
      <c r="B1356" s="1">
        <v>2</v>
      </c>
      <c r="C1356" s="8">
        <v>46141</v>
      </c>
      <c r="D1356" s="1" t="s">
        <v>1860</v>
      </c>
      <c r="E1356" s="7" t="s">
        <v>13</v>
      </c>
      <c r="F1356" s="1" t="s">
        <v>26</v>
      </c>
      <c r="G1356" s="9" t="s">
        <v>35</v>
      </c>
      <c r="H1356" s="7">
        <v>1853</v>
      </c>
      <c r="I1356" s="18">
        <v>16000000</v>
      </c>
      <c r="J1356" s="10">
        <v>2520</v>
      </c>
      <c r="K1356" s="7" t="s">
        <v>13</v>
      </c>
      <c r="L1356" s="7" t="s">
        <v>53</v>
      </c>
      <c r="M1356" s="34">
        <v>46141</v>
      </c>
      <c r="N1356" s="7" t="s">
        <v>52</v>
      </c>
    </row>
    <row r="1357" spans="1:14" x14ac:dyDescent="0.25">
      <c r="A1357" s="41" t="s">
        <v>236</v>
      </c>
      <c r="B1357" s="1">
        <v>1</v>
      </c>
      <c r="C1357" s="8">
        <v>46127</v>
      </c>
      <c r="D1357" s="1" t="s">
        <v>1861</v>
      </c>
      <c r="E1357" s="7" t="s">
        <v>13</v>
      </c>
      <c r="F1357" s="1" t="s">
        <v>26</v>
      </c>
      <c r="G1357" s="9" t="s">
        <v>35</v>
      </c>
      <c r="H1357" s="7">
        <v>193087</v>
      </c>
      <c r="I1357" s="18">
        <v>15001002</v>
      </c>
      <c r="J1357" s="10">
        <v>7459.6</v>
      </c>
      <c r="K1357" s="7" t="s">
        <v>13</v>
      </c>
      <c r="L1357" s="7" t="s">
        <v>54</v>
      </c>
      <c r="M1357" s="34">
        <v>46136</v>
      </c>
      <c r="N1357" s="7" t="s">
        <v>92</v>
      </c>
    </row>
    <row r="1358" spans="1:14" x14ac:dyDescent="0.25">
      <c r="B1358" s="1">
        <v>1</v>
      </c>
      <c r="C1358" s="8">
        <v>46127</v>
      </c>
      <c r="F1358" s="1" t="s">
        <v>26</v>
      </c>
      <c r="K1358" s="7" t="s">
        <v>58</v>
      </c>
      <c r="L1358" s="7" t="s">
        <v>59</v>
      </c>
    </row>
    <row r="1359" spans="1:14" x14ac:dyDescent="0.25">
      <c r="A1359" s="41" t="s">
        <v>1863</v>
      </c>
      <c r="B1359" s="1">
        <v>2</v>
      </c>
      <c r="C1359" s="8">
        <v>46135</v>
      </c>
      <c r="D1359" s="1" t="s">
        <v>1862</v>
      </c>
      <c r="E1359" s="7" t="s">
        <v>13</v>
      </c>
      <c r="F1359" s="1" t="s">
        <v>26</v>
      </c>
      <c r="G1359" s="9" t="s">
        <v>38</v>
      </c>
      <c r="H1359" s="7" t="s">
        <v>74</v>
      </c>
      <c r="I1359" s="18" t="s">
        <v>0</v>
      </c>
      <c r="J1359" s="10" t="s">
        <v>61</v>
      </c>
      <c r="K1359" s="7" t="s">
        <v>22</v>
      </c>
      <c r="L1359" s="7" t="s">
        <v>55</v>
      </c>
      <c r="M1359" s="34">
        <v>46135</v>
      </c>
      <c r="N1359" s="7" t="s">
        <v>41</v>
      </c>
    </row>
    <row r="1360" spans="1:14" x14ac:dyDescent="0.25">
      <c r="A1360" s="41" t="s">
        <v>1558</v>
      </c>
      <c r="B1360" s="1">
        <v>1</v>
      </c>
      <c r="C1360" s="8">
        <v>46127</v>
      </c>
      <c r="D1360" s="1" t="s">
        <v>1864</v>
      </c>
      <c r="E1360" s="7" t="s">
        <v>2</v>
      </c>
      <c r="F1360" s="1" t="s">
        <v>26</v>
      </c>
      <c r="G1360" s="9" t="s">
        <v>35</v>
      </c>
      <c r="H1360" s="7">
        <v>220</v>
      </c>
      <c r="I1360" s="18">
        <v>15500000</v>
      </c>
      <c r="J1360" s="10">
        <v>2257.94</v>
      </c>
      <c r="K1360" s="7" t="s">
        <v>12</v>
      </c>
      <c r="L1360" s="7" t="s">
        <v>53</v>
      </c>
      <c r="M1360" s="34">
        <v>46134</v>
      </c>
      <c r="N1360" s="7" t="s">
        <v>46</v>
      </c>
    </row>
    <row r="1361" spans="1:14" x14ac:dyDescent="0.25">
      <c r="A1361" s="41" t="s">
        <v>1558</v>
      </c>
      <c r="B1361" s="1">
        <v>1</v>
      </c>
      <c r="C1361" s="8">
        <v>46127</v>
      </c>
      <c r="D1361" s="1" t="s">
        <v>1865</v>
      </c>
      <c r="E1361" s="7" t="s">
        <v>2</v>
      </c>
      <c r="F1361" s="1" t="s">
        <v>26</v>
      </c>
      <c r="G1361" s="9" t="s">
        <v>35</v>
      </c>
      <c r="H1361" s="7">
        <v>221</v>
      </c>
      <c r="I1361" s="18">
        <v>15520000</v>
      </c>
      <c r="J1361" s="10">
        <v>3198.18</v>
      </c>
      <c r="K1361" s="7" t="s">
        <v>12</v>
      </c>
      <c r="L1361" s="7" t="s">
        <v>53</v>
      </c>
      <c r="M1361" s="34">
        <v>46134</v>
      </c>
      <c r="N1361" s="7" t="s">
        <v>46</v>
      </c>
    </row>
    <row r="1362" spans="1:14" x14ac:dyDescent="0.25">
      <c r="A1362" s="41" t="s">
        <v>1866</v>
      </c>
      <c r="B1362" s="1">
        <v>3</v>
      </c>
      <c r="C1362" s="8">
        <v>46153</v>
      </c>
      <c r="D1362" s="1" t="s">
        <v>1867</v>
      </c>
      <c r="E1362" s="7" t="s">
        <v>82</v>
      </c>
      <c r="F1362" s="1" t="s">
        <v>26</v>
      </c>
      <c r="G1362" s="9" t="s">
        <v>35</v>
      </c>
      <c r="H1362" s="7" t="s">
        <v>74</v>
      </c>
      <c r="I1362" s="18" t="s">
        <v>0</v>
      </c>
      <c r="J1362" s="10" t="s">
        <v>61</v>
      </c>
      <c r="K1362" s="7" t="s">
        <v>12</v>
      </c>
      <c r="L1362" s="7" t="s">
        <v>53</v>
      </c>
      <c r="M1362" s="34">
        <v>46153</v>
      </c>
      <c r="N1362" s="7" t="s">
        <v>41</v>
      </c>
    </row>
    <row r="1363" spans="1:14" x14ac:dyDescent="0.25">
      <c r="A1363" s="41" t="s">
        <v>414</v>
      </c>
      <c r="B1363" s="1">
        <v>1</v>
      </c>
      <c r="C1363" s="8">
        <v>46127</v>
      </c>
      <c r="D1363" s="1" t="s">
        <v>1868</v>
      </c>
      <c r="E1363" s="7" t="s">
        <v>11</v>
      </c>
      <c r="F1363" s="1" t="s">
        <v>26</v>
      </c>
      <c r="G1363" s="9" t="s">
        <v>35</v>
      </c>
      <c r="H1363" s="7">
        <v>8386</v>
      </c>
      <c r="I1363" s="18">
        <v>15000000</v>
      </c>
      <c r="J1363" s="10">
        <v>950</v>
      </c>
      <c r="K1363" s="7" t="s">
        <v>12</v>
      </c>
      <c r="L1363" s="7" t="s">
        <v>53</v>
      </c>
      <c r="M1363" s="34">
        <v>46129</v>
      </c>
      <c r="N1363" s="7" t="s">
        <v>774</v>
      </c>
    </row>
    <row r="1364" spans="1:14" x14ac:dyDescent="0.25">
      <c r="A1364" s="41" t="s">
        <v>414</v>
      </c>
      <c r="B1364" s="1">
        <v>1</v>
      </c>
      <c r="C1364" s="8">
        <v>46127</v>
      </c>
      <c r="D1364" s="1" t="s">
        <v>1869</v>
      </c>
      <c r="E1364" s="7" t="s">
        <v>11</v>
      </c>
      <c r="F1364" s="1" t="s">
        <v>26</v>
      </c>
      <c r="G1364" s="9" t="s">
        <v>35</v>
      </c>
      <c r="H1364" s="7">
        <v>8392</v>
      </c>
      <c r="I1364" s="18">
        <v>15000000</v>
      </c>
      <c r="J1364" s="10">
        <v>950</v>
      </c>
      <c r="K1364" s="7" t="s">
        <v>12</v>
      </c>
      <c r="L1364" s="7" t="s">
        <v>53</v>
      </c>
      <c r="M1364" s="34">
        <v>46129</v>
      </c>
      <c r="N1364" s="7" t="s">
        <v>774</v>
      </c>
    </row>
    <row r="1365" spans="1:14" x14ac:dyDescent="0.25">
      <c r="A1365" s="41" t="s">
        <v>1558</v>
      </c>
      <c r="B1365" s="1">
        <v>1</v>
      </c>
      <c r="C1365" s="8">
        <v>46127</v>
      </c>
      <c r="D1365" s="1" t="s">
        <v>1870</v>
      </c>
      <c r="E1365" s="7" t="s">
        <v>2</v>
      </c>
      <c r="F1365" s="1" t="s">
        <v>26</v>
      </c>
      <c r="G1365" s="9" t="s">
        <v>35</v>
      </c>
      <c r="H1365" s="7">
        <v>219</v>
      </c>
      <c r="I1365" s="18">
        <v>15520000</v>
      </c>
      <c r="J1365" s="10">
        <v>63210.3</v>
      </c>
      <c r="K1365" s="7" t="s">
        <v>12</v>
      </c>
      <c r="L1365" s="7" t="s">
        <v>53</v>
      </c>
      <c r="M1365" s="34">
        <v>46129</v>
      </c>
      <c r="N1365" s="7" t="s">
        <v>46</v>
      </c>
    </row>
    <row r="1366" spans="1:14" x14ac:dyDescent="0.25">
      <c r="A1366" s="41" t="s">
        <v>1056</v>
      </c>
      <c r="B1366" s="1">
        <v>2</v>
      </c>
      <c r="C1366" s="8">
        <v>46140</v>
      </c>
      <c r="D1366" s="1" t="s">
        <v>1871</v>
      </c>
      <c r="E1366" s="7" t="s">
        <v>13</v>
      </c>
      <c r="F1366" s="1" t="s">
        <v>26</v>
      </c>
      <c r="G1366" s="9" t="s">
        <v>35</v>
      </c>
      <c r="H1366" s="7" t="s">
        <v>74</v>
      </c>
      <c r="I1366" s="18">
        <v>15001002</v>
      </c>
      <c r="J1366" s="10">
        <v>71538</v>
      </c>
      <c r="K1366" s="7" t="s">
        <v>13</v>
      </c>
      <c r="L1366" s="7" t="s">
        <v>54</v>
      </c>
      <c r="M1366" s="34">
        <v>46140</v>
      </c>
      <c r="N1366" s="7" t="s">
        <v>774</v>
      </c>
    </row>
    <row r="1367" spans="1:14" x14ac:dyDescent="0.25">
      <c r="A1367" s="41" t="s">
        <v>906</v>
      </c>
      <c r="B1367" s="1">
        <v>1</v>
      </c>
      <c r="C1367" s="8">
        <v>46127</v>
      </c>
      <c r="D1367" s="1" t="s">
        <v>1872</v>
      </c>
      <c r="E1367" s="7" t="s">
        <v>2</v>
      </c>
      <c r="F1367" s="1" t="s">
        <v>26</v>
      </c>
      <c r="G1367" s="9" t="s">
        <v>35</v>
      </c>
      <c r="H1367" s="7">
        <v>950</v>
      </c>
      <c r="I1367" s="18">
        <v>15500000</v>
      </c>
      <c r="J1367" s="10">
        <v>58816.07</v>
      </c>
      <c r="K1367" s="7" t="s">
        <v>12</v>
      </c>
      <c r="L1367" s="7" t="s">
        <v>54</v>
      </c>
      <c r="M1367" s="34">
        <v>46129</v>
      </c>
      <c r="N1367" s="7" t="s">
        <v>774</v>
      </c>
    </row>
    <row r="1368" spans="1:14" x14ac:dyDescent="0.25">
      <c r="A1368" s="41" t="s">
        <v>1873</v>
      </c>
      <c r="B1368" s="1">
        <v>1</v>
      </c>
      <c r="C1368" s="8">
        <v>46127</v>
      </c>
      <c r="D1368" s="1" t="s">
        <v>1874</v>
      </c>
      <c r="E1368" s="7" t="s">
        <v>2</v>
      </c>
      <c r="F1368" s="1" t="s">
        <v>26</v>
      </c>
      <c r="G1368" s="9" t="s">
        <v>35</v>
      </c>
      <c r="H1368" s="7" t="s">
        <v>74</v>
      </c>
      <c r="I1368" s="18">
        <v>15001001</v>
      </c>
      <c r="J1368" s="10">
        <v>3672</v>
      </c>
      <c r="K1368" s="7" t="s">
        <v>12</v>
      </c>
      <c r="L1368" s="7" t="s">
        <v>53</v>
      </c>
      <c r="M1368" s="34">
        <v>46129</v>
      </c>
      <c r="N1368" s="7" t="s">
        <v>774</v>
      </c>
    </row>
    <row r="1369" spans="1:14" x14ac:dyDescent="0.25">
      <c r="A1369" s="41" t="s">
        <v>1558</v>
      </c>
      <c r="B1369" s="1">
        <v>1</v>
      </c>
      <c r="C1369" s="8">
        <v>46127</v>
      </c>
      <c r="D1369" s="1" t="s">
        <v>1875</v>
      </c>
      <c r="E1369" s="7" t="s">
        <v>2</v>
      </c>
      <c r="F1369" s="1" t="s">
        <v>26</v>
      </c>
      <c r="G1369" s="9" t="s">
        <v>35</v>
      </c>
      <c r="H1369" s="7" t="s">
        <v>74</v>
      </c>
      <c r="I1369" s="18">
        <v>15520000</v>
      </c>
      <c r="J1369" s="10">
        <v>8444.81</v>
      </c>
      <c r="K1369" s="7" t="s">
        <v>12</v>
      </c>
      <c r="L1369" s="7" t="s">
        <v>53</v>
      </c>
      <c r="M1369" s="34">
        <v>46129</v>
      </c>
      <c r="N1369" s="7" t="s">
        <v>46</v>
      </c>
    </row>
    <row r="1370" spans="1:14" x14ac:dyDescent="0.25">
      <c r="A1370" s="41" t="s">
        <v>385</v>
      </c>
      <c r="B1370" s="1">
        <v>2</v>
      </c>
      <c r="C1370" s="8">
        <v>46141</v>
      </c>
      <c r="D1370" s="1" t="s">
        <v>1876</v>
      </c>
      <c r="E1370" s="7" t="s">
        <v>14</v>
      </c>
      <c r="F1370" s="1" t="s">
        <v>26</v>
      </c>
      <c r="G1370" s="9" t="s">
        <v>35</v>
      </c>
      <c r="H1370" s="7">
        <v>4526</v>
      </c>
      <c r="I1370" s="18">
        <v>15010000</v>
      </c>
      <c r="J1370" s="10">
        <v>104895</v>
      </c>
      <c r="K1370" s="7" t="s">
        <v>12</v>
      </c>
      <c r="L1370" s="7" t="s">
        <v>53</v>
      </c>
      <c r="M1370" s="34">
        <v>46141</v>
      </c>
      <c r="N1370" s="7" t="s">
        <v>41</v>
      </c>
    </row>
    <row r="1371" spans="1:14" x14ac:dyDescent="0.25">
      <c r="A1371" s="41" t="s">
        <v>1413</v>
      </c>
      <c r="B1371" s="1">
        <v>1</v>
      </c>
      <c r="C1371" s="8">
        <v>46127</v>
      </c>
      <c r="D1371" s="1" t="s">
        <v>1877</v>
      </c>
      <c r="E1371" s="7" t="s">
        <v>11</v>
      </c>
      <c r="F1371" s="1" t="s">
        <v>26</v>
      </c>
      <c r="G1371" s="9" t="s">
        <v>35</v>
      </c>
      <c r="H1371" s="7" t="s">
        <v>74</v>
      </c>
      <c r="I1371" s="18">
        <v>15000000</v>
      </c>
      <c r="J1371" s="10">
        <v>3000</v>
      </c>
      <c r="K1371" s="7" t="s">
        <v>12</v>
      </c>
      <c r="L1371" s="7" t="s">
        <v>53</v>
      </c>
      <c r="M1371" s="34">
        <v>46135</v>
      </c>
      <c r="N1371" s="7" t="s">
        <v>41</v>
      </c>
    </row>
    <row r="1372" spans="1:14" x14ac:dyDescent="0.25">
      <c r="A1372" s="41" t="s">
        <v>1413</v>
      </c>
      <c r="B1372" s="1">
        <v>1</v>
      </c>
      <c r="C1372" s="8">
        <v>46127</v>
      </c>
      <c r="D1372" s="1" t="s">
        <v>1878</v>
      </c>
      <c r="E1372" s="7" t="s">
        <v>11</v>
      </c>
      <c r="F1372" s="1" t="s">
        <v>26</v>
      </c>
      <c r="G1372" s="9" t="s">
        <v>35</v>
      </c>
      <c r="H1372" s="7">
        <v>2523</v>
      </c>
      <c r="I1372" s="18">
        <v>15000000</v>
      </c>
      <c r="J1372" s="10">
        <v>3750</v>
      </c>
      <c r="K1372" s="7" t="s">
        <v>12</v>
      </c>
      <c r="L1372" s="7" t="s">
        <v>53</v>
      </c>
      <c r="M1372" s="34">
        <v>46135</v>
      </c>
      <c r="N1372" s="7" t="s">
        <v>41</v>
      </c>
    </row>
    <row r="1373" spans="1:14" x14ac:dyDescent="0.25">
      <c r="A1373" s="41" t="s">
        <v>1880</v>
      </c>
      <c r="B1373" s="1">
        <v>1</v>
      </c>
      <c r="C1373" s="8">
        <v>46128</v>
      </c>
      <c r="D1373" s="1" t="s">
        <v>1879</v>
      </c>
      <c r="E1373" s="7" t="s">
        <v>83</v>
      </c>
      <c r="F1373" s="1" t="s">
        <v>26</v>
      </c>
      <c r="G1373" s="9" t="s">
        <v>68</v>
      </c>
      <c r="H1373" s="7" t="s">
        <v>74</v>
      </c>
      <c r="I1373" s="18" t="s">
        <v>0</v>
      </c>
      <c r="J1373" s="10" t="s">
        <v>61</v>
      </c>
      <c r="K1373" s="7" t="s">
        <v>58</v>
      </c>
      <c r="L1373" s="7" t="s">
        <v>55</v>
      </c>
      <c r="M1373" s="34">
        <v>46128</v>
      </c>
      <c r="N1373" s="7" t="s">
        <v>41</v>
      </c>
    </row>
    <row r="1374" spans="1:14" x14ac:dyDescent="0.25">
      <c r="A1374" s="41" t="s">
        <v>1722</v>
      </c>
      <c r="B1374" s="1">
        <v>1</v>
      </c>
      <c r="C1374" s="8">
        <v>46128</v>
      </c>
      <c r="D1374" s="1" t="s">
        <v>1881</v>
      </c>
      <c r="E1374" s="7" t="s">
        <v>13</v>
      </c>
      <c r="F1374" s="1" t="s">
        <v>26</v>
      </c>
      <c r="G1374" s="9" t="s">
        <v>68</v>
      </c>
      <c r="H1374" s="7" t="s">
        <v>74</v>
      </c>
      <c r="I1374" s="18" t="s">
        <v>0</v>
      </c>
      <c r="J1374" s="10" t="s">
        <v>61</v>
      </c>
      <c r="K1374" s="7" t="s">
        <v>58</v>
      </c>
      <c r="L1374" s="7" t="s">
        <v>55</v>
      </c>
      <c r="M1374" s="34">
        <v>46128</v>
      </c>
      <c r="N1374" s="7" t="s">
        <v>41</v>
      </c>
    </row>
    <row r="1375" spans="1:14" x14ac:dyDescent="0.25">
      <c r="A1375" s="41" t="s">
        <v>1021</v>
      </c>
      <c r="B1375" s="1">
        <v>2</v>
      </c>
      <c r="C1375" s="8">
        <v>46146</v>
      </c>
      <c r="D1375" s="1" t="s">
        <v>1882</v>
      </c>
      <c r="E1375" s="7" t="s">
        <v>13</v>
      </c>
      <c r="F1375" s="1" t="s">
        <v>26</v>
      </c>
      <c r="G1375" s="9" t="s">
        <v>35</v>
      </c>
      <c r="H1375" s="7">
        <v>1996</v>
      </c>
      <c r="I1375" s="18">
        <v>16000000</v>
      </c>
      <c r="J1375" s="10">
        <v>10003.19</v>
      </c>
      <c r="K1375" s="7" t="s">
        <v>13</v>
      </c>
      <c r="L1375" s="7" t="s">
        <v>54</v>
      </c>
      <c r="M1375" s="34">
        <v>46147</v>
      </c>
      <c r="N1375" s="7" t="s">
        <v>41</v>
      </c>
    </row>
    <row r="1376" spans="1:14" x14ac:dyDescent="0.25">
      <c r="A1376" s="41" t="s">
        <v>971</v>
      </c>
      <c r="B1376" s="1">
        <v>1</v>
      </c>
      <c r="C1376" s="8">
        <v>46128</v>
      </c>
      <c r="D1376" s="1" t="s">
        <v>1883</v>
      </c>
      <c r="E1376" s="7" t="s">
        <v>13</v>
      </c>
      <c r="F1376" s="1" t="s">
        <v>26</v>
      </c>
      <c r="G1376" s="9" t="s">
        <v>35</v>
      </c>
      <c r="H1376" s="7">
        <v>3818</v>
      </c>
      <c r="I1376" s="18">
        <v>16210000</v>
      </c>
      <c r="J1376" s="10">
        <v>526.4</v>
      </c>
      <c r="K1376" s="7" t="s">
        <v>13</v>
      </c>
      <c r="L1376" s="7" t="s">
        <v>54</v>
      </c>
      <c r="M1376" s="34">
        <v>46136</v>
      </c>
      <c r="N1376" s="7" t="s">
        <v>41</v>
      </c>
    </row>
    <row r="1377" spans="1:14" x14ac:dyDescent="0.25">
      <c r="A1377" s="41" t="s">
        <v>1413</v>
      </c>
      <c r="B1377" s="1">
        <v>2</v>
      </c>
      <c r="C1377" s="8">
        <v>46141</v>
      </c>
      <c r="D1377" s="1" t="s">
        <v>1884</v>
      </c>
      <c r="E1377" s="7" t="s">
        <v>14</v>
      </c>
      <c r="F1377" s="1" t="s">
        <v>26</v>
      </c>
      <c r="G1377" s="9" t="s">
        <v>35</v>
      </c>
      <c r="H1377" s="7">
        <v>2526</v>
      </c>
      <c r="I1377" s="18">
        <v>15000000</v>
      </c>
      <c r="J1377" s="10">
        <v>1875</v>
      </c>
      <c r="K1377" s="7" t="s">
        <v>12</v>
      </c>
      <c r="L1377" s="7" t="s">
        <v>53</v>
      </c>
      <c r="M1377" s="34">
        <v>46141</v>
      </c>
      <c r="N1377" s="7" t="s">
        <v>41</v>
      </c>
    </row>
    <row r="1378" spans="1:14" x14ac:dyDescent="0.25">
      <c r="A1378" s="41" t="s">
        <v>1413</v>
      </c>
      <c r="B1378" s="1">
        <v>1</v>
      </c>
      <c r="C1378" s="8">
        <v>46128</v>
      </c>
      <c r="D1378" s="1" t="s">
        <v>1885</v>
      </c>
      <c r="E1378" s="7" t="s">
        <v>11</v>
      </c>
      <c r="F1378" s="1" t="s">
        <v>26</v>
      </c>
      <c r="G1378" s="9" t="s">
        <v>35</v>
      </c>
      <c r="H1378" s="7">
        <v>2527</v>
      </c>
      <c r="I1378" s="18">
        <v>15000000</v>
      </c>
      <c r="J1378" s="10">
        <v>1875</v>
      </c>
      <c r="K1378" s="7" t="s">
        <v>12</v>
      </c>
      <c r="L1378" s="7" t="s">
        <v>53</v>
      </c>
      <c r="M1378" s="34">
        <v>46135</v>
      </c>
      <c r="N1378" s="7" t="s">
        <v>41</v>
      </c>
    </row>
    <row r="1379" spans="1:14" x14ac:dyDescent="0.25">
      <c r="A1379" s="41" t="s">
        <v>1413</v>
      </c>
      <c r="B1379" s="1">
        <v>1</v>
      </c>
      <c r="C1379" s="8">
        <v>46128</v>
      </c>
      <c r="D1379" s="1" t="s">
        <v>1886</v>
      </c>
      <c r="E1379" s="7" t="s">
        <v>11</v>
      </c>
      <c r="F1379" s="1" t="s">
        <v>26</v>
      </c>
      <c r="G1379" s="9" t="s">
        <v>35</v>
      </c>
      <c r="H1379" s="7">
        <v>2524</v>
      </c>
      <c r="I1379" s="18">
        <v>15000000</v>
      </c>
      <c r="J1379" s="10">
        <v>1875</v>
      </c>
      <c r="K1379" s="7" t="s">
        <v>12</v>
      </c>
      <c r="L1379" s="7" t="s">
        <v>53</v>
      </c>
      <c r="M1379" s="34">
        <v>46135</v>
      </c>
      <c r="N1379" s="7" t="s">
        <v>41</v>
      </c>
    </row>
    <row r="1380" spans="1:14" x14ac:dyDescent="0.25">
      <c r="A1380" s="41" t="s">
        <v>1325</v>
      </c>
      <c r="B1380" s="1">
        <v>2</v>
      </c>
      <c r="C1380" s="8">
        <v>46146</v>
      </c>
      <c r="D1380" s="1" t="s">
        <v>1887</v>
      </c>
      <c r="E1380" s="7" t="s">
        <v>13</v>
      </c>
      <c r="F1380" s="1" t="s">
        <v>26</v>
      </c>
      <c r="G1380" s="9" t="s">
        <v>35</v>
      </c>
      <c r="H1380" s="7">
        <v>6626</v>
      </c>
      <c r="I1380" s="18">
        <v>16210000</v>
      </c>
      <c r="J1380" s="10">
        <v>126</v>
      </c>
      <c r="K1380" s="7" t="s">
        <v>13</v>
      </c>
      <c r="L1380" s="7" t="s">
        <v>54</v>
      </c>
      <c r="M1380" s="34">
        <v>46147</v>
      </c>
      <c r="N1380" s="7" t="s">
        <v>774</v>
      </c>
    </row>
    <row r="1381" spans="1:14" x14ac:dyDescent="0.25">
      <c r="A1381" s="41" t="s">
        <v>577</v>
      </c>
      <c r="B1381" s="1">
        <v>2</v>
      </c>
      <c r="C1381" s="8">
        <v>46140</v>
      </c>
      <c r="D1381" s="1" t="s">
        <v>1888</v>
      </c>
      <c r="E1381" s="7" t="s">
        <v>14</v>
      </c>
      <c r="F1381" s="1" t="s">
        <v>26</v>
      </c>
      <c r="G1381" s="9" t="s">
        <v>35</v>
      </c>
      <c r="H1381" s="7">
        <v>43021</v>
      </c>
      <c r="I1381" s="18">
        <v>15000000</v>
      </c>
      <c r="J1381" s="10">
        <v>280</v>
      </c>
      <c r="K1381" s="7" t="s">
        <v>12</v>
      </c>
      <c r="L1381" s="7" t="s">
        <v>53</v>
      </c>
      <c r="M1381" s="34">
        <v>46141</v>
      </c>
      <c r="N1381" s="7" t="s">
        <v>774</v>
      </c>
    </row>
    <row r="1382" spans="1:14" x14ac:dyDescent="0.25">
      <c r="A1382" s="41" t="s">
        <v>225</v>
      </c>
      <c r="B1382" s="1">
        <v>1</v>
      </c>
      <c r="C1382" s="8">
        <v>46128</v>
      </c>
      <c r="D1382" s="1" t="s">
        <v>1889</v>
      </c>
      <c r="E1382" s="7" t="s">
        <v>13</v>
      </c>
      <c r="F1382" s="1" t="s">
        <v>26</v>
      </c>
      <c r="G1382" s="9" t="s">
        <v>35</v>
      </c>
      <c r="H1382" s="7">
        <v>7018</v>
      </c>
      <c r="I1382" s="18">
        <v>16000000</v>
      </c>
      <c r="J1382" s="10">
        <v>95223.69</v>
      </c>
      <c r="K1382" s="7" t="s">
        <v>13</v>
      </c>
      <c r="L1382" s="7" t="s">
        <v>54</v>
      </c>
      <c r="M1382" s="34">
        <v>46140</v>
      </c>
      <c r="N1382" s="7" t="s">
        <v>774</v>
      </c>
    </row>
    <row r="1383" spans="1:14" x14ac:dyDescent="0.25">
      <c r="A1383" s="41" t="s">
        <v>953</v>
      </c>
      <c r="B1383" s="1">
        <v>1</v>
      </c>
      <c r="C1383" s="8">
        <v>46128</v>
      </c>
      <c r="D1383" s="1" t="s">
        <v>1890</v>
      </c>
      <c r="E1383" s="7" t="s">
        <v>13</v>
      </c>
      <c r="F1383" s="1" t="s">
        <v>26</v>
      </c>
      <c r="G1383" s="9" t="s">
        <v>35</v>
      </c>
      <c r="H1383" s="7">
        <v>2994</v>
      </c>
      <c r="I1383" s="18">
        <v>15001002</v>
      </c>
      <c r="J1383" s="10">
        <v>656</v>
      </c>
      <c r="K1383" s="7" t="s">
        <v>13</v>
      </c>
      <c r="L1383" s="7" t="s">
        <v>54</v>
      </c>
    </row>
    <row r="1384" spans="1:14" x14ac:dyDescent="0.25">
      <c r="A1384" s="41" t="s">
        <v>225</v>
      </c>
      <c r="B1384" s="1">
        <v>1</v>
      </c>
      <c r="C1384" s="8">
        <v>46128</v>
      </c>
      <c r="D1384" s="33" t="s">
        <v>1891</v>
      </c>
      <c r="E1384" s="7" t="s">
        <v>13</v>
      </c>
      <c r="F1384" s="1" t="s">
        <v>26</v>
      </c>
      <c r="G1384" s="9" t="s">
        <v>35</v>
      </c>
      <c r="H1384" s="7">
        <v>7020</v>
      </c>
      <c r="I1384" s="18">
        <v>15001002</v>
      </c>
      <c r="J1384" s="10">
        <v>1605.12</v>
      </c>
      <c r="K1384" s="7" t="s">
        <v>13</v>
      </c>
      <c r="L1384" s="7" t="s">
        <v>54</v>
      </c>
      <c r="M1384" s="34">
        <v>46140</v>
      </c>
      <c r="N1384" s="7" t="s">
        <v>774</v>
      </c>
    </row>
    <row r="1385" spans="1:14" x14ac:dyDescent="0.25">
      <c r="A1385" s="41" t="s">
        <v>1893</v>
      </c>
      <c r="B1385" s="1">
        <v>4</v>
      </c>
      <c r="C1385" s="8">
        <v>46148</v>
      </c>
      <c r="D1385" s="1" t="s">
        <v>1892</v>
      </c>
      <c r="E1385" s="7" t="s">
        <v>13</v>
      </c>
      <c r="F1385" s="1" t="s">
        <v>26</v>
      </c>
      <c r="G1385" s="9" t="s">
        <v>35</v>
      </c>
      <c r="H1385" s="7">
        <v>10722</v>
      </c>
      <c r="I1385" s="18">
        <v>16003130</v>
      </c>
      <c r="J1385" s="10">
        <v>5784.5</v>
      </c>
      <c r="K1385" s="7" t="s">
        <v>13</v>
      </c>
      <c r="L1385" s="7" t="s">
        <v>54</v>
      </c>
      <c r="M1385" s="34">
        <v>46148</v>
      </c>
      <c r="N1385" s="7" t="s">
        <v>41</v>
      </c>
    </row>
    <row r="1386" spans="1:14" x14ac:dyDescent="0.25">
      <c r="A1386" s="41" t="s">
        <v>1895</v>
      </c>
      <c r="B1386" s="1">
        <v>1</v>
      </c>
      <c r="C1386" s="8">
        <v>46128</v>
      </c>
      <c r="D1386" s="1" t="s">
        <v>1894</v>
      </c>
      <c r="E1386" s="7" t="s">
        <v>13</v>
      </c>
      <c r="F1386" s="1" t="s">
        <v>26</v>
      </c>
      <c r="G1386" s="9" t="s">
        <v>37</v>
      </c>
      <c r="H1386" s="7" t="s">
        <v>74</v>
      </c>
      <c r="I1386" s="18" t="s">
        <v>1935</v>
      </c>
      <c r="J1386" s="10" t="s">
        <v>61</v>
      </c>
      <c r="K1386" s="7" t="s">
        <v>22</v>
      </c>
      <c r="L1386" s="7" t="s">
        <v>55</v>
      </c>
      <c r="M1386" s="34">
        <v>46147</v>
      </c>
      <c r="N1386" s="7" t="s">
        <v>41</v>
      </c>
    </row>
    <row r="1387" spans="1:14" x14ac:dyDescent="0.25">
      <c r="A1387" s="41" t="s">
        <v>616</v>
      </c>
      <c r="B1387" s="1">
        <v>2</v>
      </c>
      <c r="C1387" s="8">
        <v>46140</v>
      </c>
      <c r="D1387" s="1" t="s">
        <v>1896</v>
      </c>
      <c r="E1387" s="7" t="s">
        <v>14</v>
      </c>
      <c r="F1387" s="1" t="s">
        <v>26</v>
      </c>
      <c r="G1387" s="9" t="s">
        <v>63</v>
      </c>
      <c r="H1387" s="7" t="s">
        <v>74</v>
      </c>
      <c r="I1387" s="18">
        <v>15000000</v>
      </c>
      <c r="J1387" s="10" t="s">
        <v>61</v>
      </c>
      <c r="K1387" s="7" t="s">
        <v>17</v>
      </c>
      <c r="L1387" s="7" t="s">
        <v>55</v>
      </c>
      <c r="M1387" s="34">
        <v>46140</v>
      </c>
      <c r="N1387" s="7" t="s">
        <v>41</v>
      </c>
    </row>
    <row r="1388" spans="1:14" x14ac:dyDescent="0.25">
      <c r="A1388" s="41" t="s">
        <v>1600</v>
      </c>
      <c r="B1388" s="1">
        <v>1</v>
      </c>
      <c r="C1388" s="8">
        <v>46128</v>
      </c>
      <c r="D1388" s="1" t="s">
        <v>1897</v>
      </c>
      <c r="E1388" s="7" t="s">
        <v>2</v>
      </c>
      <c r="F1388" s="1" t="s">
        <v>26</v>
      </c>
      <c r="G1388" s="9" t="s">
        <v>35</v>
      </c>
      <c r="H1388" s="7" t="s">
        <v>74</v>
      </c>
      <c r="I1388" s="18">
        <v>15520000</v>
      </c>
      <c r="J1388" s="10">
        <v>86349.63</v>
      </c>
      <c r="K1388" s="7" t="s">
        <v>12</v>
      </c>
      <c r="L1388" s="7" t="s">
        <v>53</v>
      </c>
      <c r="M1388" s="34">
        <v>46134</v>
      </c>
      <c r="N1388" s="7" t="s">
        <v>46</v>
      </c>
    </row>
    <row r="1389" spans="1:14" x14ac:dyDescent="0.25">
      <c r="A1389" s="41" t="s">
        <v>252</v>
      </c>
      <c r="B1389" s="1">
        <v>1</v>
      </c>
      <c r="C1389" s="8">
        <v>46128</v>
      </c>
      <c r="D1389" s="1" t="s">
        <v>1898</v>
      </c>
      <c r="E1389" s="7" t="s">
        <v>16</v>
      </c>
      <c r="F1389" s="1" t="s">
        <v>26</v>
      </c>
      <c r="G1389" s="9" t="s">
        <v>35</v>
      </c>
      <c r="H1389" s="7" t="s">
        <v>74</v>
      </c>
      <c r="I1389" s="18">
        <v>15000000</v>
      </c>
      <c r="J1389" s="10">
        <v>7005.27</v>
      </c>
      <c r="K1389" s="7" t="s">
        <v>12</v>
      </c>
      <c r="L1389" s="7" t="s">
        <v>53</v>
      </c>
      <c r="M1389" s="34">
        <v>46135</v>
      </c>
      <c r="N1389" s="7" t="s">
        <v>52</v>
      </c>
    </row>
    <row r="1390" spans="1:14" ht="30" x14ac:dyDescent="0.25">
      <c r="A1390" s="41" t="s">
        <v>1899</v>
      </c>
      <c r="B1390" s="1">
        <v>1</v>
      </c>
      <c r="C1390" s="8">
        <v>46128</v>
      </c>
      <c r="D1390" s="1" t="s">
        <v>1900</v>
      </c>
      <c r="E1390" s="7" t="s">
        <v>14</v>
      </c>
      <c r="F1390" s="1" t="s">
        <v>26</v>
      </c>
      <c r="G1390" s="9" t="s">
        <v>47</v>
      </c>
      <c r="H1390" s="7" t="s">
        <v>74</v>
      </c>
      <c r="I1390" s="18" t="s">
        <v>0</v>
      </c>
      <c r="J1390" s="10" t="s">
        <v>61</v>
      </c>
      <c r="K1390" s="7" t="s">
        <v>22</v>
      </c>
      <c r="L1390" s="7" t="s">
        <v>55</v>
      </c>
      <c r="M1390" s="34">
        <v>46136</v>
      </c>
      <c r="N1390" s="7" t="s">
        <v>46</v>
      </c>
    </row>
    <row r="1391" spans="1:14" x14ac:dyDescent="0.25">
      <c r="A1391" s="41" t="s">
        <v>1413</v>
      </c>
      <c r="B1391" s="1">
        <v>1</v>
      </c>
      <c r="C1391" s="8">
        <v>46128</v>
      </c>
      <c r="D1391" s="1" t="s">
        <v>1901</v>
      </c>
      <c r="E1391" s="7" t="s">
        <v>11</v>
      </c>
      <c r="F1391" s="1" t="s">
        <v>26</v>
      </c>
      <c r="G1391" s="9" t="s">
        <v>35</v>
      </c>
      <c r="H1391" s="7">
        <v>2530</v>
      </c>
      <c r="I1391" s="18">
        <v>15000000</v>
      </c>
      <c r="J1391" s="10">
        <v>3000</v>
      </c>
      <c r="K1391" s="7" t="s">
        <v>12</v>
      </c>
      <c r="L1391" s="7" t="s">
        <v>53</v>
      </c>
      <c r="M1391" s="34">
        <v>46135</v>
      </c>
      <c r="N1391" s="7" t="s">
        <v>41</v>
      </c>
    </row>
    <row r="1392" spans="1:14" x14ac:dyDescent="0.25">
      <c r="A1392" s="41" t="s">
        <v>1413</v>
      </c>
      <c r="B1392" s="1">
        <v>1</v>
      </c>
      <c r="C1392" s="8">
        <v>46128</v>
      </c>
      <c r="D1392" s="1" t="s">
        <v>1902</v>
      </c>
      <c r="E1392" s="7" t="s">
        <v>11</v>
      </c>
      <c r="F1392" s="1" t="s">
        <v>26</v>
      </c>
      <c r="G1392" s="9" t="s">
        <v>35</v>
      </c>
      <c r="H1392" s="7">
        <v>2531</v>
      </c>
      <c r="I1392" s="18">
        <v>15000000</v>
      </c>
      <c r="J1392" s="10">
        <v>1875</v>
      </c>
      <c r="K1392" s="7" t="s">
        <v>12</v>
      </c>
      <c r="L1392" s="7" t="s">
        <v>53</v>
      </c>
      <c r="M1392" s="34">
        <v>46135</v>
      </c>
      <c r="N1392" s="7" t="s">
        <v>41</v>
      </c>
    </row>
    <row r="1393" spans="1:14" x14ac:dyDescent="0.25">
      <c r="A1393" s="41" t="s">
        <v>1413</v>
      </c>
      <c r="B1393" s="1">
        <v>1</v>
      </c>
      <c r="C1393" s="8">
        <v>46128</v>
      </c>
      <c r="D1393" s="1" t="s">
        <v>1903</v>
      </c>
      <c r="E1393" s="7" t="s">
        <v>11</v>
      </c>
      <c r="F1393" s="1" t="s">
        <v>26</v>
      </c>
      <c r="G1393" s="9" t="s">
        <v>35</v>
      </c>
      <c r="H1393" s="7">
        <v>2529</v>
      </c>
      <c r="I1393" s="18">
        <v>15000000</v>
      </c>
      <c r="J1393" s="10">
        <v>1875</v>
      </c>
      <c r="K1393" s="7" t="s">
        <v>12</v>
      </c>
      <c r="L1393" s="7" t="s">
        <v>53</v>
      </c>
      <c r="M1393" s="34">
        <v>46135</v>
      </c>
      <c r="N1393" s="7" t="s">
        <v>41</v>
      </c>
    </row>
    <row r="1394" spans="1:14" x14ac:dyDescent="0.25">
      <c r="A1394" s="41" t="s">
        <v>1413</v>
      </c>
      <c r="B1394" s="1">
        <v>1</v>
      </c>
      <c r="C1394" s="8">
        <v>46128</v>
      </c>
      <c r="D1394" s="1" t="s">
        <v>1904</v>
      </c>
      <c r="E1394" s="7" t="s">
        <v>11</v>
      </c>
      <c r="F1394" s="1" t="s">
        <v>26</v>
      </c>
      <c r="G1394" s="9" t="s">
        <v>35</v>
      </c>
      <c r="H1394" s="7">
        <v>2528</v>
      </c>
      <c r="I1394" s="18">
        <v>15000000</v>
      </c>
      <c r="J1394" s="10">
        <v>3750</v>
      </c>
      <c r="K1394" s="7" t="s">
        <v>12</v>
      </c>
      <c r="L1394" s="7" t="s">
        <v>53</v>
      </c>
      <c r="M1394" s="34">
        <v>46135</v>
      </c>
      <c r="N1394" s="7" t="s">
        <v>41</v>
      </c>
    </row>
    <row r="1395" spans="1:14" x14ac:dyDescent="0.25">
      <c r="A1395" s="41" t="s">
        <v>332</v>
      </c>
      <c r="B1395" s="1">
        <v>2</v>
      </c>
      <c r="C1395" s="8">
        <v>46142</v>
      </c>
      <c r="D1395" s="1" t="s">
        <v>1905</v>
      </c>
      <c r="E1395" s="7" t="s">
        <v>13</v>
      </c>
      <c r="F1395" s="1" t="s">
        <v>26</v>
      </c>
      <c r="G1395" s="9" t="s">
        <v>35</v>
      </c>
      <c r="H1395" s="7">
        <v>943</v>
      </c>
      <c r="I1395" s="18">
        <v>15001002</v>
      </c>
      <c r="J1395" s="10">
        <v>35284.550000000003</v>
      </c>
      <c r="K1395" s="7" t="s">
        <v>13</v>
      </c>
      <c r="L1395" s="7" t="s">
        <v>54</v>
      </c>
      <c r="M1395" s="34">
        <v>46146</v>
      </c>
      <c r="N1395" s="7" t="s">
        <v>45</v>
      </c>
    </row>
    <row r="1396" spans="1:14" x14ac:dyDescent="0.25">
      <c r="A1396" s="41" t="s">
        <v>265</v>
      </c>
      <c r="B1396" s="1">
        <v>2</v>
      </c>
      <c r="C1396" s="8">
        <v>46136</v>
      </c>
      <c r="D1396" s="1" t="s">
        <v>1906</v>
      </c>
      <c r="E1396" s="7" t="s">
        <v>13</v>
      </c>
      <c r="F1396" s="1" t="s">
        <v>26</v>
      </c>
      <c r="G1396" s="9" t="s">
        <v>35</v>
      </c>
      <c r="H1396" s="7">
        <v>181850</v>
      </c>
      <c r="I1396" s="18">
        <v>16000000</v>
      </c>
      <c r="J1396" s="10">
        <v>453</v>
      </c>
      <c r="K1396" s="7" t="s">
        <v>13</v>
      </c>
      <c r="L1396" s="7" t="s">
        <v>54</v>
      </c>
      <c r="M1396" s="34">
        <v>46140</v>
      </c>
      <c r="N1396" s="7" t="s">
        <v>774</v>
      </c>
    </row>
    <row r="1397" spans="1:14" x14ac:dyDescent="0.25">
      <c r="A1397" s="41" t="s">
        <v>1425</v>
      </c>
      <c r="B1397" s="1">
        <v>1</v>
      </c>
      <c r="C1397" s="8">
        <v>46129</v>
      </c>
      <c r="D1397" s="1" t="s">
        <v>1907</v>
      </c>
      <c r="E1397" s="7" t="s">
        <v>13</v>
      </c>
      <c r="F1397" s="1" t="s">
        <v>26</v>
      </c>
      <c r="G1397" s="9" t="s">
        <v>35</v>
      </c>
      <c r="H1397" s="7">
        <v>17320</v>
      </c>
      <c r="I1397" s="18">
        <v>15001001</v>
      </c>
      <c r="J1397" s="10">
        <v>440</v>
      </c>
      <c r="K1397" s="7" t="s">
        <v>13</v>
      </c>
      <c r="L1397" s="7" t="s">
        <v>54</v>
      </c>
      <c r="M1397" s="34">
        <v>46140</v>
      </c>
      <c r="N1397" s="7" t="s">
        <v>774</v>
      </c>
    </row>
    <row r="1398" spans="1:14" ht="30" x14ac:dyDescent="0.25">
      <c r="A1398" s="41" t="s">
        <v>1911</v>
      </c>
      <c r="B1398" s="1">
        <v>1</v>
      </c>
      <c r="C1398" s="8">
        <v>46129</v>
      </c>
      <c r="D1398" s="1" t="s">
        <v>1912</v>
      </c>
      <c r="E1398" s="7" t="s">
        <v>20</v>
      </c>
      <c r="F1398" s="1" t="s">
        <v>26</v>
      </c>
      <c r="G1398" s="9" t="s">
        <v>49</v>
      </c>
      <c r="H1398" s="7" t="s">
        <v>74</v>
      </c>
      <c r="I1398" s="18" t="s">
        <v>383</v>
      </c>
      <c r="J1398" s="10" t="s">
        <v>61</v>
      </c>
      <c r="K1398" s="7" t="s">
        <v>22</v>
      </c>
      <c r="L1398" s="7" t="s">
        <v>40</v>
      </c>
      <c r="M1398" s="34">
        <v>46140</v>
      </c>
      <c r="N1398" s="7" t="s">
        <v>46</v>
      </c>
    </row>
    <row r="1399" spans="1:14" x14ac:dyDescent="0.25">
      <c r="A1399" s="41" t="s">
        <v>1913</v>
      </c>
      <c r="B1399" s="1">
        <v>3</v>
      </c>
      <c r="C1399" s="8">
        <v>46140</v>
      </c>
      <c r="D1399" s="1" t="s">
        <v>1914</v>
      </c>
      <c r="E1399" s="7" t="s">
        <v>13</v>
      </c>
      <c r="F1399" s="1" t="s">
        <v>26</v>
      </c>
      <c r="G1399" s="9" t="s">
        <v>38</v>
      </c>
      <c r="H1399" s="7" t="s">
        <v>74</v>
      </c>
      <c r="I1399" s="18">
        <v>15001002</v>
      </c>
      <c r="J1399" s="10" t="s">
        <v>61</v>
      </c>
      <c r="K1399" s="7" t="s">
        <v>22</v>
      </c>
      <c r="L1399" s="7" t="s">
        <v>55</v>
      </c>
      <c r="M1399" s="34">
        <v>46148</v>
      </c>
      <c r="N1399" s="7" t="s">
        <v>92</v>
      </c>
    </row>
    <row r="1400" spans="1:14" x14ac:dyDescent="0.25">
      <c r="A1400" s="41" t="s">
        <v>1916</v>
      </c>
      <c r="B1400" s="1">
        <v>2</v>
      </c>
      <c r="C1400" s="8">
        <v>46139</v>
      </c>
      <c r="D1400" s="1" t="s">
        <v>1915</v>
      </c>
      <c r="E1400" s="7" t="s">
        <v>13</v>
      </c>
      <c r="F1400" s="1" t="s">
        <v>26</v>
      </c>
      <c r="G1400" s="9" t="s">
        <v>38</v>
      </c>
      <c r="H1400" s="7" t="s">
        <v>74</v>
      </c>
      <c r="I1400" s="18">
        <v>15001002</v>
      </c>
      <c r="J1400" s="10" t="s">
        <v>61</v>
      </c>
      <c r="K1400" s="7" t="s">
        <v>58</v>
      </c>
      <c r="L1400" s="7" t="s">
        <v>59</v>
      </c>
      <c r="M1400" s="34">
        <v>46134</v>
      </c>
      <c r="N1400" s="7" t="s">
        <v>41</v>
      </c>
    </row>
    <row r="1401" spans="1:14" x14ac:dyDescent="0.25">
      <c r="A1401" s="41" t="s">
        <v>225</v>
      </c>
      <c r="B1401" s="1">
        <v>1</v>
      </c>
      <c r="C1401" s="8">
        <v>46129</v>
      </c>
      <c r="D1401" s="1" t="s">
        <v>1917</v>
      </c>
      <c r="E1401" s="7" t="s">
        <v>13</v>
      </c>
      <c r="F1401" s="1" t="s">
        <v>26</v>
      </c>
      <c r="G1401" s="9" t="s">
        <v>35</v>
      </c>
      <c r="H1401" s="7">
        <v>7027</v>
      </c>
      <c r="I1401" s="18">
        <v>16000000</v>
      </c>
      <c r="J1401" s="10">
        <v>7335.72</v>
      </c>
      <c r="K1401" s="7" t="s">
        <v>13</v>
      </c>
      <c r="L1401" s="7" t="s">
        <v>54</v>
      </c>
      <c r="M1401" s="34">
        <v>46136</v>
      </c>
      <c r="N1401" s="7" t="s">
        <v>774</v>
      </c>
    </row>
    <row r="1402" spans="1:14" x14ac:dyDescent="0.25">
      <c r="A1402" s="41" t="s">
        <v>1918</v>
      </c>
      <c r="B1402" s="1">
        <v>2</v>
      </c>
      <c r="C1402" s="8">
        <v>46141</v>
      </c>
      <c r="D1402" s="1" t="s">
        <v>1919</v>
      </c>
      <c r="E1402" s="7" t="s">
        <v>2</v>
      </c>
      <c r="F1402" s="1" t="s">
        <v>26</v>
      </c>
      <c r="G1402" s="9" t="s">
        <v>35</v>
      </c>
      <c r="H1402" s="7">
        <v>4163</v>
      </c>
      <c r="I1402" s="18">
        <v>15400000</v>
      </c>
      <c r="J1402" s="10">
        <v>14112</v>
      </c>
      <c r="K1402" s="7" t="s">
        <v>12</v>
      </c>
      <c r="L1402" s="7" t="s">
        <v>53</v>
      </c>
      <c r="M1402" s="34">
        <v>46141</v>
      </c>
      <c r="N1402" s="7" t="s">
        <v>41</v>
      </c>
    </row>
    <row r="1403" spans="1:14" x14ac:dyDescent="0.25">
      <c r="A1403" s="41" t="s">
        <v>1978</v>
      </c>
      <c r="B1403" s="1">
        <v>2</v>
      </c>
      <c r="C1403" s="8">
        <v>46136</v>
      </c>
      <c r="D1403" s="1" t="s">
        <v>1979</v>
      </c>
      <c r="E1403" s="7" t="s">
        <v>13</v>
      </c>
      <c r="F1403" s="1" t="s">
        <v>26</v>
      </c>
      <c r="G1403" s="9" t="s">
        <v>35</v>
      </c>
      <c r="H1403" s="7" t="s">
        <v>74</v>
      </c>
      <c r="I1403" s="18" t="s">
        <v>0</v>
      </c>
      <c r="J1403" s="10">
        <v>28350</v>
      </c>
      <c r="K1403" s="7" t="s">
        <v>13</v>
      </c>
      <c r="L1403" s="7" t="s">
        <v>54</v>
      </c>
      <c r="M1403" s="34">
        <v>46140</v>
      </c>
      <c r="N1403" s="7" t="s">
        <v>774</v>
      </c>
    </row>
    <row r="1404" spans="1:14" x14ac:dyDescent="0.25">
      <c r="A1404" s="41" t="s">
        <v>457</v>
      </c>
      <c r="B1404" s="1">
        <v>2</v>
      </c>
      <c r="C1404" s="8">
        <v>46141</v>
      </c>
      <c r="D1404" s="1" t="s">
        <v>1922</v>
      </c>
      <c r="E1404" s="7" t="s">
        <v>16</v>
      </c>
      <c r="F1404" s="1" t="s">
        <v>26</v>
      </c>
      <c r="G1404" s="9" t="s">
        <v>35</v>
      </c>
      <c r="H1404" s="7">
        <v>124</v>
      </c>
      <c r="I1404" s="18">
        <v>15000000</v>
      </c>
      <c r="J1404" s="10">
        <v>31908.83</v>
      </c>
      <c r="K1404" s="7" t="s">
        <v>12</v>
      </c>
      <c r="L1404" s="7" t="s">
        <v>53</v>
      </c>
      <c r="M1404" s="34">
        <v>46142</v>
      </c>
      <c r="N1404" s="7" t="s">
        <v>41</v>
      </c>
    </row>
    <row r="1405" spans="1:14" x14ac:dyDescent="0.25">
      <c r="A1405" s="41" t="s">
        <v>1924</v>
      </c>
      <c r="B1405" s="1">
        <v>2</v>
      </c>
      <c r="C1405" s="8">
        <v>46140</v>
      </c>
      <c r="D1405" s="1" t="s">
        <v>1923</v>
      </c>
      <c r="E1405" s="7" t="s">
        <v>14</v>
      </c>
      <c r="F1405" s="1" t="s">
        <v>26</v>
      </c>
      <c r="G1405" s="9" t="s">
        <v>35</v>
      </c>
      <c r="H1405" s="7">
        <v>1424</v>
      </c>
      <c r="I1405" s="18">
        <v>15000000</v>
      </c>
      <c r="J1405" s="10">
        <v>181642.83</v>
      </c>
      <c r="K1405" s="7" t="s">
        <v>12</v>
      </c>
      <c r="L1405" s="7" t="s">
        <v>53</v>
      </c>
      <c r="M1405" s="34">
        <v>46140</v>
      </c>
      <c r="N1405" s="7" t="s">
        <v>41</v>
      </c>
    </row>
    <row r="1406" spans="1:14" x14ac:dyDescent="0.25">
      <c r="A1406" s="41" t="s">
        <v>1112</v>
      </c>
      <c r="B1406" s="1">
        <v>1</v>
      </c>
      <c r="C1406" s="8">
        <v>46134</v>
      </c>
      <c r="D1406" s="1" t="s">
        <v>1925</v>
      </c>
      <c r="E1406" s="7" t="s">
        <v>20</v>
      </c>
      <c r="F1406" s="1" t="s">
        <v>26</v>
      </c>
      <c r="G1406" s="9" t="s">
        <v>35</v>
      </c>
      <c r="H1406" s="7" t="s">
        <v>74</v>
      </c>
      <c r="I1406" s="18" t="s">
        <v>1926</v>
      </c>
      <c r="J1406" s="10">
        <v>343056.35</v>
      </c>
      <c r="K1406" s="7" t="s">
        <v>12</v>
      </c>
      <c r="L1406" s="7" t="s">
        <v>53</v>
      </c>
      <c r="M1406" s="34">
        <v>46136</v>
      </c>
      <c r="N1406" s="7" t="s">
        <v>62</v>
      </c>
    </row>
    <row r="1407" spans="1:14" x14ac:dyDescent="0.25">
      <c r="A1407" s="41" t="s">
        <v>252</v>
      </c>
      <c r="B1407" s="1">
        <v>2</v>
      </c>
      <c r="C1407" s="8">
        <v>46142</v>
      </c>
      <c r="D1407" s="1" t="s">
        <v>1927</v>
      </c>
      <c r="E1407" s="7" t="s">
        <v>13</v>
      </c>
      <c r="F1407" s="1" t="s">
        <v>26</v>
      </c>
      <c r="G1407" s="9" t="s">
        <v>35</v>
      </c>
      <c r="H1407" s="7" t="s">
        <v>74</v>
      </c>
      <c r="I1407" s="18">
        <v>15001002</v>
      </c>
      <c r="J1407" s="10">
        <v>46493.52</v>
      </c>
      <c r="K1407" s="7" t="s">
        <v>13</v>
      </c>
      <c r="L1407" s="7" t="s">
        <v>54</v>
      </c>
      <c r="M1407" s="34">
        <v>46142</v>
      </c>
      <c r="N1407" s="7" t="s">
        <v>52</v>
      </c>
    </row>
    <row r="1408" spans="1:14" x14ac:dyDescent="0.25">
      <c r="A1408" s="41" t="s">
        <v>252</v>
      </c>
      <c r="B1408" s="1">
        <v>2</v>
      </c>
      <c r="C1408" s="8">
        <v>46141</v>
      </c>
      <c r="D1408" s="1" t="s">
        <v>1928</v>
      </c>
      <c r="E1408" s="7" t="s">
        <v>13</v>
      </c>
      <c r="F1408" s="1" t="s">
        <v>26</v>
      </c>
      <c r="G1408" s="9" t="s">
        <v>35</v>
      </c>
      <c r="H1408" s="7">
        <v>3344</v>
      </c>
      <c r="I1408" s="18">
        <v>16000000</v>
      </c>
      <c r="J1408" s="10">
        <v>1009.33</v>
      </c>
      <c r="K1408" s="7" t="s">
        <v>13</v>
      </c>
      <c r="L1408" s="7" t="s">
        <v>54</v>
      </c>
      <c r="M1408" s="34">
        <v>46141</v>
      </c>
      <c r="N1408" s="7" t="s">
        <v>52</v>
      </c>
    </row>
    <row r="1409" spans="1:14" x14ac:dyDescent="0.25">
      <c r="A1409" s="41" t="s">
        <v>252</v>
      </c>
      <c r="B1409" s="1">
        <v>1</v>
      </c>
      <c r="C1409" s="8">
        <v>46134</v>
      </c>
      <c r="D1409" s="1" t="s">
        <v>1929</v>
      </c>
      <c r="E1409" s="7" t="s">
        <v>13</v>
      </c>
      <c r="F1409" s="1" t="s">
        <v>26</v>
      </c>
      <c r="G1409" s="9" t="s">
        <v>35</v>
      </c>
      <c r="H1409" s="7" t="s">
        <v>74</v>
      </c>
      <c r="I1409" s="18">
        <v>15001002</v>
      </c>
      <c r="J1409" s="10">
        <v>5000</v>
      </c>
      <c r="K1409" s="7" t="s">
        <v>13</v>
      </c>
      <c r="L1409" s="7" t="s">
        <v>54</v>
      </c>
      <c r="M1409" s="34">
        <v>46146</v>
      </c>
      <c r="N1409" s="7" t="s">
        <v>91</v>
      </c>
    </row>
    <row r="1410" spans="1:14" x14ac:dyDescent="0.25">
      <c r="A1410" s="41" t="s">
        <v>412</v>
      </c>
      <c r="B1410" s="1">
        <v>1</v>
      </c>
      <c r="C1410" s="8">
        <v>46134</v>
      </c>
      <c r="D1410" s="1" t="s">
        <v>1930</v>
      </c>
      <c r="E1410" s="7" t="s">
        <v>2</v>
      </c>
      <c r="F1410" s="1" t="s">
        <v>26</v>
      </c>
      <c r="G1410" s="9" t="s">
        <v>35</v>
      </c>
      <c r="H1410" s="7">
        <v>1648</v>
      </c>
      <c r="I1410" s="18">
        <v>15400000</v>
      </c>
      <c r="J1410" s="10">
        <v>7704</v>
      </c>
      <c r="K1410" s="7" t="s">
        <v>12</v>
      </c>
      <c r="L1410" s="7" t="s">
        <v>53</v>
      </c>
      <c r="M1410" s="34">
        <v>46136</v>
      </c>
      <c r="N1410" s="7" t="s">
        <v>774</v>
      </c>
    </row>
    <row r="1411" spans="1:14" x14ac:dyDescent="0.25">
      <c r="A1411" s="41" t="s">
        <v>412</v>
      </c>
      <c r="B1411" s="1">
        <v>1</v>
      </c>
      <c r="C1411" s="8">
        <v>46134</v>
      </c>
      <c r="D1411" s="1" t="s">
        <v>1931</v>
      </c>
      <c r="E1411" s="7" t="s">
        <v>14</v>
      </c>
      <c r="F1411" s="1" t="s">
        <v>26</v>
      </c>
      <c r="G1411" s="9" t="s">
        <v>35</v>
      </c>
      <c r="H1411" s="7">
        <v>1649</v>
      </c>
      <c r="I1411" s="18">
        <v>15000000</v>
      </c>
      <c r="J1411" s="10">
        <v>220</v>
      </c>
      <c r="K1411" s="7" t="s">
        <v>12</v>
      </c>
      <c r="L1411" s="7" t="s">
        <v>53</v>
      </c>
      <c r="M1411" s="34">
        <v>46136</v>
      </c>
      <c r="N1411" s="7" t="s">
        <v>774</v>
      </c>
    </row>
    <row r="1412" spans="1:14" x14ac:dyDescent="0.25">
      <c r="A1412" s="41" t="s">
        <v>181</v>
      </c>
      <c r="B1412" s="1">
        <v>1</v>
      </c>
      <c r="C1412" s="8">
        <v>46134</v>
      </c>
      <c r="D1412" s="1" t="s">
        <v>1932</v>
      </c>
      <c r="E1412" s="7" t="s">
        <v>2</v>
      </c>
      <c r="F1412" s="1" t="s">
        <v>26</v>
      </c>
      <c r="G1412" s="9" t="s">
        <v>35</v>
      </c>
      <c r="H1412" s="7" t="s">
        <v>74</v>
      </c>
      <c r="I1412" s="18">
        <v>15001001</v>
      </c>
      <c r="J1412" s="10">
        <v>7443.69</v>
      </c>
      <c r="K1412" s="7" t="s">
        <v>12</v>
      </c>
      <c r="L1412" s="7" t="s">
        <v>53</v>
      </c>
      <c r="M1412" s="34">
        <v>46134</v>
      </c>
      <c r="N1412" s="7" t="s">
        <v>92</v>
      </c>
    </row>
    <row r="1413" spans="1:14" x14ac:dyDescent="0.25">
      <c r="A1413" s="41" t="s">
        <v>181</v>
      </c>
      <c r="B1413" s="1">
        <v>1</v>
      </c>
      <c r="C1413" s="8">
        <v>46134</v>
      </c>
      <c r="D1413" s="1" t="s">
        <v>1933</v>
      </c>
      <c r="E1413" s="7" t="s">
        <v>2</v>
      </c>
      <c r="F1413" s="1" t="s">
        <v>26</v>
      </c>
      <c r="G1413" s="9" t="s">
        <v>35</v>
      </c>
      <c r="H1413" s="7" t="s">
        <v>74</v>
      </c>
      <c r="I1413" s="18">
        <v>15000000</v>
      </c>
      <c r="J1413" s="10">
        <v>712.57</v>
      </c>
      <c r="K1413" s="7" t="s">
        <v>12</v>
      </c>
      <c r="L1413" s="7" t="s">
        <v>53</v>
      </c>
      <c r="M1413" s="34">
        <v>46134</v>
      </c>
      <c r="N1413" s="7" t="s">
        <v>92</v>
      </c>
    </row>
    <row r="1414" spans="1:14" x14ac:dyDescent="0.25">
      <c r="A1414" s="41" t="s">
        <v>181</v>
      </c>
      <c r="B1414" s="1">
        <v>1</v>
      </c>
      <c r="C1414" s="8">
        <v>46134</v>
      </c>
      <c r="D1414" s="1" t="s">
        <v>1934</v>
      </c>
      <c r="E1414" s="7" t="s">
        <v>2</v>
      </c>
      <c r="F1414" s="1" t="s">
        <v>26</v>
      </c>
      <c r="G1414" s="9" t="s">
        <v>35</v>
      </c>
      <c r="H1414" s="7" t="s">
        <v>581</v>
      </c>
      <c r="I1414" s="18">
        <v>15400000</v>
      </c>
      <c r="J1414" s="10">
        <v>33418.01</v>
      </c>
      <c r="K1414" s="7" t="s">
        <v>12</v>
      </c>
      <c r="L1414" s="7" t="s">
        <v>53</v>
      </c>
      <c r="M1414" s="34">
        <v>46134</v>
      </c>
      <c r="N1414" s="7" t="s">
        <v>92</v>
      </c>
    </row>
    <row r="1415" spans="1:14" x14ac:dyDescent="0.25">
      <c r="A1415" s="41" t="s">
        <v>629</v>
      </c>
      <c r="B1415" s="1">
        <v>2</v>
      </c>
      <c r="C1415" s="8">
        <v>46141</v>
      </c>
      <c r="D1415" s="1" t="s">
        <v>1936</v>
      </c>
      <c r="E1415" s="7" t="s">
        <v>2</v>
      </c>
      <c r="F1415" s="1" t="s">
        <v>26</v>
      </c>
      <c r="G1415" s="9" t="s">
        <v>35</v>
      </c>
      <c r="H1415" s="7">
        <v>81</v>
      </c>
      <c r="I1415" s="18">
        <v>15500000</v>
      </c>
      <c r="J1415" s="10">
        <v>49990</v>
      </c>
      <c r="K1415" s="7" t="s">
        <v>12</v>
      </c>
      <c r="L1415" s="7" t="s">
        <v>53</v>
      </c>
      <c r="M1415" s="34">
        <v>46142</v>
      </c>
      <c r="N1415" s="7" t="s">
        <v>774</v>
      </c>
    </row>
    <row r="1416" spans="1:14" x14ac:dyDescent="0.25">
      <c r="A1416" s="41" t="s">
        <v>1940</v>
      </c>
      <c r="B1416" s="1">
        <v>1</v>
      </c>
      <c r="C1416" s="8">
        <v>46135</v>
      </c>
      <c r="D1416" s="1" t="s">
        <v>1937</v>
      </c>
      <c r="E1416" s="7" t="s">
        <v>83</v>
      </c>
      <c r="F1416" s="1" t="s">
        <v>26</v>
      </c>
      <c r="G1416" s="9" t="s">
        <v>35</v>
      </c>
      <c r="H1416" s="7" t="s">
        <v>74</v>
      </c>
      <c r="I1416" s="18">
        <v>15000000</v>
      </c>
      <c r="J1416" s="10">
        <v>2228.2199999999998</v>
      </c>
      <c r="K1416" s="7" t="s">
        <v>12</v>
      </c>
      <c r="L1416" s="7" t="s">
        <v>53</v>
      </c>
      <c r="M1416" s="34">
        <v>46135</v>
      </c>
      <c r="N1416" s="7" t="s">
        <v>41</v>
      </c>
    </row>
    <row r="1417" spans="1:14" x14ac:dyDescent="0.25">
      <c r="A1417" s="41" t="s">
        <v>1939</v>
      </c>
      <c r="B1417" s="1">
        <v>1</v>
      </c>
      <c r="C1417" s="8">
        <v>46135</v>
      </c>
      <c r="D1417" s="1" t="s">
        <v>1938</v>
      </c>
      <c r="E1417" s="7" t="s">
        <v>83</v>
      </c>
      <c r="F1417" s="1" t="s">
        <v>26</v>
      </c>
      <c r="G1417" s="9" t="s">
        <v>35</v>
      </c>
      <c r="H1417" s="7" t="s">
        <v>74</v>
      </c>
      <c r="I1417" s="18">
        <v>15000000</v>
      </c>
      <c r="J1417" s="10">
        <v>2228.2199999999998</v>
      </c>
      <c r="K1417" s="7" t="s">
        <v>12</v>
      </c>
      <c r="L1417" s="7" t="s">
        <v>53</v>
      </c>
      <c r="M1417" s="34">
        <v>46135</v>
      </c>
      <c r="N1417" s="7" t="s">
        <v>41</v>
      </c>
    </row>
    <row r="1418" spans="1:14" x14ac:dyDescent="0.25">
      <c r="A1418" s="41" t="s">
        <v>616</v>
      </c>
      <c r="B1418" s="1">
        <v>1</v>
      </c>
      <c r="C1418" s="8">
        <v>46135</v>
      </c>
      <c r="D1418" s="1" t="s">
        <v>1941</v>
      </c>
      <c r="E1418" s="7" t="s">
        <v>14</v>
      </c>
      <c r="F1418" s="1" t="s">
        <v>26</v>
      </c>
      <c r="G1418" s="9" t="s">
        <v>35</v>
      </c>
      <c r="H1418" s="7">
        <v>1974</v>
      </c>
      <c r="I1418" s="18">
        <v>15000000</v>
      </c>
      <c r="J1418" s="10">
        <v>3900</v>
      </c>
      <c r="K1418" s="7" t="s">
        <v>12</v>
      </c>
      <c r="L1418" s="7" t="s">
        <v>53</v>
      </c>
      <c r="M1418" s="34">
        <v>46139</v>
      </c>
      <c r="N1418" s="7" t="s">
        <v>774</v>
      </c>
    </row>
    <row r="1419" spans="1:14" x14ac:dyDescent="0.25">
      <c r="A1419" s="41" t="s">
        <v>1460</v>
      </c>
      <c r="B1419" s="1">
        <v>1</v>
      </c>
      <c r="C1419" s="8">
        <v>46135</v>
      </c>
      <c r="D1419" s="1" t="s">
        <v>1942</v>
      </c>
      <c r="E1419" s="7" t="s">
        <v>2</v>
      </c>
      <c r="F1419" s="1" t="s">
        <v>26</v>
      </c>
      <c r="G1419" s="9" t="s">
        <v>35</v>
      </c>
      <c r="H1419" s="7" t="s">
        <v>74</v>
      </c>
      <c r="I1419" s="18">
        <v>15000000</v>
      </c>
      <c r="J1419" s="10">
        <v>508.86</v>
      </c>
      <c r="K1419" s="7" t="s">
        <v>12</v>
      </c>
      <c r="L1419" s="7" t="s">
        <v>53</v>
      </c>
      <c r="M1419" s="34">
        <v>46139</v>
      </c>
      <c r="N1419" s="7" t="s">
        <v>774</v>
      </c>
    </row>
    <row r="1420" spans="1:14" x14ac:dyDescent="0.25">
      <c r="A1420" s="41" t="s">
        <v>181</v>
      </c>
      <c r="B1420" s="1">
        <v>1</v>
      </c>
      <c r="C1420" s="8">
        <v>46135</v>
      </c>
      <c r="D1420" s="1" t="s">
        <v>1943</v>
      </c>
      <c r="E1420" s="7" t="s">
        <v>14</v>
      </c>
      <c r="F1420" s="1" t="s">
        <v>26</v>
      </c>
      <c r="G1420" s="9" t="s">
        <v>35</v>
      </c>
      <c r="H1420" s="7" t="s">
        <v>74</v>
      </c>
      <c r="I1420" s="18">
        <v>15000000</v>
      </c>
      <c r="J1420" s="10">
        <v>52.44</v>
      </c>
      <c r="K1420" s="7" t="s">
        <v>12</v>
      </c>
      <c r="L1420" s="7" t="s">
        <v>53</v>
      </c>
      <c r="M1420" s="34">
        <v>46136</v>
      </c>
      <c r="N1420" s="7" t="s">
        <v>774</v>
      </c>
    </row>
    <row r="1421" spans="1:14" x14ac:dyDescent="0.25">
      <c r="A1421" s="41" t="s">
        <v>1393</v>
      </c>
      <c r="B1421" s="1">
        <v>1</v>
      </c>
      <c r="C1421" s="8">
        <v>46135</v>
      </c>
      <c r="D1421" s="1" t="s">
        <v>1944</v>
      </c>
      <c r="E1421" s="7" t="s">
        <v>13</v>
      </c>
      <c r="F1421" s="1" t="s">
        <v>26</v>
      </c>
      <c r="G1421" s="9" t="s">
        <v>35</v>
      </c>
      <c r="H1421" s="7">
        <v>75</v>
      </c>
      <c r="I1421" s="18">
        <v>16000000</v>
      </c>
      <c r="J1421" s="10">
        <v>3230.68</v>
      </c>
      <c r="K1421" s="7" t="s">
        <v>13</v>
      </c>
      <c r="L1421" s="7" t="s">
        <v>54</v>
      </c>
      <c r="M1421" s="34">
        <v>46140</v>
      </c>
      <c r="N1421" s="7" t="s">
        <v>774</v>
      </c>
    </row>
    <row r="1422" spans="1:14" x14ac:dyDescent="0.25">
      <c r="A1422" s="41" t="s">
        <v>1946</v>
      </c>
      <c r="B1422" s="1">
        <v>1</v>
      </c>
      <c r="C1422" s="8">
        <v>46135</v>
      </c>
      <c r="D1422" s="1" t="s">
        <v>1945</v>
      </c>
      <c r="E1422" s="7" t="s">
        <v>13</v>
      </c>
      <c r="F1422" s="1" t="s">
        <v>26</v>
      </c>
      <c r="G1422" s="9" t="s">
        <v>35</v>
      </c>
      <c r="H1422" s="7">
        <v>104550</v>
      </c>
      <c r="I1422" s="18">
        <v>15001002</v>
      </c>
      <c r="J1422" s="10">
        <v>28350</v>
      </c>
      <c r="K1422" s="7" t="s">
        <v>13</v>
      </c>
      <c r="L1422" s="7" t="s">
        <v>54</v>
      </c>
      <c r="M1422" s="34">
        <v>46142</v>
      </c>
      <c r="N1422" s="7" t="s">
        <v>41</v>
      </c>
    </row>
    <row r="1423" spans="1:14" x14ac:dyDescent="0.25">
      <c r="A1423" s="41" t="s">
        <v>252</v>
      </c>
      <c r="B1423" s="1">
        <v>2</v>
      </c>
      <c r="C1423" s="8">
        <v>46141</v>
      </c>
      <c r="D1423" s="1" t="s">
        <v>1947</v>
      </c>
      <c r="E1423" s="7" t="s">
        <v>13</v>
      </c>
      <c r="F1423" s="1" t="s">
        <v>26</v>
      </c>
      <c r="G1423" s="9" t="s">
        <v>35</v>
      </c>
      <c r="H1423" s="7">
        <v>1855</v>
      </c>
      <c r="I1423" s="18">
        <v>16000000</v>
      </c>
      <c r="J1423" s="10">
        <v>1390</v>
      </c>
      <c r="K1423" s="7" t="s">
        <v>13</v>
      </c>
      <c r="L1423" s="7" t="s">
        <v>54</v>
      </c>
      <c r="M1423" s="34">
        <v>46141</v>
      </c>
      <c r="N1423" s="7" t="s">
        <v>52</v>
      </c>
    </row>
    <row r="1424" spans="1:14" x14ac:dyDescent="0.25">
      <c r="A1424" s="41" t="s">
        <v>252</v>
      </c>
      <c r="B1424" s="1">
        <v>2</v>
      </c>
      <c r="C1424" s="8">
        <v>46142</v>
      </c>
      <c r="D1424" s="1" t="s">
        <v>1948</v>
      </c>
      <c r="E1424" s="7" t="s">
        <v>13</v>
      </c>
      <c r="F1424" s="1" t="s">
        <v>26</v>
      </c>
      <c r="G1424" s="9" t="s">
        <v>35</v>
      </c>
      <c r="H1424" s="7">
        <v>1855</v>
      </c>
      <c r="I1424" s="18">
        <v>15001002</v>
      </c>
      <c r="J1424" s="10">
        <v>11240</v>
      </c>
      <c r="K1424" s="7" t="s">
        <v>13</v>
      </c>
      <c r="L1424" s="7" t="s">
        <v>54</v>
      </c>
      <c r="M1424" s="34">
        <v>46146</v>
      </c>
      <c r="N1424" s="7" t="s">
        <v>52</v>
      </c>
    </row>
    <row r="1425" spans="1:15" x14ac:dyDescent="0.25">
      <c r="A1425" s="41" t="s">
        <v>1950</v>
      </c>
      <c r="B1425" s="1">
        <v>2</v>
      </c>
      <c r="C1425" s="8">
        <v>46136</v>
      </c>
      <c r="D1425" s="1" t="s">
        <v>1951</v>
      </c>
      <c r="E1425" s="7" t="s">
        <v>16</v>
      </c>
      <c r="F1425" s="1" t="s">
        <v>26</v>
      </c>
      <c r="G1425" s="9" t="s">
        <v>35</v>
      </c>
      <c r="H1425" s="7" t="s">
        <v>74</v>
      </c>
      <c r="I1425" s="18">
        <v>16600000</v>
      </c>
      <c r="J1425" s="10" t="s">
        <v>61</v>
      </c>
      <c r="K1425" s="7" t="s">
        <v>12</v>
      </c>
      <c r="L1425" s="7" t="s">
        <v>53</v>
      </c>
      <c r="M1425" s="34">
        <v>46136</v>
      </c>
      <c r="N1425" s="7" t="s">
        <v>41</v>
      </c>
      <c r="O1425" s="7" t="s">
        <v>1952</v>
      </c>
    </row>
    <row r="1426" spans="1:15" x14ac:dyDescent="0.25">
      <c r="A1426" s="41" t="s">
        <v>1955</v>
      </c>
      <c r="B1426" s="1">
        <v>1</v>
      </c>
      <c r="C1426" s="8">
        <v>46135</v>
      </c>
      <c r="D1426" s="1" t="s">
        <v>1954</v>
      </c>
      <c r="E1426" s="7" t="s">
        <v>11</v>
      </c>
      <c r="F1426" s="1" t="s">
        <v>26</v>
      </c>
      <c r="G1426" s="9" t="s">
        <v>37</v>
      </c>
      <c r="H1426" s="7" t="s">
        <v>74</v>
      </c>
      <c r="I1426" s="18" t="s">
        <v>0</v>
      </c>
      <c r="J1426" s="10" t="s">
        <v>61</v>
      </c>
      <c r="K1426" s="7" t="s">
        <v>22</v>
      </c>
      <c r="L1426" s="7" t="s">
        <v>55</v>
      </c>
      <c r="M1426" s="34">
        <v>46140</v>
      </c>
      <c r="N1426" s="7" t="s">
        <v>46</v>
      </c>
    </row>
    <row r="1427" spans="1:15" ht="30" x14ac:dyDescent="0.25">
      <c r="A1427" s="41" t="s">
        <v>1957</v>
      </c>
      <c r="B1427" s="1">
        <v>1</v>
      </c>
      <c r="C1427" s="8">
        <v>46135</v>
      </c>
      <c r="D1427" s="1" t="s">
        <v>1956</v>
      </c>
      <c r="E1427" s="7" t="s">
        <v>13</v>
      </c>
      <c r="F1427" s="1" t="s">
        <v>26</v>
      </c>
      <c r="G1427" s="9" t="s">
        <v>1949</v>
      </c>
      <c r="H1427" s="7" t="s">
        <v>74</v>
      </c>
      <c r="I1427" s="18" t="s">
        <v>0</v>
      </c>
      <c r="J1427" s="10" t="s">
        <v>61</v>
      </c>
      <c r="K1427" s="7" t="s">
        <v>13</v>
      </c>
      <c r="L1427" s="7" t="s">
        <v>40</v>
      </c>
      <c r="M1427" s="34">
        <v>46136</v>
      </c>
      <c r="N1427" s="7" t="s">
        <v>62</v>
      </c>
    </row>
    <row r="1428" spans="1:15" x14ac:dyDescent="0.25">
      <c r="A1428" s="41" t="s">
        <v>138</v>
      </c>
      <c r="B1428" s="1">
        <v>2</v>
      </c>
      <c r="C1428" s="8">
        <v>46150</v>
      </c>
      <c r="D1428" s="1" t="s">
        <v>1958</v>
      </c>
      <c r="E1428" s="7" t="s">
        <v>13</v>
      </c>
      <c r="F1428" s="1" t="s">
        <v>26</v>
      </c>
      <c r="G1428" s="9" t="s">
        <v>38</v>
      </c>
      <c r="H1428" s="7" t="s">
        <v>74</v>
      </c>
      <c r="I1428" s="18">
        <v>15001001</v>
      </c>
      <c r="J1428" s="10" t="s">
        <v>61</v>
      </c>
      <c r="K1428" s="7" t="s">
        <v>22</v>
      </c>
      <c r="L1428" s="7" t="s">
        <v>55</v>
      </c>
      <c r="M1428" s="34">
        <v>46140</v>
      </c>
      <c r="N1428" s="7" t="s">
        <v>91</v>
      </c>
    </row>
    <row r="1429" spans="1:15" x14ac:dyDescent="0.25">
      <c r="A1429" s="41" t="s">
        <v>169</v>
      </c>
      <c r="B1429" s="1">
        <v>2</v>
      </c>
      <c r="C1429" s="8">
        <v>46146</v>
      </c>
      <c r="D1429" s="1" t="s">
        <v>1959</v>
      </c>
      <c r="E1429" s="7" t="s">
        <v>13</v>
      </c>
      <c r="F1429" s="1" t="s">
        <v>26</v>
      </c>
      <c r="G1429" s="9" t="s">
        <v>38</v>
      </c>
      <c r="H1429" s="7" t="s">
        <v>74</v>
      </c>
      <c r="I1429" s="18">
        <v>15001001</v>
      </c>
      <c r="J1429" s="10" t="s">
        <v>61</v>
      </c>
      <c r="K1429" s="7" t="s">
        <v>22</v>
      </c>
      <c r="L1429" s="7" t="s">
        <v>55</v>
      </c>
      <c r="M1429" s="34">
        <v>46146</v>
      </c>
      <c r="N1429" s="7" t="s">
        <v>91</v>
      </c>
    </row>
    <row r="1430" spans="1:15" ht="30" x14ac:dyDescent="0.25">
      <c r="A1430" s="41" t="s">
        <v>1960</v>
      </c>
      <c r="B1430" s="1">
        <v>1</v>
      </c>
      <c r="C1430" s="8">
        <v>46135</v>
      </c>
      <c r="D1430" s="1" t="s">
        <v>720</v>
      </c>
      <c r="E1430" s="7" t="s">
        <v>14</v>
      </c>
      <c r="F1430" s="1" t="s">
        <v>26</v>
      </c>
      <c r="G1430" s="9" t="s">
        <v>47</v>
      </c>
      <c r="H1430" s="7" t="s">
        <v>74</v>
      </c>
      <c r="I1430" s="18" t="s">
        <v>0</v>
      </c>
      <c r="J1430" s="10" t="s">
        <v>61</v>
      </c>
      <c r="K1430" s="7" t="s">
        <v>22</v>
      </c>
      <c r="L1430" s="7" t="s">
        <v>40</v>
      </c>
      <c r="M1430" s="34">
        <v>46146</v>
      </c>
      <c r="N1430" s="7" t="s">
        <v>46</v>
      </c>
    </row>
    <row r="1431" spans="1:15" x14ac:dyDescent="0.25">
      <c r="A1431" s="41" t="s">
        <v>479</v>
      </c>
      <c r="B1431" s="1">
        <v>2</v>
      </c>
      <c r="C1431" s="8">
        <v>46141</v>
      </c>
      <c r="D1431" s="1" t="s">
        <v>1961</v>
      </c>
      <c r="E1431" s="7" t="s">
        <v>11</v>
      </c>
      <c r="F1431" s="1" t="s">
        <v>26</v>
      </c>
      <c r="G1431" s="9" t="s">
        <v>35</v>
      </c>
      <c r="H1431" s="7">
        <v>163</v>
      </c>
      <c r="I1431" s="18">
        <v>15000000</v>
      </c>
      <c r="J1431" s="10">
        <v>23881</v>
      </c>
      <c r="K1431" s="7" t="s">
        <v>12</v>
      </c>
      <c r="L1431" s="7" t="s">
        <v>53</v>
      </c>
      <c r="M1431" s="34">
        <v>46147</v>
      </c>
      <c r="N1431" s="7" t="s">
        <v>41</v>
      </c>
    </row>
    <row r="1432" spans="1:15" x14ac:dyDescent="0.25">
      <c r="A1432" s="41" t="s">
        <v>1962</v>
      </c>
      <c r="B1432" s="1">
        <v>1</v>
      </c>
      <c r="C1432" s="8">
        <v>46135</v>
      </c>
      <c r="D1432" s="1" t="s">
        <v>1963</v>
      </c>
      <c r="E1432" s="7" t="s">
        <v>2</v>
      </c>
      <c r="F1432" s="1" t="s">
        <v>26</v>
      </c>
      <c r="G1432" s="9" t="s">
        <v>35</v>
      </c>
      <c r="H1432" s="7">
        <v>637</v>
      </c>
      <c r="I1432" s="18">
        <v>15001001</v>
      </c>
      <c r="J1432" s="10">
        <v>22802.639999999999</v>
      </c>
      <c r="K1432" s="7" t="s">
        <v>12</v>
      </c>
      <c r="L1432" s="7" t="s">
        <v>53</v>
      </c>
      <c r="M1432" s="34">
        <v>46140</v>
      </c>
      <c r="N1432" s="7" t="s">
        <v>91</v>
      </c>
    </row>
    <row r="1433" spans="1:15" x14ac:dyDescent="0.25">
      <c r="A1433" s="41" t="s">
        <v>1962</v>
      </c>
      <c r="B1433" s="1">
        <v>1</v>
      </c>
      <c r="C1433" s="8">
        <v>46135</v>
      </c>
      <c r="D1433" s="1" t="s">
        <v>1964</v>
      </c>
      <c r="E1433" s="7" t="s">
        <v>2</v>
      </c>
      <c r="F1433" s="1" t="s">
        <v>26</v>
      </c>
      <c r="G1433" s="9" t="s">
        <v>35</v>
      </c>
      <c r="H1433" s="7">
        <v>636</v>
      </c>
      <c r="I1433" s="18">
        <v>15420000</v>
      </c>
      <c r="J1433" s="10">
        <v>78387.64</v>
      </c>
      <c r="K1433" s="7" t="s">
        <v>12</v>
      </c>
      <c r="L1433" s="7" t="s">
        <v>53</v>
      </c>
      <c r="M1433" s="34">
        <v>46140</v>
      </c>
      <c r="N1433" s="7" t="s">
        <v>91</v>
      </c>
    </row>
    <row r="1434" spans="1:15" x14ac:dyDescent="0.25">
      <c r="A1434" s="41" t="s">
        <v>479</v>
      </c>
      <c r="B1434" s="1">
        <v>2</v>
      </c>
      <c r="C1434" s="8">
        <v>46141</v>
      </c>
      <c r="D1434" s="1" t="s">
        <v>1965</v>
      </c>
      <c r="E1434" s="7" t="s">
        <v>11</v>
      </c>
      <c r="F1434" s="1" t="s">
        <v>26</v>
      </c>
      <c r="G1434" s="9" t="s">
        <v>35</v>
      </c>
      <c r="H1434" s="7">
        <v>167</v>
      </c>
      <c r="I1434" s="18">
        <v>15000000</v>
      </c>
      <c r="J1434" s="10">
        <v>39946.9</v>
      </c>
      <c r="K1434" s="7" t="s">
        <v>12</v>
      </c>
      <c r="L1434" s="7" t="s">
        <v>53</v>
      </c>
      <c r="M1434" s="34">
        <v>46147</v>
      </c>
      <c r="N1434" s="7" t="s">
        <v>774</v>
      </c>
    </row>
    <row r="1435" spans="1:15" x14ac:dyDescent="0.25">
      <c r="A1435" s="41" t="s">
        <v>355</v>
      </c>
      <c r="B1435" s="1">
        <v>2</v>
      </c>
      <c r="C1435" s="8">
        <v>46149</v>
      </c>
      <c r="D1435" s="1" t="s">
        <v>1966</v>
      </c>
      <c r="E1435" s="7" t="s">
        <v>2</v>
      </c>
      <c r="F1435" s="1" t="s">
        <v>26</v>
      </c>
      <c r="G1435" s="9" t="s">
        <v>63</v>
      </c>
      <c r="H1435" s="7" t="s">
        <v>74</v>
      </c>
      <c r="I1435" s="18" t="s">
        <v>0</v>
      </c>
      <c r="J1435" s="10" t="s">
        <v>61</v>
      </c>
      <c r="K1435" s="7" t="s">
        <v>17</v>
      </c>
      <c r="L1435" s="7" t="s">
        <v>55</v>
      </c>
      <c r="M1435" s="34">
        <v>46150</v>
      </c>
      <c r="N1435" s="7" t="s">
        <v>91</v>
      </c>
    </row>
    <row r="1436" spans="1:15" x14ac:dyDescent="0.25">
      <c r="A1436" s="41" t="s">
        <v>435</v>
      </c>
      <c r="B1436" s="1">
        <v>1</v>
      </c>
      <c r="C1436" s="8">
        <v>46136</v>
      </c>
      <c r="D1436" s="1" t="s">
        <v>1967</v>
      </c>
      <c r="E1436" s="7" t="s">
        <v>14</v>
      </c>
      <c r="F1436" s="1" t="s">
        <v>26</v>
      </c>
      <c r="G1436" s="9" t="s">
        <v>35</v>
      </c>
      <c r="H1436" s="7">
        <v>2854367</v>
      </c>
      <c r="I1436" s="18">
        <v>15000000</v>
      </c>
      <c r="J1436" s="10">
        <v>250015.9</v>
      </c>
      <c r="K1436" s="7" t="s">
        <v>12</v>
      </c>
      <c r="L1436" s="7" t="s">
        <v>53</v>
      </c>
      <c r="M1436" s="34">
        <v>46142</v>
      </c>
      <c r="N1436" s="7" t="s">
        <v>41</v>
      </c>
    </row>
    <row r="1437" spans="1:15" x14ac:dyDescent="0.25">
      <c r="A1437" s="41" t="s">
        <v>265</v>
      </c>
      <c r="B1437" s="1">
        <v>2</v>
      </c>
      <c r="C1437" s="8">
        <v>46136</v>
      </c>
      <c r="D1437" s="1" t="s">
        <v>1968</v>
      </c>
      <c r="E1437" s="7" t="s">
        <v>13</v>
      </c>
      <c r="F1437" s="1" t="s">
        <v>26</v>
      </c>
      <c r="G1437" s="9" t="s">
        <v>35</v>
      </c>
      <c r="H1437" s="7" t="s">
        <v>74</v>
      </c>
      <c r="I1437" s="18">
        <v>15001002</v>
      </c>
      <c r="J1437" s="10">
        <v>439</v>
      </c>
      <c r="K1437" s="7" t="s">
        <v>13</v>
      </c>
      <c r="L1437" s="7" t="s">
        <v>54</v>
      </c>
      <c r="M1437" s="34">
        <v>46141</v>
      </c>
      <c r="N1437" s="7" t="s">
        <v>91</v>
      </c>
    </row>
    <row r="1438" spans="1:15" x14ac:dyDescent="0.25">
      <c r="A1438" s="41" t="s">
        <v>1856</v>
      </c>
      <c r="B1438" s="1">
        <v>1</v>
      </c>
      <c r="C1438" s="8">
        <v>46136</v>
      </c>
      <c r="D1438" s="1" t="s">
        <v>1969</v>
      </c>
      <c r="E1438" s="7" t="s">
        <v>13</v>
      </c>
      <c r="F1438" s="1" t="s">
        <v>26</v>
      </c>
      <c r="G1438" s="9" t="s">
        <v>35</v>
      </c>
      <c r="H1438" s="7">
        <v>2131624</v>
      </c>
      <c r="I1438" s="18">
        <v>16000000</v>
      </c>
      <c r="J1438" s="12">
        <v>2440</v>
      </c>
      <c r="K1438" s="7" t="s">
        <v>13</v>
      </c>
      <c r="L1438" s="7" t="s">
        <v>54</v>
      </c>
      <c r="M1438" s="34">
        <v>46140</v>
      </c>
      <c r="N1438" s="8" t="s">
        <v>91</v>
      </c>
    </row>
    <row r="1439" spans="1:15" x14ac:dyDescent="0.25">
      <c r="A1439" s="41" t="s">
        <v>232</v>
      </c>
      <c r="B1439" s="1">
        <v>1</v>
      </c>
      <c r="C1439" s="8">
        <v>46136</v>
      </c>
      <c r="D1439" s="1" t="s">
        <v>1970</v>
      </c>
      <c r="E1439" s="7" t="s">
        <v>13</v>
      </c>
      <c r="F1439" s="1" t="s">
        <v>26</v>
      </c>
      <c r="G1439" s="9" t="s">
        <v>35</v>
      </c>
      <c r="H1439" s="7">
        <v>532366</v>
      </c>
      <c r="I1439" s="18">
        <v>15001002</v>
      </c>
      <c r="J1439" s="10">
        <v>2651</v>
      </c>
      <c r="K1439" s="7" t="s">
        <v>13</v>
      </c>
      <c r="L1439" s="7" t="s">
        <v>54</v>
      </c>
      <c r="M1439" s="34">
        <v>46140</v>
      </c>
      <c r="N1439" s="8" t="s">
        <v>91</v>
      </c>
    </row>
    <row r="1440" spans="1:15" x14ac:dyDescent="0.25">
      <c r="A1440" s="41" t="s">
        <v>1971</v>
      </c>
      <c r="B1440" s="1">
        <v>2</v>
      </c>
      <c r="C1440" s="8">
        <v>46141</v>
      </c>
      <c r="D1440" s="1" t="s">
        <v>1972</v>
      </c>
      <c r="E1440" s="7" t="s">
        <v>13</v>
      </c>
      <c r="F1440" s="1" t="s">
        <v>26</v>
      </c>
      <c r="G1440" s="9" t="s">
        <v>35</v>
      </c>
      <c r="H1440" s="7">
        <v>339292</v>
      </c>
      <c r="I1440" s="18">
        <v>16000000</v>
      </c>
      <c r="J1440" s="10">
        <v>7020</v>
      </c>
      <c r="K1440" s="7" t="s">
        <v>13</v>
      </c>
      <c r="L1440" s="7" t="s">
        <v>54</v>
      </c>
      <c r="M1440" s="34">
        <v>46146</v>
      </c>
      <c r="N1440" s="8" t="s">
        <v>92</v>
      </c>
    </row>
    <row r="1441" spans="1:14" x14ac:dyDescent="0.25">
      <c r="A1441" s="41" t="s">
        <v>1971</v>
      </c>
      <c r="B1441" s="1">
        <v>2</v>
      </c>
      <c r="C1441" s="8">
        <v>46141</v>
      </c>
      <c r="D1441" s="1" t="s">
        <v>1973</v>
      </c>
      <c r="E1441" s="7" t="s">
        <v>13</v>
      </c>
      <c r="F1441" s="1" t="s">
        <v>26</v>
      </c>
      <c r="G1441" s="9" t="s">
        <v>35</v>
      </c>
      <c r="H1441" s="7">
        <v>339285</v>
      </c>
      <c r="I1441" s="18">
        <v>16210000</v>
      </c>
      <c r="J1441" s="10">
        <v>5000</v>
      </c>
      <c r="K1441" s="7" t="s">
        <v>13</v>
      </c>
      <c r="L1441" s="7" t="s">
        <v>54</v>
      </c>
      <c r="M1441" s="34">
        <v>46146</v>
      </c>
      <c r="N1441" s="8" t="s">
        <v>92</v>
      </c>
    </row>
    <row r="1442" spans="1:14" x14ac:dyDescent="0.25">
      <c r="A1442" s="41" t="s">
        <v>1971</v>
      </c>
      <c r="B1442" s="1">
        <v>1</v>
      </c>
      <c r="C1442" s="8">
        <v>46136</v>
      </c>
      <c r="D1442" s="1" t="s">
        <v>1974</v>
      </c>
      <c r="E1442" s="7" t="s">
        <v>13</v>
      </c>
      <c r="F1442" s="1" t="s">
        <v>26</v>
      </c>
      <c r="G1442" s="9" t="s">
        <v>35</v>
      </c>
      <c r="H1442" s="7">
        <v>339326</v>
      </c>
      <c r="I1442" s="18">
        <v>16000000</v>
      </c>
      <c r="J1442" s="10">
        <v>1200</v>
      </c>
      <c r="K1442" s="7" t="s">
        <v>13</v>
      </c>
      <c r="L1442" s="7" t="s">
        <v>40</v>
      </c>
      <c r="M1442" s="34">
        <v>46140</v>
      </c>
      <c r="N1442" s="8" t="s">
        <v>92</v>
      </c>
    </row>
    <row r="1443" spans="1:14" x14ac:dyDescent="0.25">
      <c r="A1443" s="41" t="s">
        <v>1976</v>
      </c>
      <c r="B1443" s="1">
        <v>2</v>
      </c>
      <c r="C1443" s="8">
        <v>46141</v>
      </c>
      <c r="D1443" s="1" t="s">
        <v>1975</v>
      </c>
      <c r="E1443" s="7" t="s">
        <v>83</v>
      </c>
      <c r="F1443" s="1" t="s">
        <v>26</v>
      </c>
      <c r="G1443" s="9" t="s">
        <v>35</v>
      </c>
      <c r="H1443" s="7" t="s">
        <v>74</v>
      </c>
      <c r="I1443" s="18">
        <v>15000000</v>
      </c>
      <c r="J1443" s="10">
        <v>33500</v>
      </c>
      <c r="K1443" s="7" t="s">
        <v>12</v>
      </c>
      <c r="L1443" s="7" t="s">
        <v>53</v>
      </c>
      <c r="M1443" s="34">
        <v>46142</v>
      </c>
      <c r="N1443" s="7" t="s">
        <v>41</v>
      </c>
    </row>
    <row r="1444" spans="1:14" x14ac:dyDescent="0.25">
      <c r="A1444" s="41" t="s">
        <v>1976</v>
      </c>
      <c r="B1444" s="1">
        <v>2</v>
      </c>
      <c r="C1444" s="8">
        <v>46141</v>
      </c>
      <c r="D1444" s="1" t="s">
        <v>1977</v>
      </c>
      <c r="E1444" s="7" t="s">
        <v>83</v>
      </c>
      <c r="F1444" s="1" t="s">
        <v>26</v>
      </c>
      <c r="G1444" s="9" t="s">
        <v>35</v>
      </c>
      <c r="H1444" s="7" t="s">
        <v>74</v>
      </c>
      <c r="I1444" s="18">
        <v>15000000</v>
      </c>
      <c r="J1444" s="10">
        <v>41134.9</v>
      </c>
      <c r="K1444" s="7" t="s">
        <v>12</v>
      </c>
      <c r="L1444" s="7" t="s">
        <v>53</v>
      </c>
      <c r="M1444" s="34">
        <v>46142</v>
      </c>
      <c r="N1444" s="7" t="s">
        <v>41</v>
      </c>
    </row>
    <row r="1445" spans="1:14" x14ac:dyDescent="0.25">
      <c r="A1445" s="41" t="s">
        <v>982</v>
      </c>
      <c r="B1445" s="1">
        <v>2</v>
      </c>
      <c r="C1445" s="8">
        <v>46153</v>
      </c>
      <c r="D1445" s="1" t="s">
        <v>1980</v>
      </c>
      <c r="E1445" s="7" t="s">
        <v>2</v>
      </c>
      <c r="F1445" s="1" t="s">
        <v>26</v>
      </c>
      <c r="G1445" s="9" t="s">
        <v>63</v>
      </c>
      <c r="H1445" s="7" t="s">
        <v>74</v>
      </c>
      <c r="I1445" s="18">
        <v>15000000</v>
      </c>
      <c r="J1445" s="10" t="s">
        <v>61</v>
      </c>
      <c r="K1445" s="7" t="s">
        <v>17</v>
      </c>
      <c r="L1445" s="7" t="s">
        <v>55</v>
      </c>
      <c r="M1445" s="34">
        <v>46153</v>
      </c>
      <c r="N1445" s="7" t="s">
        <v>91</v>
      </c>
    </row>
    <row r="1446" spans="1:14" x14ac:dyDescent="0.25">
      <c r="A1446" s="41" t="s">
        <v>467</v>
      </c>
      <c r="B1446" s="1">
        <v>2</v>
      </c>
      <c r="C1446" s="8">
        <v>46147</v>
      </c>
      <c r="D1446" s="1" t="s">
        <v>1981</v>
      </c>
      <c r="E1446" s="7" t="s">
        <v>11</v>
      </c>
      <c r="F1446" s="1" t="s">
        <v>26</v>
      </c>
      <c r="G1446" s="9" t="s">
        <v>63</v>
      </c>
      <c r="H1446" s="7" t="s">
        <v>74</v>
      </c>
      <c r="I1446" s="18">
        <v>15000000</v>
      </c>
      <c r="J1446" s="10" t="s">
        <v>61</v>
      </c>
      <c r="K1446" s="7" t="s">
        <v>17</v>
      </c>
      <c r="L1446" s="7" t="s">
        <v>55</v>
      </c>
      <c r="M1446" s="34">
        <v>46148</v>
      </c>
      <c r="N1446" s="7" t="s">
        <v>91</v>
      </c>
    </row>
    <row r="1447" spans="1:14" x14ac:dyDescent="0.25">
      <c r="A1447" s="41" t="s">
        <v>1188</v>
      </c>
      <c r="B1447" s="1">
        <v>2</v>
      </c>
      <c r="C1447" s="8">
        <v>46147</v>
      </c>
      <c r="D1447" s="1" t="s">
        <v>1982</v>
      </c>
      <c r="E1447" s="7" t="s">
        <v>14</v>
      </c>
      <c r="F1447" s="1" t="s">
        <v>26</v>
      </c>
      <c r="G1447" s="9" t="s">
        <v>63</v>
      </c>
      <c r="H1447" s="7" t="s">
        <v>74</v>
      </c>
      <c r="I1447" s="18" t="s">
        <v>0</v>
      </c>
      <c r="J1447" s="10" t="s">
        <v>61</v>
      </c>
      <c r="K1447" s="7" t="s">
        <v>17</v>
      </c>
      <c r="L1447" s="7" t="s">
        <v>55</v>
      </c>
      <c r="M1447" s="34">
        <v>46148</v>
      </c>
      <c r="N1447" s="7" t="s">
        <v>91</v>
      </c>
    </row>
    <row r="1448" spans="1:14" x14ac:dyDescent="0.25">
      <c r="A1448" s="41" t="s">
        <v>1984</v>
      </c>
      <c r="B1448" s="1">
        <v>2</v>
      </c>
      <c r="C1448" s="8">
        <v>46147</v>
      </c>
      <c r="D1448" s="1" t="s">
        <v>1983</v>
      </c>
      <c r="E1448" s="7" t="s">
        <v>2</v>
      </c>
      <c r="F1448" s="1" t="s">
        <v>26</v>
      </c>
      <c r="G1448" s="9" t="s">
        <v>63</v>
      </c>
      <c r="H1448" s="7" t="s">
        <v>74</v>
      </c>
      <c r="I1448" s="18" t="s">
        <v>0</v>
      </c>
      <c r="J1448" s="10" t="s">
        <v>61</v>
      </c>
      <c r="K1448" s="7" t="s">
        <v>17</v>
      </c>
      <c r="L1448" s="7" t="s">
        <v>55</v>
      </c>
      <c r="M1448" s="34">
        <v>46141</v>
      </c>
      <c r="N1448" s="7" t="s">
        <v>91</v>
      </c>
    </row>
    <row r="1449" spans="1:14" x14ac:dyDescent="0.25">
      <c r="A1449" s="41" t="s">
        <v>158</v>
      </c>
      <c r="B1449" s="1">
        <v>3</v>
      </c>
      <c r="C1449" s="8">
        <v>46141</v>
      </c>
      <c r="D1449" s="1" t="s">
        <v>1985</v>
      </c>
      <c r="E1449" s="7" t="s">
        <v>13</v>
      </c>
      <c r="F1449" s="1" t="s">
        <v>26</v>
      </c>
      <c r="G1449" s="9" t="s">
        <v>38</v>
      </c>
      <c r="H1449" s="7" t="s">
        <v>74</v>
      </c>
      <c r="I1449" s="18" t="s">
        <v>0</v>
      </c>
      <c r="J1449" s="10" t="s">
        <v>61</v>
      </c>
      <c r="K1449" s="7" t="s">
        <v>58</v>
      </c>
      <c r="L1449" s="7" t="s">
        <v>59</v>
      </c>
      <c r="M1449" s="34">
        <v>46140</v>
      </c>
      <c r="N1449" s="7" t="s">
        <v>91</v>
      </c>
    </row>
    <row r="1450" spans="1:14" x14ac:dyDescent="0.25">
      <c r="A1450" s="41" t="s">
        <v>213</v>
      </c>
      <c r="B1450" s="1">
        <v>2</v>
      </c>
      <c r="C1450" s="8">
        <v>46140</v>
      </c>
      <c r="D1450" s="1" t="s">
        <v>1986</v>
      </c>
      <c r="E1450" s="7" t="s">
        <v>13</v>
      </c>
      <c r="F1450" s="1" t="s">
        <v>26</v>
      </c>
      <c r="G1450" s="9" t="s">
        <v>35</v>
      </c>
      <c r="H1450" s="7" t="s">
        <v>74</v>
      </c>
      <c r="I1450" s="18" t="s">
        <v>0</v>
      </c>
      <c r="J1450" s="10" t="s">
        <v>61</v>
      </c>
      <c r="K1450" s="7" t="s">
        <v>22</v>
      </c>
      <c r="L1450" s="7" t="s">
        <v>55</v>
      </c>
      <c r="M1450" s="34">
        <v>46141</v>
      </c>
      <c r="N1450" s="7" t="s">
        <v>91</v>
      </c>
    </row>
    <row r="1451" spans="1:14" x14ac:dyDescent="0.25">
      <c r="A1451" s="41" t="s">
        <v>1987</v>
      </c>
      <c r="B1451" s="1">
        <v>2</v>
      </c>
      <c r="C1451" s="8">
        <v>46141</v>
      </c>
      <c r="D1451" s="1" t="s">
        <v>1988</v>
      </c>
      <c r="E1451" s="7" t="s">
        <v>13</v>
      </c>
      <c r="F1451" s="1" t="s">
        <v>26</v>
      </c>
      <c r="G1451" s="9" t="s">
        <v>35</v>
      </c>
      <c r="H1451" s="7">
        <v>1066656</v>
      </c>
      <c r="I1451" s="18">
        <v>16210000</v>
      </c>
      <c r="J1451" s="10">
        <v>6080</v>
      </c>
      <c r="K1451" s="7" t="s">
        <v>13</v>
      </c>
      <c r="L1451" s="7" t="s">
        <v>54</v>
      </c>
      <c r="M1451" s="34">
        <v>46146</v>
      </c>
      <c r="N1451" s="7" t="s">
        <v>92</v>
      </c>
    </row>
    <row r="1452" spans="1:14" x14ac:dyDescent="0.25">
      <c r="A1452" s="41" t="s">
        <v>227</v>
      </c>
      <c r="B1452" s="1">
        <v>3</v>
      </c>
      <c r="C1452" s="8">
        <v>46146</v>
      </c>
      <c r="D1452" s="1" t="s">
        <v>1989</v>
      </c>
      <c r="E1452" s="7" t="s">
        <v>14</v>
      </c>
      <c r="F1452" s="1" t="s">
        <v>26</v>
      </c>
      <c r="G1452" s="9" t="s">
        <v>35</v>
      </c>
      <c r="H1452" s="7">
        <v>1919</v>
      </c>
      <c r="I1452" s="18">
        <v>15000000</v>
      </c>
      <c r="J1452" s="10">
        <v>4452</v>
      </c>
      <c r="K1452" s="7" t="s">
        <v>12</v>
      </c>
      <c r="L1452" s="7" t="s">
        <v>53</v>
      </c>
      <c r="M1452" s="34">
        <v>46146</v>
      </c>
      <c r="N1452" s="7" t="s">
        <v>41</v>
      </c>
    </row>
    <row r="1453" spans="1:14" x14ac:dyDescent="0.25">
      <c r="A1453" s="41" t="s">
        <v>1425</v>
      </c>
      <c r="B1453" s="1">
        <v>2</v>
      </c>
      <c r="C1453" s="8">
        <v>46147</v>
      </c>
      <c r="D1453" s="1" t="s">
        <v>1990</v>
      </c>
      <c r="E1453" s="7" t="s">
        <v>13</v>
      </c>
      <c r="F1453" s="1" t="s">
        <v>26</v>
      </c>
      <c r="G1453" s="9" t="s">
        <v>35</v>
      </c>
      <c r="H1453" s="7">
        <v>17238</v>
      </c>
      <c r="I1453" s="18">
        <v>15001002</v>
      </c>
      <c r="J1453" s="10">
        <v>12276.34</v>
      </c>
      <c r="K1453" s="7" t="s">
        <v>13</v>
      </c>
      <c r="L1453" s="7" t="s">
        <v>54</v>
      </c>
      <c r="M1453" s="34">
        <v>46148</v>
      </c>
      <c r="N1453" s="7" t="s">
        <v>92</v>
      </c>
    </row>
    <row r="1454" spans="1:14" x14ac:dyDescent="0.25">
      <c r="A1454" s="41" t="s">
        <v>1992</v>
      </c>
      <c r="B1454" s="1">
        <v>2</v>
      </c>
      <c r="C1454" s="8">
        <v>46146</v>
      </c>
      <c r="D1454" s="1" t="s">
        <v>1991</v>
      </c>
      <c r="E1454" s="7" t="s">
        <v>13</v>
      </c>
      <c r="F1454" s="1" t="s">
        <v>26</v>
      </c>
      <c r="G1454" s="9" t="s">
        <v>35</v>
      </c>
      <c r="H1454" s="7">
        <v>97</v>
      </c>
      <c r="I1454" s="18">
        <v>15001002</v>
      </c>
      <c r="J1454" s="10">
        <v>5780</v>
      </c>
      <c r="K1454" s="7" t="s">
        <v>13</v>
      </c>
      <c r="L1454" s="7" t="s">
        <v>54</v>
      </c>
      <c r="M1454" s="34">
        <v>46148</v>
      </c>
      <c r="N1454" s="7" t="s">
        <v>92</v>
      </c>
    </row>
    <row r="1455" spans="1:14" x14ac:dyDescent="0.25">
      <c r="A1455" s="41" t="s">
        <v>1056</v>
      </c>
      <c r="B1455" s="1">
        <v>1</v>
      </c>
      <c r="C1455" s="8">
        <v>46136</v>
      </c>
      <c r="D1455" s="1" t="s">
        <v>1993</v>
      </c>
      <c r="E1455" s="7" t="s">
        <v>12</v>
      </c>
      <c r="F1455" s="1" t="s">
        <v>26</v>
      </c>
      <c r="G1455" s="9" t="s">
        <v>35</v>
      </c>
      <c r="H1455" s="7" t="s">
        <v>551</v>
      </c>
      <c r="I1455" s="18">
        <v>15000000</v>
      </c>
      <c r="J1455" s="10">
        <v>1603.93</v>
      </c>
      <c r="K1455" s="7" t="s">
        <v>12</v>
      </c>
      <c r="L1455" s="7" t="s">
        <v>53</v>
      </c>
      <c r="M1455" s="34">
        <v>46141</v>
      </c>
      <c r="N1455" s="7" t="s">
        <v>41</v>
      </c>
    </row>
    <row r="1456" spans="1:14" x14ac:dyDescent="0.25">
      <c r="A1456" s="41" t="s">
        <v>515</v>
      </c>
      <c r="B1456" s="1">
        <v>2</v>
      </c>
      <c r="C1456" s="8">
        <v>46142</v>
      </c>
      <c r="D1456" s="1" t="s">
        <v>1994</v>
      </c>
      <c r="E1456" s="7" t="s">
        <v>12</v>
      </c>
      <c r="F1456" s="1" t="s">
        <v>26</v>
      </c>
      <c r="G1456" s="9" t="s">
        <v>35</v>
      </c>
      <c r="H1456" s="7">
        <v>626</v>
      </c>
      <c r="I1456" s="18">
        <v>15000000</v>
      </c>
      <c r="J1456" s="10">
        <v>4229.7</v>
      </c>
      <c r="K1456" s="7" t="s">
        <v>12</v>
      </c>
      <c r="L1456" s="7" t="s">
        <v>53</v>
      </c>
      <c r="M1456" s="34">
        <v>46142</v>
      </c>
      <c r="N1456" s="7" t="s">
        <v>41</v>
      </c>
    </row>
    <row r="1457" spans="1:14" x14ac:dyDescent="0.25">
      <c r="A1457" s="41" t="s">
        <v>546</v>
      </c>
      <c r="B1457" s="1">
        <v>1</v>
      </c>
      <c r="C1457" s="8">
        <v>46136</v>
      </c>
      <c r="D1457" s="1" t="s">
        <v>1995</v>
      </c>
      <c r="E1457" s="7" t="s">
        <v>20</v>
      </c>
      <c r="F1457" s="1" t="s">
        <v>26</v>
      </c>
      <c r="G1457" s="9" t="s">
        <v>35</v>
      </c>
      <c r="H1457" s="7" t="s">
        <v>74</v>
      </c>
      <c r="I1457" s="18">
        <v>15000000</v>
      </c>
      <c r="J1457" s="10">
        <v>761698.37</v>
      </c>
      <c r="K1457" s="7" t="s">
        <v>12</v>
      </c>
      <c r="L1457" s="7" t="s">
        <v>53</v>
      </c>
      <c r="M1457" s="34">
        <v>46140</v>
      </c>
      <c r="N1457" s="7" t="s">
        <v>62</v>
      </c>
    </row>
    <row r="1458" spans="1:14" x14ac:dyDescent="0.25">
      <c r="A1458" s="41" t="s">
        <v>569</v>
      </c>
      <c r="B1458" s="1">
        <v>1</v>
      </c>
      <c r="C1458" s="8">
        <v>46136</v>
      </c>
      <c r="D1458" s="1" t="s">
        <v>1996</v>
      </c>
      <c r="E1458" s="7" t="s">
        <v>14</v>
      </c>
      <c r="F1458" s="1" t="s">
        <v>26</v>
      </c>
      <c r="G1458" s="9" t="s">
        <v>35</v>
      </c>
      <c r="H1458" s="7" t="s">
        <v>581</v>
      </c>
      <c r="I1458" s="18">
        <v>15000000</v>
      </c>
      <c r="J1458" s="10">
        <v>17769.47</v>
      </c>
      <c r="K1458" s="7" t="s">
        <v>12</v>
      </c>
      <c r="L1458" s="7" t="s">
        <v>53</v>
      </c>
      <c r="M1458" s="34">
        <v>46141</v>
      </c>
      <c r="N1458" s="7" t="s">
        <v>774</v>
      </c>
    </row>
    <row r="1459" spans="1:14" x14ac:dyDescent="0.25">
      <c r="A1459" s="41" t="s">
        <v>569</v>
      </c>
      <c r="B1459" s="1">
        <v>1</v>
      </c>
      <c r="C1459" s="8">
        <v>46136</v>
      </c>
      <c r="D1459" s="1" t="s">
        <v>1997</v>
      </c>
      <c r="E1459" s="7" t="s">
        <v>16</v>
      </c>
      <c r="F1459" s="1" t="s">
        <v>26</v>
      </c>
      <c r="G1459" s="9" t="s">
        <v>35</v>
      </c>
      <c r="H1459" s="7">
        <v>184608767</v>
      </c>
      <c r="I1459" s="18">
        <v>15010000</v>
      </c>
      <c r="J1459" s="10">
        <v>656.6</v>
      </c>
      <c r="K1459" s="7" t="s">
        <v>12</v>
      </c>
      <c r="L1459" s="7" t="s">
        <v>53</v>
      </c>
      <c r="M1459" s="34">
        <v>46146</v>
      </c>
      <c r="N1459" s="7" t="s">
        <v>774</v>
      </c>
    </row>
    <row r="1460" spans="1:14" x14ac:dyDescent="0.25">
      <c r="A1460" s="41" t="s">
        <v>569</v>
      </c>
      <c r="B1460" s="1">
        <v>1</v>
      </c>
      <c r="C1460" s="8">
        <v>46136</v>
      </c>
      <c r="D1460" s="1" t="s">
        <v>1998</v>
      </c>
      <c r="E1460" s="7" t="s">
        <v>16</v>
      </c>
      <c r="F1460" s="1" t="s">
        <v>26</v>
      </c>
      <c r="G1460" s="9" t="s">
        <v>35</v>
      </c>
      <c r="H1460" s="7">
        <v>73502960</v>
      </c>
      <c r="I1460" s="18">
        <v>15000000</v>
      </c>
      <c r="J1460" s="10">
        <v>225.82</v>
      </c>
      <c r="K1460" s="7" t="s">
        <v>12</v>
      </c>
      <c r="L1460" s="7" t="s">
        <v>53</v>
      </c>
      <c r="M1460" s="34">
        <v>46141</v>
      </c>
      <c r="N1460" s="7" t="s">
        <v>774</v>
      </c>
    </row>
    <row r="1461" spans="1:14" x14ac:dyDescent="0.25">
      <c r="A1461" s="41" t="s">
        <v>569</v>
      </c>
      <c r="B1461" s="1">
        <v>1</v>
      </c>
      <c r="C1461" s="8">
        <v>46136</v>
      </c>
      <c r="D1461" s="1" t="s">
        <v>1999</v>
      </c>
      <c r="E1461" s="7" t="s">
        <v>16</v>
      </c>
      <c r="F1461" s="1" t="s">
        <v>26</v>
      </c>
      <c r="G1461" s="9" t="s">
        <v>35</v>
      </c>
      <c r="H1461" s="7">
        <v>73506982</v>
      </c>
      <c r="I1461" s="18">
        <v>16610000</v>
      </c>
      <c r="J1461" s="10">
        <v>243.07</v>
      </c>
      <c r="K1461" s="7" t="s">
        <v>12</v>
      </c>
      <c r="L1461" s="7" t="s">
        <v>53</v>
      </c>
      <c r="M1461" s="34">
        <v>46141</v>
      </c>
      <c r="N1461" s="7" t="s">
        <v>774</v>
      </c>
    </row>
    <row r="1462" spans="1:14" x14ac:dyDescent="0.25">
      <c r="A1462" s="41" t="s">
        <v>569</v>
      </c>
      <c r="B1462" s="1">
        <v>1</v>
      </c>
      <c r="C1462" s="8">
        <v>46136</v>
      </c>
      <c r="D1462" s="1" t="s">
        <v>2000</v>
      </c>
      <c r="E1462" s="7" t="s">
        <v>16</v>
      </c>
      <c r="F1462" s="1" t="s">
        <v>26</v>
      </c>
      <c r="G1462" s="9" t="s">
        <v>35</v>
      </c>
      <c r="H1462" s="7">
        <v>73506311</v>
      </c>
      <c r="I1462" s="18">
        <v>16600000</v>
      </c>
      <c r="J1462" s="10">
        <v>234.45</v>
      </c>
      <c r="K1462" s="7" t="s">
        <v>12</v>
      </c>
      <c r="L1462" s="7" t="s">
        <v>53</v>
      </c>
      <c r="M1462" s="34">
        <v>46141</v>
      </c>
      <c r="N1462" s="7" t="s">
        <v>774</v>
      </c>
    </row>
    <row r="1463" spans="1:14" x14ac:dyDescent="0.25">
      <c r="A1463" s="41" t="s">
        <v>569</v>
      </c>
      <c r="B1463" s="1">
        <v>1</v>
      </c>
      <c r="C1463" s="8">
        <v>46136</v>
      </c>
      <c r="D1463" s="1" t="s">
        <v>2001</v>
      </c>
      <c r="E1463" s="7" t="s">
        <v>83</v>
      </c>
      <c r="F1463" s="1" t="s">
        <v>26</v>
      </c>
      <c r="G1463" s="9" t="s">
        <v>35</v>
      </c>
      <c r="H1463" s="7">
        <v>73460460</v>
      </c>
      <c r="I1463" s="18">
        <v>15000000</v>
      </c>
      <c r="J1463" s="10">
        <v>3351.2</v>
      </c>
      <c r="K1463" s="7" t="s">
        <v>12</v>
      </c>
      <c r="L1463" s="7" t="s">
        <v>53</v>
      </c>
      <c r="M1463" s="34">
        <v>46141</v>
      </c>
      <c r="N1463" s="7" t="s">
        <v>774</v>
      </c>
    </row>
    <row r="1464" spans="1:14" x14ac:dyDescent="0.25">
      <c r="A1464" s="41" t="s">
        <v>569</v>
      </c>
      <c r="B1464" s="1">
        <v>1</v>
      </c>
      <c r="C1464" s="8">
        <v>46136</v>
      </c>
      <c r="D1464" s="1" t="s">
        <v>2002</v>
      </c>
      <c r="E1464" s="7" t="s">
        <v>82</v>
      </c>
      <c r="F1464" s="1" t="s">
        <v>26</v>
      </c>
      <c r="G1464" s="9" t="s">
        <v>35</v>
      </c>
      <c r="H1464" s="7">
        <v>73604364</v>
      </c>
      <c r="I1464" s="18">
        <v>15000000</v>
      </c>
      <c r="J1464" s="10">
        <v>976.42</v>
      </c>
      <c r="K1464" s="7" t="s">
        <v>12</v>
      </c>
      <c r="L1464" s="7" t="s">
        <v>53</v>
      </c>
      <c r="M1464" s="34">
        <v>46141</v>
      </c>
      <c r="N1464" s="7" t="s">
        <v>774</v>
      </c>
    </row>
    <row r="1465" spans="1:14" x14ac:dyDescent="0.25">
      <c r="A1465" s="41" t="s">
        <v>435</v>
      </c>
      <c r="B1465" s="1">
        <v>2</v>
      </c>
      <c r="C1465" s="8">
        <v>46146</v>
      </c>
      <c r="D1465" s="1" t="s">
        <v>2003</v>
      </c>
      <c r="E1465" s="7" t="s">
        <v>16</v>
      </c>
      <c r="F1465" s="1" t="s">
        <v>26</v>
      </c>
      <c r="G1465" s="9" t="s">
        <v>35</v>
      </c>
      <c r="H1465" s="7" t="s">
        <v>581</v>
      </c>
      <c r="I1465" s="18">
        <v>16600000</v>
      </c>
      <c r="J1465" s="10">
        <v>7879.09</v>
      </c>
      <c r="K1465" s="7" t="s">
        <v>12</v>
      </c>
      <c r="L1465" s="7" t="s">
        <v>53</v>
      </c>
      <c r="M1465" s="34">
        <v>46146</v>
      </c>
      <c r="N1465" s="7" t="s">
        <v>41</v>
      </c>
    </row>
    <row r="1466" spans="1:14" x14ac:dyDescent="0.25">
      <c r="A1466" s="41" t="s">
        <v>435</v>
      </c>
      <c r="B1466" s="1">
        <v>2</v>
      </c>
      <c r="C1466" s="8">
        <v>46146</v>
      </c>
      <c r="D1466" s="1" t="s">
        <v>2004</v>
      </c>
      <c r="E1466" s="7" t="s">
        <v>16</v>
      </c>
      <c r="F1466" s="1" t="s">
        <v>26</v>
      </c>
      <c r="G1466" s="9" t="s">
        <v>35</v>
      </c>
      <c r="H1466" s="7">
        <v>2854398</v>
      </c>
      <c r="I1466" s="18">
        <v>15000000</v>
      </c>
      <c r="J1466" s="10">
        <v>7541.35</v>
      </c>
      <c r="K1466" s="7" t="s">
        <v>12</v>
      </c>
      <c r="L1466" s="7" t="s">
        <v>53</v>
      </c>
      <c r="M1466" s="34">
        <v>46146</v>
      </c>
      <c r="N1466" s="7" t="s">
        <v>91</v>
      </c>
    </row>
    <row r="1467" spans="1:14" x14ac:dyDescent="0.25">
      <c r="A1467" s="41" t="s">
        <v>435</v>
      </c>
      <c r="B1467" s="1">
        <v>2</v>
      </c>
      <c r="C1467" s="8">
        <v>46146</v>
      </c>
      <c r="D1467" s="1" t="s">
        <v>2005</v>
      </c>
      <c r="E1467" s="7" t="s">
        <v>16</v>
      </c>
      <c r="F1467" s="1" t="s">
        <v>26</v>
      </c>
      <c r="G1467" s="9" t="s">
        <v>35</v>
      </c>
      <c r="H1467" s="7">
        <v>2854401</v>
      </c>
      <c r="I1467" s="18">
        <v>15000000</v>
      </c>
      <c r="J1467" s="10">
        <v>820.86</v>
      </c>
      <c r="K1467" s="7" t="s">
        <v>12</v>
      </c>
      <c r="L1467" s="7" t="s">
        <v>53</v>
      </c>
      <c r="M1467" s="34">
        <v>46146</v>
      </c>
      <c r="N1467" s="7" t="s">
        <v>91</v>
      </c>
    </row>
    <row r="1468" spans="1:14" x14ac:dyDescent="0.25">
      <c r="A1468" s="41" t="s">
        <v>435</v>
      </c>
      <c r="B1468" s="1">
        <v>2</v>
      </c>
      <c r="C1468" s="8">
        <v>46146</v>
      </c>
      <c r="D1468" s="1" t="s">
        <v>2006</v>
      </c>
      <c r="E1468" s="7" t="s">
        <v>16</v>
      </c>
      <c r="F1468" s="1" t="s">
        <v>26</v>
      </c>
      <c r="G1468" s="9" t="s">
        <v>35</v>
      </c>
      <c r="H1468" s="7">
        <v>2854402</v>
      </c>
      <c r="I1468" s="18">
        <v>16610000</v>
      </c>
      <c r="J1468" s="10">
        <v>940.22</v>
      </c>
      <c r="K1468" s="7" t="s">
        <v>12</v>
      </c>
      <c r="L1468" s="7" t="s">
        <v>53</v>
      </c>
      <c r="M1468" s="34">
        <v>46146</v>
      </c>
      <c r="N1468" s="7" t="s">
        <v>91</v>
      </c>
    </row>
    <row r="1469" spans="1:14" x14ac:dyDescent="0.25">
      <c r="A1469" s="41" t="s">
        <v>435</v>
      </c>
      <c r="B1469" s="1">
        <v>2</v>
      </c>
      <c r="C1469" s="8">
        <v>46146</v>
      </c>
      <c r="D1469" s="1" t="s">
        <v>2007</v>
      </c>
      <c r="E1469" s="7" t="s">
        <v>16</v>
      </c>
      <c r="F1469" s="1" t="s">
        <v>26</v>
      </c>
      <c r="G1469" s="9" t="s">
        <v>35</v>
      </c>
      <c r="H1469" s="7">
        <v>2855094</v>
      </c>
      <c r="I1469" s="18">
        <v>16600000</v>
      </c>
      <c r="J1469" s="10">
        <v>456.17</v>
      </c>
      <c r="K1469" s="7" t="s">
        <v>12</v>
      </c>
      <c r="L1469" s="7" t="s">
        <v>53</v>
      </c>
      <c r="M1469" s="34">
        <v>46146</v>
      </c>
      <c r="N1469" s="7" t="s">
        <v>91</v>
      </c>
    </row>
    <row r="1470" spans="1:14" x14ac:dyDescent="0.25">
      <c r="A1470" s="41" t="s">
        <v>815</v>
      </c>
      <c r="B1470" s="1">
        <v>2</v>
      </c>
      <c r="C1470" s="8">
        <v>46141</v>
      </c>
      <c r="D1470" s="1" t="s">
        <v>2008</v>
      </c>
      <c r="E1470" s="7" t="s">
        <v>2</v>
      </c>
      <c r="F1470" s="1" t="s">
        <v>26</v>
      </c>
      <c r="G1470" s="9" t="s">
        <v>35</v>
      </c>
      <c r="H1470" s="7">
        <v>1431</v>
      </c>
      <c r="I1470" s="18">
        <v>15001001</v>
      </c>
      <c r="J1470" s="10">
        <v>17351.64</v>
      </c>
      <c r="K1470" s="7" t="s">
        <v>12</v>
      </c>
      <c r="L1470" s="7" t="s">
        <v>53</v>
      </c>
      <c r="M1470" s="34">
        <v>46141</v>
      </c>
      <c r="N1470" s="7" t="s">
        <v>41</v>
      </c>
    </row>
    <row r="1471" spans="1:14" x14ac:dyDescent="0.25">
      <c r="A1471" s="41" t="s">
        <v>1253</v>
      </c>
      <c r="B1471" s="1">
        <v>1</v>
      </c>
      <c r="C1471" s="8">
        <v>46136</v>
      </c>
      <c r="D1471" s="1" t="s">
        <v>2009</v>
      </c>
      <c r="E1471" s="7" t="s">
        <v>13</v>
      </c>
      <c r="F1471" s="1" t="s">
        <v>26</v>
      </c>
      <c r="G1471" s="9" t="s">
        <v>35</v>
      </c>
      <c r="H1471" s="7">
        <v>1910</v>
      </c>
      <c r="I1471" s="18">
        <v>26010000</v>
      </c>
      <c r="J1471" s="10">
        <v>224552.54</v>
      </c>
      <c r="K1471" s="7" t="s">
        <v>13</v>
      </c>
      <c r="L1471" s="7" t="s">
        <v>54</v>
      </c>
      <c r="M1471" s="34">
        <v>46142</v>
      </c>
      <c r="N1471" s="7" t="s">
        <v>91</v>
      </c>
    </row>
    <row r="1472" spans="1:14" x14ac:dyDescent="0.25">
      <c r="A1472" s="41" t="s">
        <v>907</v>
      </c>
      <c r="B1472" s="1">
        <v>1</v>
      </c>
      <c r="C1472" s="8">
        <v>46139</v>
      </c>
      <c r="D1472" s="1" t="s">
        <v>2010</v>
      </c>
      <c r="E1472" s="7" t="s">
        <v>2</v>
      </c>
      <c r="F1472" s="1" t="s">
        <v>26</v>
      </c>
      <c r="G1472" s="9" t="s">
        <v>35</v>
      </c>
      <c r="H1472" s="7">
        <v>5631</v>
      </c>
      <c r="I1472" s="18">
        <v>15500000</v>
      </c>
      <c r="J1472" s="10">
        <v>31946.07</v>
      </c>
      <c r="K1472" s="7" t="s">
        <v>12</v>
      </c>
      <c r="L1472" s="7" t="s">
        <v>53</v>
      </c>
      <c r="M1472" s="34">
        <v>46141</v>
      </c>
      <c r="N1472" s="7" t="s">
        <v>91</v>
      </c>
    </row>
    <row r="1473" spans="1:15" x14ac:dyDescent="0.25">
      <c r="A1473" s="41" t="s">
        <v>2011</v>
      </c>
      <c r="B1473" s="1">
        <v>2</v>
      </c>
      <c r="C1473" s="8">
        <v>46140</v>
      </c>
      <c r="D1473" s="1" t="s">
        <v>2012</v>
      </c>
      <c r="E1473" s="7" t="s">
        <v>83</v>
      </c>
      <c r="F1473" s="1" t="s">
        <v>26</v>
      </c>
      <c r="G1473" s="9" t="s">
        <v>68</v>
      </c>
      <c r="H1473" s="7" t="s">
        <v>74</v>
      </c>
      <c r="I1473" s="18" t="s">
        <v>0</v>
      </c>
      <c r="J1473" s="10" t="s">
        <v>61</v>
      </c>
      <c r="K1473" s="7" t="s">
        <v>58</v>
      </c>
      <c r="L1473" s="7" t="s">
        <v>59</v>
      </c>
      <c r="M1473" s="34">
        <v>46139</v>
      </c>
      <c r="N1473" s="7" t="s">
        <v>41</v>
      </c>
    </row>
    <row r="1474" spans="1:15" x14ac:dyDescent="0.25">
      <c r="A1474" s="41" t="s">
        <v>2013</v>
      </c>
      <c r="B1474" s="1">
        <v>2</v>
      </c>
      <c r="C1474" s="8">
        <v>46140</v>
      </c>
      <c r="D1474" s="1" t="s">
        <v>2014</v>
      </c>
      <c r="E1474" s="7" t="s">
        <v>83</v>
      </c>
      <c r="F1474" s="1" t="s">
        <v>26</v>
      </c>
      <c r="G1474" s="9" t="s">
        <v>68</v>
      </c>
      <c r="H1474" s="7" t="s">
        <v>74</v>
      </c>
      <c r="I1474" s="18" t="s">
        <v>0</v>
      </c>
      <c r="J1474" s="10" t="s">
        <v>61</v>
      </c>
      <c r="K1474" s="7" t="s">
        <v>58</v>
      </c>
      <c r="L1474" s="7" t="s">
        <v>59</v>
      </c>
      <c r="M1474" s="34">
        <v>46139</v>
      </c>
      <c r="N1474" s="7" t="s">
        <v>41</v>
      </c>
    </row>
    <row r="1475" spans="1:15" x14ac:dyDescent="0.25">
      <c r="A1475" s="41" t="s">
        <v>2016</v>
      </c>
      <c r="B1475" s="1">
        <v>2</v>
      </c>
      <c r="C1475" s="8">
        <v>46140</v>
      </c>
      <c r="D1475" s="1" t="s">
        <v>2015</v>
      </c>
      <c r="E1475" s="7" t="s">
        <v>83</v>
      </c>
      <c r="F1475" s="1" t="s">
        <v>26</v>
      </c>
      <c r="G1475" s="9" t="s">
        <v>68</v>
      </c>
      <c r="H1475" s="7" t="s">
        <v>74</v>
      </c>
      <c r="I1475" s="18" t="s">
        <v>0</v>
      </c>
      <c r="J1475" s="10" t="s">
        <v>61</v>
      </c>
      <c r="K1475" s="7" t="s">
        <v>58</v>
      </c>
      <c r="L1475" s="7" t="s">
        <v>59</v>
      </c>
      <c r="M1475" s="34">
        <v>46139</v>
      </c>
      <c r="N1475" s="7" t="s">
        <v>41</v>
      </c>
    </row>
    <row r="1476" spans="1:15" x14ac:dyDescent="0.25">
      <c r="A1476" s="41" t="s">
        <v>2017</v>
      </c>
      <c r="B1476" s="1">
        <v>1</v>
      </c>
      <c r="C1476" s="8">
        <v>46139</v>
      </c>
      <c r="D1476" s="1" t="s">
        <v>2018</v>
      </c>
      <c r="E1476" s="7" t="s">
        <v>16</v>
      </c>
      <c r="F1476" s="1" t="s">
        <v>26</v>
      </c>
      <c r="G1476" s="9" t="s">
        <v>35</v>
      </c>
      <c r="H1476" s="7" t="s">
        <v>74</v>
      </c>
      <c r="I1476" s="18">
        <v>15000000</v>
      </c>
      <c r="J1476" s="10">
        <v>125428.8</v>
      </c>
      <c r="K1476" s="7" t="s">
        <v>12</v>
      </c>
      <c r="L1476" s="7" t="s">
        <v>53</v>
      </c>
      <c r="M1476" s="34">
        <v>46142</v>
      </c>
      <c r="N1476" s="7" t="s">
        <v>41</v>
      </c>
    </row>
    <row r="1477" spans="1:15" x14ac:dyDescent="0.25">
      <c r="A1477" s="41" t="s">
        <v>603</v>
      </c>
      <c r="B1477" s="1">
        <v>1</v>
      </c>
      <c r="C1477" s="8">
        <v>46140</v>
      </c>
      <c r="D1477" s="1" t="s">
        <v>2032</v>
      </c>
      <c r="E1477" s="7" t="s">
        <v>14</v>
      </c>
      <c r="F1477" s="1" t="s">
        <v>26</v>
      </c>
      <c r="G1477" s="9" t="s">
        <v>35</v>
      </c>
      <c r="H1477" s="7">
        <v>281</v>
      </c>
      <c r="I1477" s="18">
        <v>15000000</v>
      </c>
      <c r="J1477" s="10">
        <v>12399.43</v>
      </c>
      <c r="K1477" s="7" t="s">
        <v>12</v>
      </c>
      <c r="L1477" s="7" t="s">
        <v>53</v>
      </c>
      <c r="M1477" s="34">
        <v>46140</v>
      </c>
      <c r="N1477" s="7" t="s">
        <v>92</v>
      </c>
    </row>
    <row r="1478" spans="1:15" x14ac:dyDescent="0.25">
      <c r="A1478" s="41" t="s">
        <v>1984</v>
      </c>
      <c r="B1478" s="1">
        <v>1</v>
      </c>
      <c r="C1478" s="8">
        <v>46139</v>
      </c>
      <c r="D1478" s="1" t="s">
        <v>2019</v>
      </c>
      <c r="E1478" s="7" t="s">
        <v>2</v>
      </c>
      <c r="F1478" s="1" t="s">
        <v>26</v>
      </c>
      <c r="G1478" s="9" t="s">
        <v>35</v>
      </c>
      <c r="H1478" s="7">
        <v>5484</v>
      </c>
      <c r="I1478" s="18">
        <v>15001001</v>
      </c>
      <c r="J1478" s="10">
        <v>24243.45</v>
      </c>
      <c r="K1478" s="7" t="s">
        <v>12</v>
      </c>
      <c r="L1478" s="7" t="s">
        <v>53</v>
      </c>
      <c r="M1478" s="34">
        <v>46141</v>
      </c>
      <c r="N1478" s="7" t="s">
        <v>41</v>
      </c>
    </row>
    <row r="1479" spans="1:15" x14ac:dyDescent="0.25">
      <c r="A1479" s="41" t="s">
        <v>2040</v>
      </c>
      <c r="B1479" s="1">
        <v>1</v>
      </c>
      <c r="C1479" s="8">
        <v>46141</v>
      </c>
      <c r="D1479" s="1" t="s">
        <v>2041</v>
      </c>
      <c r="E1479" s="7" t="s">
        <v>2</v>
      </c>
      <c r="F1479" s="1" t="s">
        <v>26</v>
      </c>
      <c r="G1479" s="9" t="s">
        <v>35</v>
      </c>
      <c r="H1479" s="7">
        <v>3275</v>
      </c>
      <c r="I1479" s="18">
        <v>15001001</v>
      </c>
      <c r="J1479" s="10">
        <v>61200</v>
      </c>
      <c r="K1479" s="7" t="s">
        <v>12</v>
      </c>
      <c r="L1479" s="7" t="s">
        <v>53</v>
      </c>
      <c r="M1479" s="34">
        <v>46141</v>
      </c>
      <c r="N1479" s="7" t="s">
        <v>91</v>
      </c>
    </row>
    <row r="1480" spans="1:15" ht="18" customHeight="1" x14ac:dyDescent="0.25">
      <c r="A1480" s="41" t="s">
        <v>1984</v>
      </c>
      <c r="B1480" s="1">
        <v>1</v>
      </c>
      <c r="C1480" s="8">
        <v>46139</v>
      </c>
      <c r="D1480" s="1" t="s">
        <v>2020</v>
      </c>
      <c r="E1480" s="7" t="s">
        <v>2</v>
      </c>
      <c r="F1480" s="1" t="s">
        <v>26</v>
      </c>
      <c r="G1480" s="9" t="s">
        <v>35</v>
      </c>
      <c r="H1480" s="7">
        <v>5984</v>
      </c>
      <c r="I1480" s="18">
        <v>15001001</v>
      </c>
      <c r="J1480" s="10">
        <v>22700.58</v>
      </c>
      <c r="K1480" s="7" t="s">
        <v>12</v>
      </c>
      <c r="L1480" s="7" t="s">
        <v>53</v>
      </c>
      <c r="M1480" s="34">
        <v>46141</v>
      </c>
      <c r="N1480" s="7" t="s">
        <v>41</v>
      </c>
    </row>
    <row r="1481" spans="1:15" x14ac:dyDescent="0.25">
      <c r="A1481" s="41" t="s">
        <v>1112</v>
      </c>
      <c r="B1481" s="1">
        <v>1</v>
      </c>
      <c r="C1481" s="8">
        <v>46139</v>
      </c>
      <c r="D1481" s="1" t="s">
        <v>2021</v>
      </c>
      <c r="E1481" s="7" t="s">
        <v>20</v>
      </c>
      <c r="F1481" s="1" t="s">
        <v>26</v>
      </c>
      <c r="G1481" s="9" t="s">
        <v>35</v>
      </c>
      <c r="H1481" s="7" t="s">
        <v>74</v>
      </c>
      <c r="I1481" s="18">
        <v>17040000</v>
      </c>
      <c r="J1481" s="10">
        <v>176280.64</v>
      </c>
      <c r="K1481" s="7" t="s">
        <v>12</v>
      </c>
      <c r="L1481" s="7" t="s">
        <v>53</v>
      </c>
      <c r="M1481" s="34">
        <v>46142</v>
      </c>
      <c r="N1481" s="7" t="s">
        <v>62</v>
      </c>
    </row>
    <row r="1482" spans="1:15" x14ac:dyDescent="0.25">
      <c r="A1482" s="41" t="s">
        <v>151</v>
      </c>
      <c r="B1482" s="1">
        <v>2</v>
      </c>
      <c r="C1482" s="8">
        <v>46147</v>
      </c>
      <c r="D1482" s="1" t="s">
        <v>2022</v>
      </c>
      <c r="E1482" s="7" t="s">
        <v>13</v>
      </c>
      <c r="F1482" s="1" t="s">
        <v>26</v>
      </c>
      <c r="G1482" s="9" t="s">
        <v>38</v>
      </c>
      <c r="H1482" s="7" t="s">
        <v>74</v>
      </c>
      <c r="I1482" s="18" t="s">
        <v>0</v>
      </c>
      <c r="J1482" s="10" t="s">
        <v>61</v>
      </c>
      <c r="K1482" s="7" t="s">
        <v>22</v>
      </c>
      <c r="L1482" s="7" t="s">
        <v>55</v>
      </c>
      <c r="M1482" s="34">
        <v>46148</v>
      </c>
      <c r="N1482" s="7" t="s">
        <v>91</v>
      </c>
    </row>
    <row r="1483" spans="1:15" x14ac:dyDescent="0.25">
      <c r="A1483" s="41" t="s">
        <v>687</v>
      </c>
      <c r="B1483" s="1">
        <v>1</v>
      </c>
      <c r="C1483" s="8">
        <v>46140</v>
      </c>
      <c r="D1483" s="1" t="s">
        <v>2023</v>
      </c>
      <c r="E1483" s="7" t="s">
        <v>13</v>
      </c>
      <c r="F1483" s="1" t="s">
        <v>26</v>
      </c>
      <c r="G1483" s="9" t="s">
        <v>38</v>
      </c>
      <c r="H1483" s="7" t="s">
        <v>74</v>
      </c>
      <c r="I1483" s="18" t="s">
        <v>0</v>
      </c>
      <c r="J1483" s="10" t="s">
        <v>61</v>
      </c>
      <c r="K1483" s="7" t="s">
        <v>22</v>
      </c>
      <c r="L1483" s="7" t="s">
        <v>40</v>
      </c>
      <c r="M1483" s="34">
        <v>46146</v>
      </c>
      <c r="N1483" s="7" t="s">
        <v>91</v>
      </c>
    </row>
    <row r="1484" spans="1:15" x14ac:dyDescent="0.25">
      <c r="A1484" s="41" t="s">
        <v>157</v>
      </c>
      <c r="B1484" s="1">
        <v>2</v>
      </c>
      <c r="C1484" s="8">
        <v>46146</v>
      </c>
      <c r="D1484" s="1" t="s">
        <v>2024</v>
      </c>
      <c r="E1484" s="7" t="s">
        <v>13</v>
      </c>
      <c r="F1484" s="1" t="s">
        <v>26</v>
      </c>
      <c r="G1484" s="9" t="s">
        <v>38</v>
      </c>
      <c r="H1484" s="7" t="s">
        <v>74</v>
      </c>
      <c r="I1484" s="18" t="s">
        <v>0</v>
      </c>
      <c r="J1484" s="10" t="s">
        <v>61</v>
      </c>
      <c r="K1484" s="7" t="s">
        <v>22</v>
      </c>
      <c r="L1484" s="7" t="s">
        <v>55</v>
      </c>
      <c r="M1484" s="34">
        <v>46146</v>
      </c>
      <c r="N1484" s="7" t="s">
        <v>91</v>
      </c>
    </row>
    <row r="1485" spans="1:15" x14ac:dyDescent="0.25">
      <c r="A1485" s="41" t="s">
        <v>435</v>
      </c>
      <c r="B1485" s="1">
        <v>2</v>
      </c>
      <c r="C1485" s="8">
        <v>46141</v>
      </c>
      <c r="D1485" s="1" t="s">
        <v>2025</v>
      </c>
      <c r="E1485" s="7" t="s">
        <v>2</v>
      </c>
      <c r="F1485" s="1" t="s">
        <v>26</v>
      </c>
      <c r="G1485" s="9" t="s">
        <v>35</v>
      </c>
      <c r="H1485" s="7" t="s">
        <v>581</v>
      </c>
      <c r="I1485" s="18">
        <v>15001001</v>
      </c>
      <c r="J1485" s="10">
        <v>31689.82</v>
      </c>
      <c r="K1485" s="7" t="s">
        <v>12</v>
      </c>
      <c r="L1485" s="7" t="s">
        <v>53</v>
      </c>
      <c r="M1485" s="34">
        <v>46142</v>
      </c>
      <c r="N1485" s="7" t="s">
        <v>41</v>
      </c>
    </row>
    <row r="1486" spans="1:15" x14ac:dyDescent="0.25">
      <c r="A1486" s="41" t="s">
        <v>166</v>
      </c>
      <c r="B1486" s="1">
        <v>2</v>
      </c>
      <c r="C1486" s="8">
        <v>46154</v>
      </c>
      <c r="D1486" s="1" t="s">
        <v>2026</v>
      </c>
      <c r="E1486" s="7" t="s">
        <v>13</v>
      </c>
      <c r="F1486" s="1" t="s">
        <v>26</v>
      </c>
      <c r="G1486" s="9" t="s">
        <v>63</v>
      </c>
      <c r="H1486" s="7" t="s">
        <v>74</v>
      </c>
      <c r="I1486" s="18" t="s">
        <v>0</v>
      </c>
      <c r="J1486" s="10" t="s">
        <v>61</v>
      </c>
      <c r="K1486" s="7" t="s">
        <v>17</v>
      </c>
      <c r="L1486" s="7" t="s">
        <v>55</v>
      </c>
      <c r="M1486" s="34">
        <v>46155</v>
      </c>
      <c r="N1486" s="7" t="s">
        <v>92</v>
      </c>
    </row>
    <row r="1487" spans="1:15" x14ac:dyDescent="0.25">
      <c r="A1487" s="41" t="s">
        <v>265</v>
      </c>
      <c r="B1487" s="1">
        <v>2</v>
      </c>
      <c r="C1487" s="8">
        <v>46154</v>
      </c>
      <c r="D1487" s="1" t="s">
        <v>2329</v>
      </c>
      <c r="E1487" s="7" t="s">
        <v>13</v>
      </c>
      <c r="F1487" s="1" t="s">
        <v>26</v>
      </c>
      <c r="G1487" s="9" t="s">
        <v>63</v>
      </c>
      <c r="H1487" s="7" t="s">
        <v>74</v>
      </c>
      <c r="I1487" s="18" t="s">
        <v>0</v>
      </c>
      <c r="J1487" s="10" t="s">
        <v>61</v>
      </c>
      <c r="K1487" s="7" t="s">
        <v>17</v>
      </c>
      <c r="L1487" s="7" t="s">
        <v>55</v>
      </c>
      <c r="M1487" s="34">
        <v>46156</v>
      </c>
      <c r="N1487" s="7" t="s">
        <v>92</v>
      </c>
      <c r="O1487" s="7" t="s">
        <v>2330</v>
      </c>
    </row>
    <row r="1488" spans="1:15" x14ac:dyDescent="0.25">
      <c r="A1488" s="41" t="s">
        <v>844</v>
      </c>
      <c r="B1488" s="1">
        <v>2</v>
      </c>
      <c r="C1488" s="8">
        <v>46141</v>
      </c>
      <c r="D1488" s="1" t="s">
        <v>2048</v>
      </c>
      <c r="E1488" s="7" t="s">
        <v>17</v>
      </c>
      <c r="F1488" s="1" t="s">
        <v>26</v>
      </c>
      <c r="G1488" s="9" t="s">
        <v>35</v>
      </c>
      <c r="H1488" s="7" t="s">
        <v>74</v>
      </c>
      <c r="J1488" s="10">
        <v>34252</v>
      </c>
      <c r="K1488" s="7" t="s">
        <v>12</v>
      </c>
      <c r="L1488" s="7" t="s">
        <v>53</v>
      </c>
      <c r="M1488" s="34">
        <v>46142</v>
      </c>
      <c r="N1488" s="7" t="s">
        <v>41</v>
      </c>
    </row>
    <row r="1489" spans="1:15" x14ac:dyDescent="0.25">
      <c r="A1489" s="41" t="s">
        <v>457</v>
      </c>
      <c r="B1489" s="1">
        <v>3</v>
      </c>
      <c r="C1489" s="8">
        <v>46160</v>
      </c>
      <c r="D1489" s="1" t="s">
        <v>2027</v>
      </c>
      <c r="E1489" s="7" t="s">
        <v>16</v>
      </c>
      <c r="F1489" s="1" t="s">
        <v>26</v>
      </c>
      <c r="G1489" s="9" t="s">
        <v>63</v>
      </c>
      <c r="H1489" s="7" t="s">
        <v>74</v>
      </c>
      <c r="I1489" s="18" t="s">
        <v>0</v>
      </c>
      <c r="J1489" s="10" t="s">
        <v>61</v>
      </c>
      <c r="K1489" s="7" t="s">
        <v>17</v>
      </c>
      <c r="L1489" s="7" t="s">
        <v>55</v>
      </c>
      <c r="M1489" s="34">
        <v>46161</v>
      </c>
      <c r="N1489" s="7" t="s">
        <v>92</v>
      </c>
    </row>
    <row r="1490" spans="1:15" ht="30" x14ac:dyDescent="0.25">
      <c r="A1490" s="41" t="s">
        <v>2029</v>
      </c>
      <c r="B1490" s="1">
        <v>1</v>
      </c>
      <c r="C1490" s="8">
        <v>46140</v>
      </c>
      <c r="D1490" s="1" t="s">
        <v>2028</v>
      </c>
      <c r="E1490" s="7" t="s">
        <v>14</v>
      </c>
      <c r="F1490" s="1" t="s">
        <v>26</v>
      </c>
      <c r="G1490" s="9" t="s">
        <v>48</v>
      </c>
      <c r="H1490" s="7" t="s">
        <v>74</v>
      </c>
      <c r="I1490" s="18" t="s">
        <v>0</v>
      </c>
      <c r="J1490" s="10" t="s">
        <v>61</v>
      </c>
      <c r="K1490" s="7" t="s">
        <v>22</v>
      </c>
      <c r="L1490" s="7" t="s">
        <v>55</v>
      </c>
      <c r="M1490" s="34">
        <v>46141</v>
      </c>
      <c r="N1490" s="7" t="s">
        <v>46</v>
      </c>
    </row>
    <row r="1491" spans="1:15" x14ac:dyDescent="0.25">
      <c r="A1491" s="41" t="s">
        <v>2030</v>
      </c>
      <c r="B1491" s="1">
        <v>1</v>
      </c>
      <c r="C1491" s="8">
        <v>46140</v>
      </c>
      <c r="D1491" s="1" t="s">
        <v>1894</v>
      </c>
      <c r="E1491" s="7" t="s">
        <v>13</v>
      </c>
      <c r="F1491" s="1" t="s">
        <v>26</v>
      </c>
      <c r="G1491" s="9" t="s">
        <v>37</v>
      </c>
      <c r="H1491" s="7" t="s">
        <v>74</v>
      </c>
      <c r="I1491" s="18" t="s">
        <v>0</v>
      </c>
      <c r="J1491" s="10" t="s">
        <v>61</v>
      </c>
      <c r="K1491" s="7" t="s">
        <v>58</v>
      </c>
      <c r="L1491" s="7" t="s">
        <v>59</v>
      </c>
    </row>
    <row r="1492" spans="1:15" x14ac:dyDescent="0.25">
      <c r="A1492" s="41" t="s">
        <v>606</v>
      </c>
      <c r="B1492" s="1">
        <v>1</v>
      </c>
      <c r="C1492" s="8">
        <v>46140</v>
      </c>
      <c r="D1492" s="1" t="s">
        <v>2031</v>
      </c>
      <c r="E1492" s="7" t="s">
        <v>14</v>
      </c>
      <c r="F1492" s="1" t="s">
        <v>26</v>
      </c>
      <c r="G1492" s="9" t="s">
        <v>36</v>
      </c>
      <c r="H1492" s="7" t="s">
        <v>74</v>
      </c>
      <c r="I1492" s="18" t="s">
        <v>0</v>
      </c>
      <c r="J1492" s="10" t="s">
        <v>61</v>
      </c>
      <c r="K1492" s="7" t="s">
        <v>22</v>
      </c>
      <c r="L1492" s="7" t="s">
        <v>55</v>
      </c>
      <c r="M1492" s="34">
        <v>46149</v>
      </c>
      <c r="N1492" s="7" t="s">
        <v>91</v>
      </c>
    </row>
    <row r="1493" spans="1:15" x14ac:dyDescent="0.25">
      <c r="A1493" s="41" t="s">
        <v>416</v>
      </c>
      <c r="B1493" s="1">
        <v>1</v>
      </c>
      <c r="C1493" s="8">
        <v>46140</v>
      </c>
      <c r="D1493" s="1" t="s">
        <v>2033</v>
      </c>
      <c r="E1493" s="7" t="s">
        <v>14</v>
      </c>
      <c r="F1493" s="1" t="s">
        <v>26</v>
      </c>
      <c r="G1493" s="9" t="s">
        <v>35</v>
      </c>
      <c r="H1493" s="7" t="s">
        <v>74</v>
      </c>
      <c r="I1493" s="18">
        <v>15000000</v>
      </c>
      <c r="J1493" s="10">
        <v>3340</v>
      </c>
      <c r="K1493" s="7" t="s">
        <v>12</v>
      </c>
      <c r="L1493" s="7" t="s">
        <v>53</v>
      </c>
      <c r="M1493" s="34">
        <v>46141</v>
      </c>
      <c r="N1493" s="7" t="s">
        <v>41</v>
      </c>
    </row>
    <row r="1494" spans="1:15" x14ac:dyDescent="0.25">
      <c r="A1494" s="41" t="s">
        <v>265</v>
      </c>
      <c r="B1494" s="1">
        <v>1</v>
      </c>
      <c r="C1494" s="8">
        <v>46141</v>
      </c>
      <c r="D1494" s="1" t="s">
        <v>2034</v>
      </c>
      <c r="E1494" s="7" t="s">
        <v>13</v>
      </c>
      <c r="F1494" s="1" t="s">
        <v>26</v>
      </c>
      <c r="G1494" s="9" t="s">
        <v>35</v>
      </c>
      <c r="H1494" s="7">
        <v>181947</v>
      </c>
      <c r="I1494" s="18">
        <v>15001002</v>
      </c>
      <c r="J1494" s="10">
        <v>13583.6</v>
      </c>
      <c r="K1494" s="7" t="s">
        <v>13</v>
      </c>
      <c r="L1494" s="7" t="s">
        <v>54</v>
      </c>
      <c r="M1494" s="34">
        <v>46148</v>
      </c>
      <c r="N1494" s="7" t="s">
        <v>41</v>
      </c>
    </row>
    <row r="1495" spans="1:15" x14ac:dyDescent="0.25">
      <c r="A1495" s="41" t="s">
        <v>1550</v>
      </c>
      <c r="B1495" s="1">
        <v>3</v>
      </c>
      <c r="C1495" s="8">
        <v>46147</v>
      </c>
      <c r="D1495" s="1" t="s">
        <v>2035</v>
      </c>
      <c r="E1495" s="7" t="s">
        <v>13</v>
      </c>
      <c r="F1495" s="1" t="s">
        <v>26</v>
      </c>
      <c r="G1495" s="9" t="s">
        <v>35</v>
      </c>
      <c r="H1495" s="7">
        <v>18384</v>
      </c>
      <c r="I1495" s="18">
        <v>16000000</v>
      </c>
      <c r="J1495" s="10">
        <v>474</v>
      </c>
      <c r="K1495" s="7" t="s">
        <v>13</v>
      </c>
      <c r="L1495" s="7" t="s">
        <v>54</v>
      </c>
      <c r="M1495" s="34">
        <v>46147</v>
      </c>
      <c r="N1495" s="7" t="s">
        <v>774</v>
      </c>
    </row>
    <row r="1496" spans="1:15" x14ac:dyDescent="0.25">
      <c r="A1496" s="41" t="s">
        <v>265</v>
      </c>
      <c r="B1496" s="1">
        <v>1</v>
      </c>
      <c r="C1496" s="8">
        <v>46141</v>
      </c>
      <c r="D1496" s="1" t="s">
        <v>2036</v>
      </c>
      <c r="E1496" s="7" t="s">
        <v>13</v>
      </c>
      <c r="F1496" s="1" t="s">
        <v>26</v>
      </c>
      <c r="G1496" s="9" t="s">
        <v>35</v>
      </c>
      <c r="H1496" s="7">
        <v>182387</v>
      </c>
      <c r="I1496" s="18">
        <v>15001002</v>
      </c>
      <c r="J1496" s="10">
        <v>7500</v>
      </c>
      <c r="K1496" s="7" t="s">
        <v>13</v>
      </c>
      <c r="L1496" s="7" t="s">
        <v>54</v>
      </c>
      <c r="M1496" s="34">
        <v>46146</v>
      </c>
      <c r="N1496" s="7" t="s">
        <v>41</v>
      </c>
    </row>
    <row r="1497" spans="1:15" x14ac:dyDescent="0.25">
      <c r="A1497" s="41" t="s">
        <v>446</v>
      </c>
      <c r="B1497" s="1">
        <v>2</v>
      </c>
      <c r="C1497" s="8">
        <v>46142</v>
      </c>
      <c r="D1497" s="1" t="s">
        <v>2072</v>
      </c>
      <c r="E1497" s="7" t="s">
        <v>14</v>
      </c>
      <c r="F1497" s="1" t="s">
        <v>26</v>
      </c>
      <c r="G1497" s="9" t="s">
        <v>35</v>
      </c>
      <c r="H1497" s="7">
        <v>3357</v>
      </c>
      <c r="I1497" s="18">
        <v>15000000</v>
      </c>
      <c r="J1497" s="10">
        <v>2785.68</v>
      </c>
      <c r="K1497" s="7" t="s">
        <v>12</v>
      </c>
      <c r="L1497" s="7" t="s">
        <v>53</v>
      </c>
      <c r="M1497" s="34">
        <v>46142</v>
      </c>
      <c r="N1497" s="7" t="s">
        <v>91</v>
      </c>
    </row>
    <row r="1498" spans="1:15" x14ac:dyDescent="0.25">
      <c r="A1498" s="41" t="s">
        <v>265</v>
      </c>
      <c r="B1498" s="1">
        <v>1</v>
      </c>
      <c r="C1498" s="8">
        <v>46141</v>
      </c>
      <c r="D1498" s="1" t="s">
        <v>2037</v>
      </c>
      <c r="E1498" s="7" t="s">
        <v>13</v>
      </c>
      <c r="F1498" s="1" t="s">
        <v>26</v>
      </c>
      <c r="G1498" s="9" t="s">
        <v>35</v>
      </c>
      <c r="H1498" s="7">
        <v>182475</v>
      </c>
      <c r="I1498" s="18">
        <v>16210000</v>
      </c>
      <c r="J1498" s="10">
        <v>3200</v>
      </c>
      <c r="K1498" s="7" t="s">
        <v>13</v>
      </c>
      <c r="L1498" s="7" t="s">
        <v>54</v>
      </c>
      <c r="M1498" s="34">
        <v>46146</v>
      </c>
      <c r="N1498" s="7" t="s">
        <v>41</v>
      </c>
    </row>
    <row r="1499" spans="1:15" x14ac:dyDescent="0.25">
      <c r="A1499" s="41" t="s">
        <v>1846</v>
      </c>
      <c r="B1499" s="1">
        <v>1</v>
      </c>
      <c r="C1499" s="8">
        <v>46141</v>
      </c>
      <c r="D1499" s="1" t="s">
        <v>2038</v>
      </c>
      <c r="E1499" s="7" t="s">
        <v>13</v>
      </c>
      <c r="F1499" s="1" t="s">
        <v>26</v>
      </c>
      <c r="G1499" s="9" t="s">
        <v>35</v>
      </c>
      <c r="H1499" s="7">
        <v>155464</v>
      </c>
      <c r="I1499" s="18">
        <v>15001002</v>
      </c>
      <c r="J1499" s="10">
        <v>540</v>
      </c>
      <c r="K1499" s="7" t="s">
        <v>13</v>
      </c>
      <c r="L1499" s="7" t="s">
        <v>54</v>
      </c>
      <c r="M1499" s="34">
        <v>46146</v>
      </c>
      <c r="N1499" s="7" t="s">
        <v>774</v>
      </c>
    </row>
    <row r="1500" spans="1:15" x14ac:dyDescent="0.25">
      <c r="A1500" s="41" t="s">
        <v>275</v>
      </c>
      <c r="B1500" s="1">
        <v>1</v>
      </c>
      <c r="C1500" s="8">
        <v>46141</v>
      </c>
      <c r="D1500" s="1" t="s">
        <v>2039</v>
      </c>
      <c r="E1500" s="7" t="s">
        <v>13</v>
      </c>
      <c r="F1500" s="1" t="s">
        <v>26</v>
      </c>
      <c r="G1500" s="9" t="s">
        <v>35</v>
      </c>
      <c r="H1500" s="7">
        <v>182595</v>
      </c>
      <c r="I1500" s="18">
        <v>15001002</v>
      </c>
      <c r="J1500" s="10">
        <v>11180</v>
      </c>
      <c r="K1500" s="7" t="s">
        <v>13</v>
      </c>
      <c r="L1500" s="7" t="s">
        <v>54</v>
      </c>
      <c r="M1500" s="34">
        <v>46146</v>
      </c>
      <c r="N1500" s="7" t="s">
        <v>41</v>
      </c>
    </row>
    <row r="1501" spans="1:15" x14ac:dyDescent="0.25">
      <c r="A1501" s="41" t="s">
        <v>569</v>
      </c>
      <c r="B1501" s="1">
        <v>1</v>
      </c>
      <c r="C1501" s="8">
        <v>46141</v>
      </c>
      <c r="D1501" s="1" t="s">
        <v>2042</v>
      </c>
      <c r="E1501" s="7" t="s">
        <v>13</v>
      </c>
      <c r="F1501" s="1" t="s">
        <v>26</v>
      </c>
      <c r="G1501" s="9" t="s">
        <v>35</v>
      </c>
      <c r="H1501" s="7">
        <v>73643521</v>
      </c>
      <c r="I1501" s="18">
        <v>16000000</v>
      </c>
      <c r="J1501" s="10">
        <v>408.92</v>
      </c>
      <c r="K1501" s="7" t="s">
        <v>13</v>
      </c>
      <c r="L1501" s="7" t="s">
        <v>54</v>
      </c>
      <c r="M1501" s="34">
        <v>46146</v>
      </c>
      <c r="N1501" s="7" t="s">
        <v>41</v>
      </c>
    </row>
    <row r="1502" spans="1:15" x14ac:dyDescent="0.25">
      <c r="A1502" s="41" t="s">
        <v>569</v>
      </c>
      <c r="B1502" s="1">
        <v>2</v>
      </c>
      <c r="C1502" s="8">
        <v>46147</v>
      </c>
      <c r="D1502" s="1" t="s">
        <v>2103</v>
      </c>
      <c r="E1502" s="7" t="s">
        <v>13</v>
      </c>
      <c r="F1502" s="1" t="s">
        <v>26</v>
      </c>
      <c r="G1502" s="9" t="s">
        <v>35</v>
      </c>
      <c r="H1502" s="7">
        <v>147941539</v>
      </c>
      <c r="I1502" s="18">
        <v>15001002</v>
      </c>
      <c r="J1502" s="10">
        <v>93332</v>
      </c>
      <c r="K1502" s="7" t="s">
        <v>13</v>
      </c>
      <c r="L1502" s="7" t="s">
        <v>54</v>
      </c>
      <c r="M1502" s="34">
        <v>46147</v>
      </c>
      <c r="N1502" s="7" t="s">
        <v>41</v>
      </c>
      <c r="O1502" s="7" t="s">
        <v>2104</v>
      </c>
    </row>
    <row r="1503" spans="1:15" x14ac:dyDescent="0.25">
      <c r="A1503" s="41" t="s">
        <v>2043</v>
      </c>
      <c r="B1503" s="1">
        <v>1</v>
      </c>
      <c r="C1503" s="8">
        <v>46141</v>
      </c>
      <c r="D1503" s="1" t="s">
        <v>2044</v>
      </c>
      <c r="E1503" s="7" t="s">
        <v>2</v>
      </c>
      <c r="F1503" s="1" t="s">
        <v>26</v>
      </c>
      <c r="G1503" s="9" t="s">
        <v>35</v>
      </c>
      <c r="H1503" s="7">
        <v>6315</v>
      </c>
      <c r="I1503" s="18">
        <v>15001001</v>
      </c>
      <c r="J1503" s="10">
        <v>674561.4</v>
      </c>
      <c r="K1503" s="7" t="s">
        <v>2</v>
      </c>
      <c r="L1503" s="7" t="s">
        <v>40</v>
      </c>
      <c r="M1503" s="34">
        <v>46141</v>
      </c>
      <c r="N1503" s="7" t="s">
        <v>41</v>
      </c>
    </row>
    <row r="1504" spans="1:15" x14ac:dyDescent="0.25">
      <c r="A1504" s="41" t="s">
        <v>2043</v>
      </c>
      <c r="B1504" s="1">
        <v>1</v>
      </c>
      <c r="C1504" s="8">
        <v>46141</v>
      </c>
      <c r="D1504" s="1" t="s">
        <v>2045</v>
      </c>
      <c r="E1504" s="7" t="s">
        <v>2</v>
      </c>
      <c r="F1504" s="1" t="s">
        <v>26</v>
      </c>
      <c r="G1504" s="9" t="s">
        <v>35</v>
      </c>
      <c r="H1504" s="7">
        <v>6316</v>
      </c>
      <c r="I1504" s="18">
        <v>25460000</v>
      </c>
      <c r="J1504" s="10">
        <v>612776.6</v>
      </c>
      <c r="K1504" s="7" t="s">
        <v>2</v>
      </c>
      <c r="L1504" s="7" t="s">
        <v>40</v>
      </c>
      <c r="M1504" s="34">
        <v>46141</v>
      </c>
      <c r="N1504" s="7" t="s">
        <v>41</v>
      </c>
    </row>
    <row r="1505" spans="1:15" x14ac:dyDescent="0.25">
      <c r="A1505" s="41" t="s">
        <v>2046</v>
      </c>
      <c r="B1505" s="1">
        <v>1</v>
      </c>
      <c r="C1505" s="8">
        <v>46141</v>
      </c>
      <c r="D1505" s="1" t="s">
        <v>2047</v>
      </c>
      <c r="E1505" s="7" t="s">
        <v>2</v>
      </c>
      <c r="F1505" s="1" t="s">
        <v>26</v>
      </c>
      <c r="G1505" s="9" t="s">
        <v>35</v>
      </c>
      <c r="H1505" s="7">
        <v>707</v>
      </c>
      <c r="I1505" s="18">
        <v>25460000</v>
      </c>
      <c r="J1505" s="10">
        <v>278850</v>
      </c>
      <c r="K1505" s="7" t="s">
        <v>12</v>
      </c>
      <c r="L1505" s="7" t="s">
        <v>53</v>
      </c>
      <c r="M1505" s="34">
        <v>46141</v>
      </c>
      <c r="N1505" s="7" t="s">
        <v>41</v>
      </c>
    </row>
    <row r="1506" spans="1:15" x14ac:dyDescent="0.25">
      <c r="A1506" s="41" t="s">
        <v>676</v>
      </c>
      <c r="B1506" s="1">
        <v>2</v>
      </c>
      <c r="C1506" s="8">
        <v>46154</v>
      </c>
      <c r="D1506" s="1" t="s">
        <v>2049</v>
      </c>
      <c r="E1506" s="7" t="s">
        <v>13</v>
      </c>
      <c r="F1506" s="1" t="s">
        <v>26</v>
      </c>
      <c r="G1506" s="9" t="s">
        <v>38</v>
      </c>
      <c r="H1506" s="7" t="s">
        <v>74</v>
      </c>
      <c r="I1506" s="18" t="s">
        <v>0</v>
      </c>
      <c r="J1506" s="10" t="s">
        <v>61</v>
      </c>
      <c r="K1506" s="7" t="s">
        <v>22</v>
      </c>
      <c r="L1506" s="7" t="s">
        <v>55</v>
      </c>
      <c r="M1506" s="34">
        <v>46156</v>
      </c>
      <c r="N1506" s="7" t="s">
        <v>92</v>
      </c>
    </row>
    <row r="1507" spans="1:15" x14ac:dyDescent="0.25">
      <c r="A1507" s="41" t="s">
        <v>2051</v>
      </c>
      <c r="B1507" s="1">
        <v>1</v>
      </c>
      <c r="C1507" s="8">
        <v>46141</v>
      </c>
      <c r="D1507" s="1" t="s">
        <v>2050</v>
      </c>
      <c r="E1507" s="7" t="s">
        <v>14</v>
      </c>
      <c r="F1507" s="1" t="s">
        <v>26</v>
      </c>
      <c r="G1507" s="9" t="s">
        <v>36</v>
      </c>
      <c r="H1507" s="7" t="s">
        <v>74</v>
      </c>
      <c r="I1507" s="18" t="s">
        <v>0</v>
      </c>
      <c r="J1507" s="10" t="s">
        <v>61</v>
      </c>
      <c r="K1507" s="7" t="s">
        <v>22</v>
      </c>
      <c r="L1507" s="7" t="s">
        <v>55</v>
      </c>
      <c r="M1507" s="34">
        <v>46150</v>
      </c>
      <c r="N1507" s="7" t="s">
        <v>46</v>
      </c>
    </row>
    <row r="1508" spans="1:15" x14ac:dyDescent="0.25">
      <c r="A1508" s="41" t="s">
        <v>2053</v>
      </c>
      <c r="B1508" s="1">
        <v>1</v>
      </c>
      <c r="C1508" s="8">
        <v>46141</v>
      </c>
      <c r="D1508" s="1" t="s">
        <v>2052</v>
      </c>
      <c r="E1508" s="7" t="s">
        <v>2</v>
      </c>
      <c r="F1508" s="1" t="s">
        <v>26</v>
      </c>
      <c r="G1508" s="9" t="s">
        <v>37</v>
      </c>
      <c r="H1508" s="7" t="s">
        <v>74</v>
      </c>
      <c r="I1508" s="18" t="s">
        <v>0</v>
      </c>
      <c r="J1508" s="10" t="s">
        <v>61</v>
      </c>
      <c r="K1508" s="7" t="s">
        <v>22</v>
      </c>
      <c r="L1508" s="7" t="s">
        <v>55</v>
      </c>
      <c r="M1508" s="34">
        <v>46146</v>
      </c>
      <c r="N1508" s="7" t="s">
        <v>46</v>
      </c>
    </row>
    <row r="1509" spans="1:15" ht="30" x14ac:dyDescent="0.25">
      <c r="A1509" s="41" t="s">
        <v>2054</v>
      </c>
      <c r="B1509" s="1">
        <v>1</v>
      </c>
      <c r="C1509" s="8">
        <v>46141</v>
      </c>
      <c r="D1509" s="1" t="s">
        <v>2055</v>
      </c>
      <c r="E1509" s="7" t="s">
        <v>14</v>
      </c>
      <c r="F1509" s="1" t="s">
        <v>26</v>
      </c>
      <c r="G1509" s="9" t="s">
        <v>47</v>
      </c>
      <c r="H1509" s="7" t="s">
        <v>74</v>
      </c>
      <c r="I1509" s="18" t="s">
        <v>0</v>
      </c>
      <c r="J1509" s="10" t="s">
        <v>61</v>
      </c>
      <c r="K1509" s="7" t="s">
        <v>22</v>
      </c>
      <c r="L1509" s="7" t="s">
        <v>55</v>
      </c>
      <c r="M1509" s="34">
        <v>46147</v>
      </c>
      <c r="N1509" s="7" t="s">
        <v>46</v>
      </c>
    </row>
    <row r="1510" spans="1:15" ht="45" x14ac:dyDescent="0.25">
      <c r="A1510" s="41" t="s">
        <v>2088</v>
      </c>
      <c r="B1510" s="1">
        <v>1</v>
      </c>
      <c r="C1510" s="8">
        <v>46141</v>
      </c>
      <c r="D1510" s="1" t="s">
        <v>2056</v>
      </c>
      <c r="E1510" s="7" t="s">
        <v>16</v>
      </c>
      <c r="F1510" s="1" t="s">
        <v>26</v>
      </c>
      <c r="G1510" s="9" t="s">
        <v>88</v>
      </c>
      <c r="H1510" s="7" t="s">
        <v>74</v>
      </c>
      <c r="I1510" s="18" t="s">
        <v>0</v>
      </c>
      <c r="J1510" s="10" t="s">
        <v>61</v>
      </c>
      <c r="K1510" s="7" t="s">
        <v>22</v>
      </c>
      <c r="L1510" s="7" t="s">
        <v>55</v>
      </c>
      <c r="M1510" s="34">
        <v>46148</v>
      </c>
      <c r="N1510" s="7" t="s">
        <v>46</v>
      </c>
    </row>
    <row r="1511" spans="1:15" x14ac:dyDescent="0.25">
      <c r="A1511" s="41" t="s">
        <v>961</v>
      </c>
      <c r="B1511" s="1">
        <v>1</v>
      </c>
      <c r="C1511" s="8">
        <v>46141</v>
      </c>
      <c r="D1511" s="1" t="s">
        <v>2057</v>
      </c>
      <c r="E1511" s="7" t="s">
        <v>14</v>
      </c>
      <c r="F1511" s="1" t="s">
        <v>26</v>
      </c>
      <c r="G1511" s="9" t="s">
        <v>35</v>
      </c>
      <c r="H1511" s="7" t="s">
        <v>74</v>
      </c>
      <c r="I1511" s="18">
        <v>15000000</v>
      </c>
      <c r="J1511" s="10">
        <v>9000</v>
      </c>
      <c r="K1511" s="7" t="s">
        <v>12</v>
      </c>
      <c r="L1511" s="7" t="s">
        <v>53</v>
      </c>
      <c r="M1511" s="34">
        <v>46148</v>
      </c>
      <c r="N1511" s="7" t="s">
        <v>41</v>
      </c>
    </row>
    <row r="1512" spans="1:15" x14ac:dyDescent="0.25">
      <c r="A1512" s="41" t="s">
        <v>2059</v>
      </c>
      <c r="B1512" s="1">
        <v>2</v>
      </c>
      <c r="C1512" s="8">
        <v>46147</v>
      </c>
      <c r="D1512" s="1" t="s">
        <v>2058</v>
      </c>
      <c r="E1512" s="7" t="s">
        <v>2</v>
      </c>
      <c r="F1512" s="1" t="s">
        <v>26</v>
      </c>
      <c r="G1512" s="9" t="s">
        <v>35</v>
      </c>
      <c r="H1512" s="7">
        <v>7125</v>
      </c>
      <c r="I1512" s="18">
        <v>15420000</v>
      </c>
      <c r="J1512" s="10">
        <v>17812.599999999999</v>
      </c>
      <c r="K1512" s="7" t="s">
        <v>12</v>
      </c>
      <c r="L1512" s="7" t="s">
        <v>53</v>
      </c>
      <c r="M1512" s="34">
        <v>46147</v>
      </c>
      <c r="N1512" s="7" t="s">
        <v>41</v>
      </c>
    </row>
    <row r="1513" spans="1:15" x14ac:dyDescent="0.25">
      <c r="A1513" s="41" t="s">
        <v>2059</v>
      </c>
      <c r="B1513" s="1">
        <v>2</v>
      </c>
      <c r="C1513" s="8">
        <v>46147</v>
      </c>
      <c r="D1513" s="1" t="s">
        <v>2060</v>
      </c>
      <c r="E1513" s="7" t="s">
        <v>2</v>
      </c>
      <c r="F1513" s="1" t="s">
        <v>26</v>
      </c>
      <c r="G1513" s="9" t="s">
        <v>35</v>
      </c>
      <c r="H1513" s="16">
        <v>7127</v>
      </c>
      <c r="I1513" s="18">
        <v>15001001</v>
      </c>
      <c r="J1513" s="10">
        <v>1370.2</v>
      </c>
      <c r="K1513" s="7" t="s">
        <v>12</v>
      </c>
      <c r="L1513" s="7" t="s">
        <v>53</v>
      </c>
      <c r="M1513" s="34">
        <v>46147</v>
      </c>
      <c r="N1513" s="7" t="s">
        <v>41</v>
      </c>
    </row>
    <row r="1514" spans="1:15" x14ac:dyDescent="0.25">
      <c r="A1514" s="41" t="s">
        <v>569</v>
      </c>
      <c r="B1514" s="1">
        <v>1</v>
      </c>
      <c r="C1514" s="8">
        <v>46141</v>
      </c>
      <c r="D1514" s="1" t="s">
        <v>2061</v>
      </c>
      <c r="E1514" s="7" t="s">
        <v>2</v>
      </c>
      <c r="F1514" s="1" t="s">
        <v>26</v>
      </c>
      <c r="G1514" s="9" t="s">
        <v>35</v>
      </c>
      <c r="H1514" s="7" t="s">
        <v>581</v>
      </c>
      <c r="I1514" s="18">
        <v>15400000</v>
      </c>
      <c r="J1514" s="10">
        <v>130457.27</v>
      </c>
      <c r="K1514" s="7" t="s">
        <v>12</v>
      </c>
      <c r="L1514" s="7" t="s">
        <v>53</v>
      </c>
      <c r="M1514" s="34">
        <v>46142</v>
      </c>
      <c r="N1514" s="7" t="s">
        <v>41</v>
      </c>
    </row>
    <row r="1515" spans="1:15" x14ac:dyDescent="0.25">
      <c r="A1515" s="41" t="s">
        <v>569</v>
      </c>
      <c r="B1515" s="1">
        <v>1</v>
      </c>
      <c r="C1515" s="8">
        <v>46141</v>
      </c>
      <c r="D1515" s="1" t="s">
        <v>2062</v>
      </c>
      <c r="E1515" s="7" t="s">
        <v>2</v>
      </c>
      <c r="F1515" s="1" t="s">
        <v>26</v>
      </c>
      <c r="G1515" s="9" t="s">
        <v>35</v>
      </c>
      <c r="H1515" s="7" t="s">
        <v>74</v>
      </c>
      <c r="I1515" s="18">
        <v>15001001</v>
      </c>
      <c r="J1515" s="10">
        <v>11456.65</v>
      </c>
      <c r="K1515" s="7" t="s">
        <v>12</v>
      </c>
      <c r="L1515" s="7" t="s">
        <v>53</v>
      </c>
      <c r="M1515" s="34">
        <v>46142</v>
      </c>
      <c r="N1515" s="7" t="s">
        <v>41</v>
      </c>
    </row>
    <row r="1516" spans="1:15" x14ac:dyDescent="0.25">
      <c r="A1516" s="41" t="s">
        <v>2064</v>
      </c>
      <c r="B1516" s="1">
        <v>2</v>
      </c>
      <c r="C1516" s="8">
        <v>46150</v>
      </c>
      <c r="D1516" s="1" t="s">
        <v>2063</v>
      </c>
      <c r="E1516" s="7" t="s">
        <v>19</v>
      </c>
      <c r="F1516" s="1" t="s">
        <v>26</v>
      </c>
      <c r="G1516" s="9" t="s">
        <v>35</v>
      </c>
      <c r="H1516" s="7">
        <v>1569</v>
      </c>
      <c r="I1516" s="18">
        <v>15000000</v>
      </c>
      <c r="J1516" s="10">
        <v>4415.55</v>
      </c>
      <c r="K1516" s="7" t="s">
        <v>12</v>
      </c>
      <c r="L1516" s="7" t="s">
        <v>53</v>
      </c>
      <c r="M1516" s="34">
        <v>46153</v>
      </c>
      <c r="N1516" s="7" t="s">
        <v>41</v>
      </c>
    </row>
    <row r="1517" spans="1:15" x14ac:dyDescent="0.25">
      <c r="A1517" s="41" t="s">
        <v>569</v>
      </c>
      <c r="B1517" s="1">
        <v>1</v>
      </c>
      <c r="C1517" s="8">
        <v>46141</v>
      </c>
      <c r="D1517" s="1" t="s">
        <v>2065</v>
      </c>
      <c r="E1517" s="7" t="s">
        <v>2</v>
      </c>
      <c r="F1517" s="1" t="s">
        <v>26</v>
      </c>
      <c r="G1517" s="9" t="s">
        <v>35</v>
      </c>
      <c r="H1517" s="7" t="s">
        <v>74</v>
      </c>
      <c r="I1517" s="18">
        <v>15000000</v>
      </c>
      <c r="J1517" s="10">
        <v>250.92</v>
      </c>
      <c r="K1517" s="7" t="s">
        <v>12</v>
      </c>
      <c r="L1517" s="7" t="s">
        <v>53</v>
      </c>
      <c r="M1517" s="34">
        <v>46142</v>
      </c>
      <c r="N1517" s="7" t="s">
        <v>41</v>
      </c>
    </row>
    <row r="1518" spans="1:15" x14ac:dyDescent="0.25">
      <c r="A1518" s="41" t="s">
        <v>1092</v>
      </c>
      <c r="B1518" s="1">
        <v>2</v>
      </c>
      <c r="C1518" s="8">
        <v>46147</v>
      </c>
      <c r="D1518" s="1" t="s">
        <v>2206</v>
      </c>
      <c r="E1518" s="7" t="s">
        <v>82</v>
      </c>
      <c r="F1518" s="1" t="s">
        <v>26</v>
      </c>
      <c r="G1518" s="9" t="s">
        <v>35</v>
      </c>
      <c r="H1518" s="7">
        <v>5</v>
      </c>
      <c r="I1518" s="18">
        <v>15000000</v>
      </c>
      <c r="J1518" s="10">
        <v>12000</v>
      </c>
      <c r="K1518" s="7" t="s">
        <v>12</v>
      </c>
      <c r="L1518" s="7" t="s">
        <v>53</v>
      </c>
      <c r="M1518" s="34">
        <v>46149</v>
      </c>
      <c r="N1518" s="7" t="s">
        <v>41</v>
      </c>
      <c r="O1518" s="7" t="s">
        <v>2205</v>
      </c>
    </row>
    <row r="1519" spans="1:15" x14ac:dyDescent="0.25">
      <c r="A1519" s="41" t="s">
        <v>1600</v>
      </c>
      <c r="B1519" s="1">
        <v>1</v>
      </c>
      <c r="C1519" s="8">
        <v>46141</v>
      </c>
      <c r="D1519" s="1" t="s">
        <v>2066</v>
      </c>
      <c r="E1519" s="7" t="s">
        <v>2</v>
      </c>
      <c r="F1519" s="1" t="s">
        <v>26</v>
      </c>
      <c r="G1519" s="9" t="s">
        <v>35</v>
      </c>
      <c r="H1519" s="7">
        <v>5</v>
      </c>
      <c r="I1519" s="18">
        <v>15520000</v>
      </c>
      <c r="J1519" s="10">
        <v>40542.230000000003</v>
      </c>
      <c r="K1519" s="7" t="s">
        <v>12</v>
      </c>
      <c r="L1519" s="7" t="s">
        <v>53</v>
      </c>
      <c r="M1519" s="34">
        <v>46142</v>
      </c>
      <c r="N1519" s="7" t="s">
        <v>41</v>
      </c>
    </row>
    <row r="1520" spans="1:15" x14ac:dyDescent="0.25">
      <c r="A1520" s="41" t="s">
        <v>1558</v>
      </c>
      <c r="B1520" s="1">
        <v>1</v>
      </c>
      <c r="C1520" s="8">
        <v>46141</v>
      </c>
      <c r="D1520" s="1" t="s">
        <v>2067</v>
      </c>
      <c r="E1520" s="7" t="s">
        <v>2</v>
      </c>
      <c r="F1520" s="1" t="s">
        <v>26</v>
      </c>
      <c r="G1520" s="9" t="s">
        <v>35</v>
      </c>
      <c r="H1520" s="7">
        <v>228</v>
      </c>
      <c r="I1520" s="18">
        <v>15520000</v>
      </c>
      <c r="J1520" s="10">
        <v>7553.37</v>
      </c>
      <c r="K1520" s="7" t="s">
        <v>12</v>
      </c>
      <c r="L1520" s="7" t="s">
        <v>53</v>
      </c>
      <c r="M1520" s="34">
        <v>46142</v>
      </c>
      <c r="N1520" s="7" t="s">
        <v>41</v>
      </c>
    </row>
    <row r="1521" spans="1:14" x14ac:dyDescent="0.25">
      <c r="A1521" s="41" t="s">
        <v>664</v>
      </c>
      <c r="B1521" s="1">
        <v>2</v>
      </c>
      <c r="C1521" s="8">
        <v>46149</v>
      </c>
      <c r="D1521" s="1" t="s">
        <v>2068</v>
      </c>
      <c r="E1521" s="7" t="s">
        <v>82</v>
      </c>
      <c r="F1521" s="1" t="s">
        <v>26</v>
      </c>
      <c r="G1521" s="9" t="s">
        <v>35</v>
      </c>
      <c r="H1521" s="7">
        <v>69</v>
      </c>
      <c r="I1521" s="18">
        <v>15000000</v>
      </c>
      <c r="J1521" s="10">
        <v>11960</v>
      </c>
      <c r="K1521" s="7" t="s">
        <v>12</v>
      </c>
      <c r="L1521" s="7" t="s">
        <v>53</v>
      </c>
      <c r="M1521" s="34">
        <v>46149</v>
      </c>
      <c r="N1521" s="7" t="s">
        <v>41</v>
      </c>
    </row>
    <row r="1522" spans="1:14" x14ac:dyDescent="0.25">
      <c r="A1522" s="41" t="s">
        <v>265</v>
      </c>
      <c r="B1522" s="1">
        <v>2</v>
      </c>
      <c r="C1522" s="8">
        <v>46153</v>
      </c>
      <c r="D1522" s="1" t="s">
        <v>2069</v>
      </c>
      <c r="E1522" s="7" t="s">
        <v>13</v>
      </c>
      <c r="F1522" s="1" t="s">
        <v>26</v>
      </c>
      <c r="G1522" s="9" t="s">
        <v>35</v>
      </c>
      <c r="H1522" s="7">
        <v>182476</v>
      </c>
      <c r="I1522" s="18">
        <v>11621000</v>
      </c>
      <c r="J1522" s="10">
        <v>2916</v>
      </c>
      <c r="K1522" s="7" t="s">
        <v>13</v>
      </c>
      <c r="L1522" s="7" t="s">
        <v>54</v>
      </c>
      <c r="M1522" s="34">
        <v>46153</v>
      </c>
      <c r="N1522" s="7" t="s">
        <v>41</v>
      </c>
    </row>
    <row r="1523" spans="1:14" x14ac:dyDescent="0.25">
      <c r="A1523" s="41" t="s">
        <v>914</v>
      </c>
      <c r="B1523" s="1">
        <v>2</v>
      </c>
      <c r="C1523" s="8">
        <v>46150</v>
      </c>
      <c r="D1523" s="1" t="s">
        <v>2070</v>
      </c>
      <c r="E1523" s="7" t="s">
        <v>13</v>
      </c>
      <c r="F1523" s="1" t="s">
        <v>26</v>
      </c>
      <c r="G1523" s="9" t="s">
        <v>35</v>
      </c>
      <c r="H1523" s="7">
        <v>5</v>
      </c>
      <c r="I1523" s="18">
        <v>16590000</v>
      </c>
      <c r="J1523" s="10">
        <v>3887</v>
      </c>
      <c r="K1523" s="7" t="s">
        <v>13</v>
      </c>
      <c r="L1523" s="7" t="s">
        <v>54</v>
      </c>
      <c r="M1523" s="34">
        <v>46150</v>
      </c>
      <c r="N1523" s="7" t="s">
        <v>41</v>
      </c>
    </row>
    <row r="1524" spans="1:14" x14ac:dyDescent="0.25">
      <c r="A1524" s="41" t="s">
        <v>265</v>
      </c>
      <c r="B1524" s="1">
        <v>2</v>
      </c>
      <c r="C1524" s="8">
        <v>46153</v>
      </c>
      <c r="D1524" s="1" t="s">
        <v>2071</v>
      </c>
      <c r="E1524" s="7" t="s">
        <v>13</v>
      </c>
      <c r="F1524" s="1" t="s">
        <v>26</v>
      </c>
      <c r="G1524" s="9" t="s">
        <v>35</v>
      </c>
      <c r="H1524" s="7">
        <v>181946</v>
      </c>
      <c r="I1524" s="18">
        <v>15001002</v>
      </c>
      <c r="J1524" s="10">
        <v>22078</v>
      </c>
      <c r="K1524" s="7" t="s">
        <v>58</v>
      </c>
      <c r="L1524" s="7" t="s">
        <v>59</v>
      </c>
      <c r="M1524" s="34">
        <v>46148</v>
      </c>
      <c r="N1524" s="7" t="s">
        <v>41</v>
      </c>
    </row>
    <row r="1525" spans="1:14" x14ac:dyDescent="0.25">
      <c r="A1525" s="41" t="s">
        <v>265</v>
      </c>
      <c r="B1525" s="1">
        <v>1</v>
      </c>
      <c r="C1525" s="8">
        <v>46142</v>
      </c>
      <c r="D1525" s="1" t="s">
        <v>2073</v>
      </c>
      <c r="E1525" s="7" t="s">
        <v>13</v>
      </c>
      <c r="F1525" s="1" t="s">
        <v>26</v>
      </c>
      <c r="G1525" s="9" t="s">
        <v>35</v>
      </c>
      <c r="H1525" s="7">
        <v>181939</v>
      </c>
      <c r="I1525" s="18">
        <v>15001002</v>
      </c>
      <c r="J1525" s="10">
        <v>33155</v>
      </c>
      <c r="K1525" s="7" t="s">
        <v>13</v>
      </c>
      <c r="L1525" s="7" t="s">
        <v>54</v>
      </c>
      <c r="M1525" s="34">
        <v>46149</v>
      </c>
      <c r="N1525" s="7" t="s">
        <v>41</v>
      </c>
    </row>
    <row r="1526" spans="1:14" x14ac:dyDescent="0.25">
      <c r="A1526" s="41" t="s">
        <v>1425</v>
      </c>
      <c r="B1526" s="1">
        <v>2</v>
      </c>
      <c r="C1526" s="8">
        <v>46153</v>
      </c>
      <c r="D1526" s="1" t="s">
        <v>2207</v>
      </c>
      <c r="E1526" s="7" t="s">
        <v>13</v>
      </c>
      <c r="F1526" s="1" t="s">
        <v>26</v>
      </c>
      <c r="G1526" s="9" t="s">
        <v>35</v>
      </c>
      <c r="H1526" s="7">
        <v>17277</v>
      </c>
      <c r="I1526" s="18">
        <v>16000000</v>
      </c>
      <c r="J1526" s="10">
        <v>708</v>
      </c>
      <c r="K1526" s="7" t="s">
        <v>13</v>
      </c>
      <c r="L1526" s="7" t="s">
        <v>54</v>
      </c>
      <c r="M1526" s="34">
        <v>46153</v>
      </c>
      <c r="N1526" s="7" t="s">
        <v>41</v>
      </c>
    </row>
    <row r="1527" spans="1:14" x14ac:dyDescent="0.25">
      <c r="A1527" s="41" t="s">
        <v>831</v>
      </c>
      <c r="B1527" s="1">
        <v>2</v>
      </c>
      <c r="C1527" s="8">
        <v>46149</v>
      </c>
      <c r="D1527" s="1" t="s">
        <v>2074</v>
      </c>
      <c r="E1527" s="7" t="s">
        <v>12</v>
      </c>
      <c r="F1527" s="1" t="s">
        <v>26</v>
      </c>
      <c r="G1527" s="9" t="s">
        <v>35</v>
      </c>
      <c r="I1527" s="18">
        <v>150000000</v>
      </c>
      <c r="K1527" s="7" t="s">
        <v>12</v>
      </c>
      <c r="L1527" s="7" t="s">
        <v>53</v>
      </c>
      <c r="M1527" s="34">
        <v>46180</v>
      </c>
      <c r="N1527" s="7" t="s">
        <v>41</v>
      </c>
    </row>
    <row r="1528" spans="1:14" ht="30" x14ac:dyDescent="0.25">
      <c r="A1528" s="41" t="s">
        <v>2075</v>
      </c>
      <c r="B1528" s="1">
        <v>1</v>
      </c>
      <c r="C1528" s="8">
        <v>46142</v>
      </c>
      <c r="D1528" s="1" t="s">
        <v>2076</v>
      </c>
      <c r="E1528" s="7" t="s">
        <v>13</v>
      </c>
      <c r="F1528" s="1" t="s">
        <v>26</v>
      </c>
      <c r="G1528" s="9" t="s">
        <v>721</v>
      </c>
      <c r="H1528" s="7" t="s">
        <v>74</v>
      </c>
      <c r="I1528" s="18" t="s">
        <v>0</v>
      </c>
      <c r="J1528" s="10" t="s">
        <v>61</v>
      </c>
      <c r="K1528" s="7" t="s">
        <v>58</v>
      </c>
      <c r="L1528" s="7" t="s">
        <v>59</v>
      </c>
    </row>
    <row r="1529" spans="1:14" x14ac:dyDescent="0.25">
      <c r="A1529" s="41" t="s">
        <v>740</v>
      </c>
      <c r="B1529" s="1">
        <v>1</v>
      </c>
      <c r="C1529" s="8">
        <v>46146</v>
      </c>
      <c r="D1529" s="1" t="s">
        <v>2279</v>
      </c>
      <c r="E1529" s="7" t="s">
        <v>13</v>
      </c>
      <c r="F1529" s="1" t="s">
        <v>27</v>
      </c>
      <c r="G1529" s="9" t="s">
        <v>35</v>
      </c>
      <c r="H1529" s="7">
        <v>7025</v>
      </c>
      <c r="I1529" s="18">
        <v>15001002</v>
      </c>
      <c r="J1529" s="10">
        <v>2500</v>
      </c>
      <c r="K1529" s="7" t="s">
        <v>13</v>
      </c>
      <c r="L1529" s="7" t="s">
        <v>54</v>
      </c>
      <c r="M1529" s="34">
        <v>46150</v>
      </c>
      <c r="N1529" s="7" t="s">
        <v>91</v>
      </c>
    </row>
    <row r="1530" spans="1:14" x14ac:dyDescent="0.25">
      <c r="A1530" s="41" t="s">
        <v>1410</v>
      </c>
      <c r="B1530" s="1">
        <v>1</v>
      </c>
      <c r="C1530" s="8">
        <v>46146</v>
      </c>
      <c r="D1530" s="1" t="s">
        <v>2077</v>
      </c>
      <c r="E1530" s="7" t="s">
        <v>13</v>
      </c>
      <c r="F1530" s="1" t="s">
        <v>27</v>
      </c>
      <c r="G1530" s="9" t="s">
        <v>35</v>
      </c>
      <c r="H1530" s="7" t="s">
        <v>74</v>
      </c>
      <c r="I1530" s="18">
        <v>15001002</v>
      </c>
      <c r="J1530" s="10">
        <v>7045</v>
      </c>
      <c r="K1530" s="7" t="s">
        <v>13</v>
      </c>
      <c r="L1530" s="7" t="s">
        <v>54</v>
      </c>
      <c r="M1530" s="34">
        <v>46150</v>
      </c>
      <c r="N1530" s="7" t="s">
        <v>91</v>
      </c>
    </row>
    <row r="1531" spans="1:14" x14ac:dyDescent="0.25">
      <c r="A1531" s="41" t="s">
        <v>873</v>
      </c>
      <c r="B1531" s="1">
        <v>2</v>
      </c>
      <c r="C1531" s="8">
        <v>46148</v>
      </c>
      <c r="D1531" s="1" t="s">
        <v>2078</v>
      </c>
      <c r="E1531" s="7" t="s">
        <v>2</v>
      </c>
      <c r="F1531" s="1" t="s">
        <v>27</v>
      </c>
      <c r="G1531" s="9" t="s">
        <v>35</v>
      </c>
      <c r="H1531" s="7" t="s">
        <v>74</v>
      </c>
      <c r="I1531" s="18">
        <v>15001001</v>
      </c>
      <c r="J1531" s="10">
        <v>5393.5</v>
      </c>
      <c r="K1531" s="7" t="s">
        <v>12</v>
      </c>
      <c r="L1531" s="7" t="s">
        <v>53</v>
      </c>
      <c r="M1531" s="34">
        <v>46148</v>
      </c>
      <c r="N1531" s="7" t="s">
        <v>41</v>
      </c>
    </row>
    <row r="1532" spans="1:14" x14ac:dyDescent="0.25">
      <c r="A1532" s="41" t="s">
        <v>486</v>
      </c>
      <c r="B1532" s="1">
        <v>1</v>
      </c>
      <c r="C1532" s="8">
        <v>46146</v>
      </c>
      <c r="D1532" s="1" t="s">
        <v>2079</v>
      </c>
      <c r="E1532" s="7" t="s">
        <v>12</v>
      </c>
      <c r="F1532" s="1" t="s">
        <v>27</v>
      </c>
      <c r="G1532" s="9" t="s">
        <v>35</v>
      </c>
      <c r="H1532" s="7">
        <v>5343</v>
      </c>
      <c r="I1532" s="18">
        <v>15000000</v>
      </c>
      <c r="J1532" s="10">
        <v>20000</v>
      </c>
      <c r="K1532" s="7" t="s">
        <v>12</v>
      </c>
      <c r="L1532" s="7" t="s">
        <v>53</v>
      </c>
      <c r="M1532" s="34">
        <v>46147</v>
      </c>
      <c r="N1532" s="7" t="s">
        <v>41</v>
      </c>
    </row>
    <row r="1533" spans="1:14" x14ac:dyDescent="0.25">
      <c r="A1533" s="41" t="s">
        <v>219</v>
      </c>
      <c r="B1533" s="1">
        <v>2</v>
      </c>
      <c r="C1533" s="8">
        <v>46148</v>
      </c>
      <c r="D1533" s="1" t="s">
        <v>2080</v>
      </c>
      <c r="E1533" s="7" t="s">
        <v>14</v>
      </c>
      <c r="F1533" s="1" t="s">
        <v>27</v>
      </c>
      <c r="G1533" s="9" t="s">
        <v>35</v>
      </c>
      <c r="H1533" s="7">
        <v>2502</v>
      </c>
      <c r="I1533" s="18">
        <v>15000000</v>
      </c>
      <c r="J1533" s="10">
        <v>476794.65</v>
      </c>
      <c r="K1533" s="7" t="s">
        <v>12</v>
      </c>
      <c r="L1533" s="7" t="s">
        <v>53</v>
      </c>
      <c r="M1533" s="34">
        <v>46148</v>
      </c>
      <c r="N1533" s="7" t="s">
        <v>41</v>
      </c>
    </row>
    <row r="1534" spans="1:14" x14ac:dyDescent="0.25">
      <c r="A1534" s="41" t="s">
        <v>629</v>
      </c>
      <c r="B1534" s="1">
        <v>1</v>
      </c>
      <c r="C1534" s="8">
        <v>46146</v>
      </c>
      <c r="D1534" s="1" t="s">
        <v>2081</v>
      </c>
      <c r="E1534" s="7" t="s">
        <v>2</v>
      </c>
      <c r="F1534" s="1" t="s">
        <v>27</v>
      </c>
      <c r="G1534" s="9" t="s">
        <v>35</v>
      </c>
      <c r="H1534" s="7" t="s">
        <v>74</v>
      </c>
      <c r="I1534" s="18">
        <v>15500000</v>
      </c>
      <c r="J1534" s="10">
        <v>130643.85</v>
      </c>
      <c r="K1534" s="7" t="s">
        <v>12</v>
      </c>
      <c r="L1534" s="7" t="s">
        <v>53</v>
      </c>
      <c r="M1534" s="34">
        <v>46147</v>
      </c>
      <c r="N1534" s="7" t="s">
        <v>41</v>
      </c>
    </row>
    <row r="1535" spans="1:14" x14ac:dyDescent="0.25">
      <c r="A1535" s="41" t="s">
        <v>2083</v>
      </c>
      <c r="B1535" s="1">
        <v>2</v>
      </c>
      <c r="C1535" s="8">
        <v>46147</v>
      </c>
      <c r="D1535" s="1" t="s">
        <v>2082</v>
      </c>
      <c r="E1535" s="7" t="s">
        <v>16</v>
      </c>
      <c r="F1535" s="1" t="s">
        <v>27</v>
      </c>
      <c r="G1535" s="9" t="s">
        <v>68</v>
      </c>
      <c r="H1535" s="7" t="s">
        <v>74</v>
      </c>
      <c r="I1535" s="18">
        <v>16600000</v>
      </c>
      <c r="J1535" s="10" t="s">
        <v>61</v>
      </c>
      <c r="K1535" s="7" t="s">
        <v>58</v>
      </c>
      <c r="L1535" s="7" t="s">
        <v>55</v>
      </c>
      <c r="M1535" s="34">
        <v>46147</v>
      </c>
      <c r="N1535" s="7" t="s">
        <v>41</v>
      </c>
    </row>
    <row r="1536" spans="1:14" x14ac:dyDescent="0.25">
      <c r="A1536" s="41" t="s">
        <v>414</v>
      </c>
      <c r="B1536" s="1">
        <v>1</v>
      </c>
      <c r="C1536" s="8">
        <v>46146</v>
      </c>
      <c r="D1536" s="1" t="s">
        <v>2084</v>
      </c>
      <c r="E1536" s="7" t="s">
        <v>11</v>
      </c>
      <c r="F1536" s="1" t="s">
        <v>27</v>
      </c>
      <c r="G1536" s="9" t="s">
        <v>35</v>
      </c>
      <c r="H1536" s="7">
        <v>8434</v>
      </c>
      <c r="I1536" s="18">
        <v>15000000</v>
      </c>
      <c r="J1536" s="10">
        <v>950</v>
      </c>
      <c r="K1536" s="7" t="s">
        <v>12</v>
      </c>
      <c r="L1536" s="7" t="s">
        <v>53</v>
      </c>
      <c r="M1536" s="34">
        <v>46147</v>
      </c>
      <c r="N1536" s="7" t="s">
        <v>41</v>
      </c>
    </row>
    <row r="1537" spans="1:14" x14ac:dyDescent="0.25">
      <c r="A1537" s="41" t="s">
        <v>1460</v>
      </c>
      <c r="B1537" s="1">
        <v>1</v>
      </c>
      <c r="C1537" s="8">
        <v>46146</v>
      </c>
      <c r="D1537" s="1" t="s">
        <v>2085</v>
      </c>
      <c r="E1537" s="7" t="s">
        <v>2</v>
      </c>
      <c r="F1537" s="1" t="s">
        <v>27</v>
      </c>
      <c r="G1537" s="9" t="s">
        <v>35</v>
      </c>
      <c r="H1537" s="7" t="s">
        <v>74</v>
      </c>
      <c r="I1537" s="18">
        <v>15000000</v>
      </c>
      <c r="J1537" s="10">
        <v>508.86</v>
      </c>
      <c r="K1537" s="7" t="s">
        <v>12</v>
      </c>
      <c r="L1537" s="7" t="s">
        <v>53</v>
      </c>
      <c r="M1537" s="34">
        <v>46147</v>
      </c>
      <c r="N1537" s="7" t="s">
        <v>41</v>
      </c>
    </row>
    <row r="1538" spans="1:14" x14ac:dyDescent="0.25">
      <c r="A1538" s="41" t="s">
        <v>876</v>
      </c>
      <c r="B1538" s="1">
        <v>2</v>
      </c>
      <c r="C1538" s="8">
        <v>46148</v>
      </c>
      <c r="D1538" s="1" t="s">
        <v>2086</v>
      </c>
      <c r="E1538" s="7" t="s">
        <v>2</v>
      </c>
      <c r="F1538" s="1" t="s">
        <v>27</v>
      </c>
      <c r="G1538" s="9" t="s">
        <v>35</v>
      </c>
      <c r="H1538" s="7" t="s">
        <v>74</v>
      </c>
      <c r="I1538" s="18">
        <v>15001001</v>
      </c>
      <c r="J1538" s="10">
        <v>6500</v>
      </c>
      <c r="K1538" s="7" t="s">
        <v>12</v>
      </c>
      <c r="L1538" s="7" t="s">
        <v>53</v>
      </c>
      <c r="M1538" s="34">
        <v>46148</v>
      </c>
      <c r="N1538" s="7" t="s">
        <v>41</v>
      </c>
    </row>
    <row r="1539" spans="1:14" x14ac:dyDescent="0.25">
      <c r="A1539" s="41" t="s">
        <v>876</v>
      </c>
      <c r="B1539" s="1">
        <v>1</v>
      </c>
      <c r="C1539" s="8">
        <v>46146</v>
      </c>
      <c r="D1539" s="1" t="s">
        <v>2087</v>
      </c>
      <c r="E1539" s="7" t="s">
        <v>2</v>
      </c>
      <c r="F1539" s="1" t="s">
        <v>27</v>
      </c>
      <c r="G1539" s="9" t="s">
        <v>35</v>
      </c>
      <c r="H1539" s="7" t="s">
        <v>74</v>
      </c>
      <c r="I1539" s="18">
        <v>15001001</v>
      </c>
      <c r="J1539" s="10">
        <v>13510</v>
      </c>
      <c r="K1539" s="7" t="s">
        <v>12</v>
      </c>
      <c r="L1539" s="7" t="s">
        <v>53</v>
      </c>
      <c r="M1539" s="34">
        <v>46147</v>
      </c>
      <c r="N1539" s="7" t="s">
        <v>41</v>
      </c>
    </row>
    <row r="1540" spans="1:14" x14ac:dyDescent="0.25">
      <c r="A1540" s="41" t="s">
        <v>435</v>
      </c>
      <c r="B1540" s="1">
        <v>2</v>
      </c>
      <c r="C1540" s="8">
        <v>46153</v>
      </c>
      <c r="D1540" s="1" t="s">
        <v>2089</v>
      </c>
      <c r="E1540" s="7" t="s">
        <v>13</v>
      </c>
      <c r="F1540" s="1" t="s">
        <v>27</v>
      </c>
      <c r="G1540" s="9" t="s">
        <v>35</v>
      </c>
      <c r="H1540" s="7">
        <v>2856079</v>
      </c>
      <c r="I1540" s="18">
        <v>16000000</v>
      </c>
      <c r="J1540" s="10">
        <v>6105.19</v>
      </c>
      <c r="K1540" s="7" t="s">
        <v>13</v>
      </c>
      <c r="L1540" s="7" t="s">
        <v>54</v>
      </c>
      <c r="M1540" s="34">
        <v>46154</v>
      </c>
      <c r="N1540" s="7" t="s">
        <v>91</v>
      </c>
    </row>
    <row r="1541" spans="1:14" x14ac:dyDescent="0.25">
      <c r="A1541" s="41" t="s">
        <v>236</v>
      </c>
      <c r="B1541" s="1">
        <v>2</v>
      </c>
      <c r="C1541" s="8">
        <v>46154</v>
      </c>
      <c r="D1541" s="1" t="s">
        <v>2090</v>
      </c>
      <c r="E1541" s="7" t="s">
        <v>13</v>
      </c>
      <c r="F1541" s="1" t="s">
        <v>27</v>
      </c>
      <c r="G1541" s="9" t="s">
        <v>35</v>
      </c>
      <c r="H1541" s="7">
        <v>194410</v>
      </c>
      <c r="I1541" s="18">
        <v>15001002</v>
      </c>
      <c r="J1541" s="10">
        <v>905.5</v>
      </c>
      <c r="K1541" s="7" t="s">
        <v>13</v>
      </c>
      <c r="L1541" s="7" t="s">
        <v>54</v>
      </c>
      <c r="M1541" s="34">
        <v>46154</v>
      </c>
      <c r="N1541" s="7" t="s">
        <v>52</v>
      </c>
    </row>
    <row r="1542" spans="1:14" x14ac:dyDescent="0.25">
      <c r="A1542" s="41" t="s">
        <v>435</v>
      </c>
      <c r="B1542" s="1">
        <v>2</v>
      </c>
      <c r="C1542" s="8">
        <v>46153</v>
      </c>
      <c r="D1542" s="1" t="s">
        <v>2091</v>
      </c>
      <c r="E1542" s="7" t="s">
        <v>13</v>
      </c>
      <c r="F1542" s="1" t="s">
        <v>27</v>
      </c>
      <c r="G1542" s="9" t="s">
        <v>35</v>
      </c>
      <c r="H1542" s="7">
        <v>2854403</v>
      </c>
      <c r="I1542" s="18">
        <v>15001002</v>
      </c>
      <c r="J1542" s="10">
        <v>13602.81</v>
      </c>
      <c r="K1542" s="7" t="s">
        <v>13</v>
      </c>
      <c r="L1542" s="7" t="s">
        <v>54</v>
      </c>
      <c r="M1542" s="34">
        <v>46154</v>
      </c>
      <c r="N1542" s="7" t="s">
        <v>91</v>
      </c>
    </row>
    <row r="1543" spans="1:14" x14ac:dyDescent="0.25">
      <c r="A1543" s="41" t="s">
        <v>435</v>
      </c>
      <c r="B1543" s="1">
        <v>2</v>
      </c>
      <c r="C1543" s="8">
        <v>46153</v>
      </c>
      <c r="D1543" s="1" t="s">
        <v>2092</v>
      </c>
      <c r="E1543" s="7" t="s">
        <v>13</v>
      </c>
      <c r="F1543" s="1" t="s">
        <v>27</v>
      </c>
      <c r="G1543" s="9" t="s">
        <v>35</v>
      </c>
      <c r="H1543" s="7">
        <v>2854408</v>
      </c>
      <c r="I1543" s="18">
        <v>16000000</v>
      </c>
      <c r="J1543" s="10">
        <v>37483.949999999997</v>
      </c>
      <c r="K1543" s="7" t="s">
        <v>13</v>
      </c>
      <c r="L1543" s="7" t="s">
        <v>54</v>
      </c>
      <c r="M1543" s="34">
        <v>46154</v>
      </c>
      <c r="N1543" s="7" t="s">
        <v>91</v>
      </c>
    </row>
    <row r="1544" spans="1:14" x14ac:dyDescent="0.25">
      <c r="A1544" s="41" t="s">
        <v>232</v>
      </c>
      <c r="B1544" s="1">
        <v>1</v>
      </c>
      <c r="C1544" s="8">
        <v>46147</v>
      </c>
      <c r="D1544" s="1" t="s">
        <v>2093</v>
      </c>
      <c r="E1544" s="7" t="s">
        <v>13</v>
      </c>
      <c r="F1544" s="1" t="s">
        <v>27</v>
      </c>
      <c r="G1544" s="9" t="s">
        <v>35</v>
      </c>
      <c r="H1544" s="7">
        <v>534772</v>
      </c>
      <c r="I1544" s="18">
        <v>16210000</v>
      </c>
      <c r="J1544" s="10">
        <v>2232</v>
      </c>
      <c r="K1544" s="7" t="s">
        <v>13</v>
      </c>
      <c r="L1544" s="7" t="s">
        <v>54</v>
      </c>
      <c r="M1544" s="34">
        <v>46153</v>
      </c>
      <c r="N1544" s="7" t="s">
        <v>91</v>
      </c>
    </row>
    <row r="1545" spans="1:14" x14ac:dyDescent="0.25">
      <c r="A1545" s="41" t="s">
        <v>236</v>
      </c>
      <c r="B1545" s="1">
        <v>2</v>
      </c>
      <c r="C1545" s="8">
        <v>46150</v>
      </c>
      <c r="D1545" s="1" t="s">
        <v>2094</v>
      </c>
      <c r="E1545" s="7" t="s">
        <v>13</v>
      </c>
      <c r="F1545" s="1" t="s">
        <v>27</v>
      </c>
      <c r="G1545" s="9" t="s">
        <v>35</v>
      </c>
      <c r="H1545" s="7">
        <v>193343</v>
      </c>
      <c r="I1545" s="18">
        <v>16000000</v>
      </c>
      <c r="J1545" s="10">
        <v>390</v>
      </c>
      <c r="K1545" s="7" t="s">
        <v>13</v>
      </c>
      <c r="L1545" s="7" t="s">
        <v>54</v>
      </c>
      <c r="M1545" s="34">
        <v>46150</v>
      </c>
      <c r="N1545" s="7" t="s">
        <v>52</v>
      </c>
    </row>
    <row r="1546" spans="1:14" x14ac:dyDescent="0.25">
      <c r="A1546" s="41" t="s">
        <v>435</v>
      </c>
      <c r="B1546" s="1">
        <v>2</v>
      </c>
      <c r="C1546" s="8">
        <v>46153</v>
      </c>
      <c r="D1546" s="1" t="s">
        <v>2095</v>
      </c>
      <c r="E1546" s="7" t="s">
        <v>13</v>
      </c>
      <c r="F1546" s="1" t="s">
        <v>27</v>
      </c>
      <c r="G1546" s="9" t="s">
        <v>35</v>
      </c>
      <c r="H1546" s="7">
        <v>2854409</v>
      </c>
      <c r="I1546" s="18">
        <v>16000000</v>
      </c>
      <c r="J1546" s="10">
        <v>3801.03</v>
      </c>
      <c r="K1546" s="7" t="s">
        <v>13</v>
      </c>
      <c r="L1546" s="7" t="s">
        <v>54</v>
      </c>
      <c r="M1546" s="34">
        <v>46154</v>
      </c>
      <c r="N1546" s="7" t="s">
        <v>91</v>
      </c>
    </row>
    <row r="1547" spans="1:14" x14ac:dyDescent="0.25">
      <c r="A1547" s="41" t="s">
        <v>1425</v>
      </c>
      <c r="B1547" s="1">
        <v>1</v>
      </c>
      <c r="C1547" s="8">
        <v>46147</v>
      </c>
      <c r="D1547" s="1" t="s">
        <v>2096</v>
      </c>
      <c r="E1547" s="7" t="s">
        <v>13</v>
      </c>
      <c r="F1547" s="1" t="s">
        <v>27</v>
      </c>
      <c r="G1547" s="9" t="s">
        <v>35</v>
      </c>
      <c r="H1547" s="7">
        <v>17416</v>
      </c>
      <c r="I1547" s="18">
        <v>15001002</v>
      </c>
      <c r="J1547" s="10">
        <v>1080</v>
      </c>
      <c r="K1547" s="7" t="s">
        <v>13</v>
      </c>
      <c r="L1547" s="7" t="s">
        <v>54</v>
      </c>
      <c r="M1547" s="34">
        <v>46153</v>
      </c>
      <c r="N1547" s="7" t="s">
        <v>91</v>
      </c>
    </row>
    <row r="1548" spans="1:14" x14ac:dyDescent="0.25">
      <c r="A1548" s="41" t="s">
        <v>371</v>
      </c>
      <c r="B1548" s="1">
        <v>1</v>
      </c>
      <c r="C1548" s="8">
        <v>46147</v>
      </c>
      <c r="D1548" s="1" t="s">
        <v>2098</v>
      </c>
      <c r="E1548" s="7" t="s">
        <v>14</v>
      </c>
      <c r="F1548" s="1" t="s">
        <v>27</v>
      </c>
      <c r="G1548" s="9" t="s">
        <v>35</v>
      </c>
      <c r="H1548" s="7">
        <v>1698</v>
      </c>
      <c r="I1548" s="18">
        <v>15000000</v>
      </c>
      <c r="J1548" s="10">
        <v>2569.94</v>
      </c>
      <c r="K1548" s="7" t="s">
        <v>12</v>
      </c>
      <c r="L1548" s="7" t="s">
        <v>53</v>
      </c>
      <c r="M1548" s="34">
        <v>46149</v>
      </c>
      <c r="N1548" s="7" t="s">
        <v>41</v>
      </c>
    </row>
    <row r="1549" spans="1:14" x14ac:dyDescent="0.25">
      <c r="A1549" s="41" t="s">
        <v>232</v>
      </c>
      <c r="B1549" s="1">
        <v>1</v>
      </c>
      <c r="C1549" s="8">
        <v>46147</v>
      </c>
      <c r="D1549" s="1" t="s">
        <v>2097</v>
      </c>
      <c r="E1549" s="7" t="s">
        <v>13</v>
      </c>
      <c r="F1549" s="1" t="s">
        <v>27</v>
      </c>
      <c r="G1549" s="9" t="s">
        <v>35</v>
      </c>
      <c r="H1549" s="7">
        <v>533145</v>
      </c>
      <c r="I1549" s="18">
        <v>15001002</v>
      </c>
      <c r="J1549" s="10">
        <v>3997</v>
      </c>
      <c r="K1549" s="7" t="s">
        <v>13</v>
      </c>
      <c r="L1549" s="7" t="s">
        <v>54</v>
      </c>
      <c r="M1549" s="34">
        <v>46150</v>
      </c>
      <c r="N1549" s="7" t="s">
        <v>92</v>
      </c>
    </row>
    <row r="1550" spans="1:14" x14ac:dyDescent="0.25">
      <c r="A1550" s="41" t="s">
        <v>188</v>
      </c>
      <c r="B1550" s="1">
        <v>2</v>
      </c>
      <c r="C1550" s="8">
        <v>46149</v>
      </c>
      <c r="D1550" s="1" t="s">
        <v>2099</v>
      </c>
      <c r="E1550" s="7" t="s">
        <v>13</v>
      </c>
      <c r="F1550" s="1" t="s">
        <v>27</v>
      </c>
      <c r="G1550" s="9" t="s">
        <v>35</v>
      </c>
      <c r="H1550" s="7" t="s">
        <v>74</v>
      </c>
      <c r="I1550" s="18">
        <v>16600000</v>
      </c>
      <c r="J1550" s="10">
        <v>480</v>
      </c>
      <c r="K1550" s="7" t="s">
        <v>13</v>
      </c>
      <c r="L1550" s="7" t="s">
        <v>54</v>
      </c>
      <c r="M1550" s="34">
        <v>46149</v>
      </c>
      <c r="N1550" s="7" t="s">
        <v>52</v>
      </c>
    </row>
    <row r="1551" spans="1:14" x14ac:dyDescent="0.25">
      <c r="A1551" s="41" t="s">
        <v>1794</v>
      </c>
      <c r="B1551" s="1">
        <v>2</v>
      </c>
      <c r="C1551" s="8">
        <v>46149</v>
      </c>
      <c r="D1551" s="1" t="s">
        <v>2100</v>
      </c>
      <c r="E1551" s="7" t="s">
        <v>13</v>
      </c>
      <c r="F1551" s="1" t="s">
        <v>27</v>
      </c>
      <c r="G1551" s="9" t="s">
        <v>35</v>
      </c>
      <c r="H1551" s="7" t="s">
        <v>74</v>
      </c>
      <c r="I1551" s="18">
        <v>16000000</v>
      </c>
      <c r="J1551" s="10">
        <v>460</v>
      </c>
      <c r="K1551" s="7" t="s">
        <v>13</v>
      </c>
      <c r="L1551" s="7" t="s">
        <v>54</v>
      </c>
      <c r="M1551" s="34">
        <v>46150</v>
      </c>
      <c r="N1551" s="7" t="s">
        <v>52</v>
      </c>
    </row>
    <row r="1552" spans="1:14" x14ac:dyDescent="0.25">
      <c r="A1552" s="41" t="s">
        <v>196</v>
      </c>
      <c r="B1552" s="1">
        <v>1</v>
      </c>
      <c r="C1552" s="8">
        <v>46147</v>
      </c>
      <c r="D1552" s="1" t="s">
        <v>2101</v>
      </c>
      <c r="E1552" s="7" t="s">
        <v>13</v>
      </c>
      <c r="F1552" s="1" t="s">
        <v>27</v>
      </c>
      <c r="G1552" s="9" t="s">
        <v>35</v>
      </c>
      <c r="H1552" s="7" t="s">
        <v>74</v>
      </c>
      <c r="I1552" s="18">
        <v>16000000</v>
      </c>
      <c r="J1552" s="10">
        <v>520</v>
      </c>
      <c r="K1552" s="7" t="s">
        <v>13</v>
      </c>
      <c r="L1552" s="7" t="s">
        <v>54</v>
      </c>
      <c r="M1552" s="34">
        <v>46148</v>
      </c>
      <c r="N1552" s="7" t="s">
        <v>52</v>
      </c>
    </row>
    <row r="1553" spans="1:15" x14ac:dyDescent="0.25">
      <c r="A1553" s="41" t="s">
        <v>189</v>
      </c>
      <c r="B1553" s="1">
        <v>2</v>
      </c>
      <c r="C1553" s="8">
        <v>46149</v>
      </c>
      <c r="D1553" s="1" t="s">
        <v>2102</v>
      </c>
      <c r="E1553" s="7" t="s">
        <v>13</v>
      </c>
      <c r="F1553" s="1" t="s">
        <v>27</v>
      </c>
      <c r="G1553" s="9" t="s">
        <v>35</v>
      </c>
      <c r="H1553" s="7" t="s">
        <v>74</v>
      </c>
      <c r="I1553" s="18">
        <v>16000000</v>
      </c>
      <c r="J1553" s="10">
        <v>500</v>
      </c>
      <c r="K1553" s="7" t="s">
        <v>13</v>
      </c>
      <c r="L1553" s="7" t="s">
        <v>54</v>
      </c>
      <c r="M1553" s="34">
        <v>46149</v>
      </c>
      <c r="N1553" s="7" t="s">
        <v>52</v>
      </c>
    </row>
    <row r="1554" spans="1:15" x14ac:dyDescent="0.25">
      <c r="A1554" s="41" t="s">
        <v>139</v>
      </c>
      <c r="B1554" s="1">
        <v>1</v>
      </c>
      <c r="C1554" s="8">
        <v>46147</v>
      </c>
      <c r="D1554" s="1" t="s">
        <v>2105</v>
      </c>
      <c r="E1554" s="7" t="s">
        <v>13</v>
      </c>
      <c r="F1554" s="1" t="s">
        <v>27</v>
      </c>
      <c r="G1554" s="9" t="s">
        <v>38</v>
      </c>
      <c r="H1554" s="7" t="s">
        <v>74</v>
      </c>
      <c r="I1554" s="18" t="s">
        <v>0</v>
      </c>
      <c r="J1554" s="10" t="s">
        <v>61</v>
      </c>
      <c r="K1554" s="7" t="s">
        <v>22</v>
      </c>
      <c r="L1554" s="7" t="s">
        <v>40</v>
      </c>
      <c r="M1554" s="34">
        <v>46148</v>
      </c>
      <c r="N1554" s="7" t="s">
        <v>91</v>
      </c>
    </row>
    <row r="1555" spans="1:15" x14ac:dyDescent="0.25">
      <c r="A1555" s="41" t="s">
        <v>2107</v>
      </c>
      <c r="B1555" s="1">
        <v>3</v>
      </c>
      <c r="C1555" s="8">
        <v>46150</v>
      </c>
      <c r="D1555" s="1" t="s">
        <v>2106</v>
      </c>
      <c r="E1555" s="7" t="s">
        <v>11</v>
      </c>
      <c r="F1555" s="1" t="s">
        <v>27</v>
      </c>
      <c r="G1555" s="9" t="s">
        <v>35</v>
      </c>
      <c r="H1555" s="7" t="s">
        <v>74</v>
      </c>
      <c r="I1555" s="18">
        <v>16610000</v>
      </c>
      <c r="J1555" s="10">
        <v>347.5</v>
      </c>
      <c r="K1555" s="7" t="s">
        <v>58</v>
      </c>
      <c r="L1555" s="7" t="s">
        <v>59</v>
      </c>
      <c r="M1555" s="34">
        <v>46150</v>
      </c>
      <c r="N1555" s="7" t="s">
        <v>46</v>
      </c>
    </row>
    <row r="1556" spans="1:15" x14ac:dyDescent="0.25">
      <c r="A1556" s="41" t="s">
        <v>2107</v>
      </c>
      <c r="B1556" s="1">
        <v>2</v>
      </c>
      <c r="C1556" s="8">
        <v>46153</v>
      </c>
      <c r="D1556" s="1" t="s">
        <v>2309</v>
      </c>
      <c r="E1556" s="7" t="s">
        <v>11</v>
      </c>
      <c r="F1556" s="1" t="s">
        <v>27</v>
      </c>
      <c r="G1556" s="9" t="s">
        <v>35</v>
      </c>
      <c r="H1556" s="7">
        <v>1268</v>
      </c>
      <c r="I1556" s="18">
        <v>15000000</v>
      </c>
      <c r="J1556" s="10">
        <v>122950.47</v>
      </c>
      <c r="K1556" s="7" t="s">
        <v>12</v>
      </c>
      <c r="L1556" s="7" t="s">
        <v>53</v>
      </c>
      <c r="M1556" s="34">
        <v>46155</v>
      </c>
      <c r="N1556" s="7" t="s">
        <v>46</v>
      </c>
      <c r="O1556" s="7" t="s">
        <v>2310</v>
      </c>
    </row>
    <row r="1557" spans="1:15" x14ac:dyDescent="0.25">
      <c r="A1557" s="41" t="s">
        <v>2107</v>
      </c>
      <c r="B1557" s="1">
        <v>2</v>
      </c>
      <c r="C1557" s="8">
        <v>46150</v>
      </c>
      <c r="D1557" s="1" t="s">
        <v>2108</v>
      </c>
      <c r="E1557" s="7" t="s">
        <v>11</v>
      </c>
      <c r="F1557" s="1" t="s">
        <v>27</v>
      </c>
      <c r="G1557" s="9" t="s">
        <v>35</v>
      </c>
      <c r="H1557" s="7">
        <v>1263</v>
      </c>
      <c r="I1557" s="18">
        <v>15000000</v>
      </c>
      <c r="J1557" s="10">
        <v>19338</v>
      </c>
      <c r="K1557" s="7" t="s">
        <v>12</v>
      </c>
      <c r="L1557" s="7" t="s">
        <v>53</v>
      </c>
      <c r="M1557" s="34">
        <v>46150</v>
      </c>
      <c r="N1557" s="7" t="s">
        <v>46</v>
      </c>
    </row>
    <row r="1558" spans="1:15" x14ac:dyDescent="0.25">
      <c r="A1558" s="41" t="s">
        <v>2107</v>
      </c>
      <c r="B1558" s="1">
        <v>2</v>
      </c>
      <c r="C1558" s="8">
        <v>46153</v>
      </c>
      <c r="D1558" s="1" t="s">
        <v>2248</v>
      </c>
      <c r="E1558" s="7" t="s">
        <v>11</v>
      </c>
      <c r="F1558" s="1" t="s">
        <v>27</v>
      </c>
      <c r="G1558" s="9" t="s">
        <v>35</v>
      </c>
      <c r="H1558" s="7" t="s">
        <v>2249</v>
      </c>
      <c r="I1558" s="18">
        <v>15001001</v>
      </c>
      <c r="J1558" s="10">
        <v>22548.62</v>
      </c>
      <c r="K1558" s="7" t="s">
        <v>12</v>
      </c>
      <c r="L1558" s="7" t="s">
        <v>53</v>
      </c>
      <c r="M1558" s="34">
        <v>46154</v>
      </c>
      <c r="N1558" s="7" t="s">
        <v>46</v>
      </c>
    </row>
    <row r="1559" spans="1:15" x14ac:dyDescent="0.25">
      <c r="A1559" s="41" t="s">
        <v>2107</v>
      </c>
      <c r="B1559" s="1">
        <v>2</v>
      </c>
      <c r="C1559" s="8">
        <v>46150</v>
      </c>
      <c r="D1559" s="1" t="s">
        <v>2109</v>
      </c>
      <c r="E1559" s="7" t="s">
        <v>11</v>
      </c>
      <c r="F1559" s="1" t="s">
        <v>27</v>
      </c>
      <c r="G1559" s="9" t="s">
        <v>35</v>
      </c>
      <c r="H1559" s="7">
        <v>1264</v>
      </c>
      <c r="I1559" s="18">
        <v>16600000</v>
      </c>
      <c r="J1559" s="10">
        <v>8000</v>
      </c>
      <c r="K1559" s="7" t="s">
        <v>12</v>
      </c>
      <c r="L1559" s="7" t="s">
        <v>53</v>
      </c>
      <c r="M1559" s="34">
        <v>46150</v>
      </c>
      <c r="N1559" s="7" t="s">
        <v>46</v>
      </c>
    </row>
    <row r="1560" spans="1:15" x14ac:dyDescent="0.25">
      <c r="A1560" s="41" t="s">
        <v>2107</v>
      </c>
      <c r="B1560" s="1">
        <v>2</v>
      </c>
      <c r="C1560" s="8">
        <v>46150</v>
      </c>
      <c r="D1560" s="1" t="s">
        <v>2110</v>
      </c>
      <c r="E1560" s="7" t="s">
        <v>11</v>
      </c>
      <c r="F1560" s="1" t="s">
        <v>27</v>
      </c>
      <c r="G1560" s="9" t="s">
        <v>35</v>
      </c>
      <c r="H1560" s="7">
        <v>1266</v>
      </c>
      <c r="I1560" s="18">
        <v>16610000</v>
      </c>
      <c r="J1560" s="10">
        <v>667.5</v>
      </c>
      <c r="K1560" s="7" t="s">
        <v>12</v>
      </c>
      <c r="L1560" s="7" t="s">
        <v>53</v>
      </c>
      <c r="M1560" s="34">
        <v>46150</v>
      </c>
      <c r="N1560" s="7" t="s">
        <v>46</v>
      </c>
    </row>
    <row r="1561" spans="1:15" x14ac:dyDescent="0.25">
      <c r="A1561" s="41" t="s">
        <v>2107</v>
      </c>
      <c r="B1561" s="1">
        <v>2</v>
      </c>
      <c r="C1561" s="8">
        <v>46153</v>
      </c>
      <c r="D1561" s="1" t="s">
        <v>2307</v>
      </c>
      <c r="E1561" s="7" t="s">
        <v>11</v>
      </c>
      <c r="F1561" s="1" t="s">
        <v>27</v>
      </c>
      <c r="G1561" s="9" t="s">
        <v>35</v>
      </c>
      <c r="H1561" s="7">
        <v>1269</v>
      </c>
      <c r="I1561" s="18">
        <v>15000000</v>
      </c>
      <c r="J1561" s="10">
        <v>27870</v>
      </c>
      <c r="K1561" s="7" t="s">
        <v>12</v>
      </c>
      <c r="L1561" s="7" t="s">
        <v>53</v>
      </c>
      <c r="M1561" s="34">
        <v>46155</v>
      </c>
      <c r="N1561" s="7" t="s">
        <v>46</v>
      </c>
      <c r="O1561" s="7" t="s">
        <v>2308</v>
      </c>
    </row>
    <row r="1562" spans="1:15" x14ac:dyDescent="0.25">
      <c r="A1562" s="41" t="s">
        <v>740</v>
      </c>
      <c r="B1562" s="1">
        <v>1</v>
      </c>
      <c r="C1562" s="8">
        <v>46148</v>
      </c>
      <c r="D1562" s="1" t="s">
        <v>2175</v>
      </c>
      <c r="E1562" s="7" t="s">
        <v>14</v>
      </c>
      <c r="F1562" s="1" t="s">
        <v>27</v>
      </c>
      <c r="G1562" s="9" t="s">
        <v>35</v>
      </c>
      <c r="H1562" s="7">
        <v>7040</v>
      </c>
      <c r="I1562" s="18">
        <v>15000000</v>
      </c>
      <c r="J1562" s="10">
        <v>12000</v>
      </c>
      <c r="K1562" s="7" t="s">
        <v>12</v>
      </c>
      <c r="L1562" s="7" t="s">
        <v>53</v>
      </c>
      <c r="M1562" s="34">
        <v>46148</v>
      </c>
      <c r="N1562" s="7" t="s">
        <v>41</v>
      </c>
    </row>
    <row r="1563" spans="1:15" x14ac:dyDescent="0.25">
      <c r="A1563" s="41" t="s">
        <v>2111</v>
      </c>
      <c r="B1563" s="1">
        <v>1</v>
      </c>
      <c r="C1563" s="8">
        <v>46147</v>
      </c>
      <c r="D1563" s="1" t="s">
        <v>2112</v>
      </c>
      <c r="E1563" s="7" t="s">
        <v>83</v>
      </c>
      <c r="F1563" s="1" t="s">
        <v>27</v>
      </c>
      <c r="G1563" s="9" t="s">
        <v>35</v>
      </c>
      <c r="H1563" s="7" t="s">
        <v>74</v>
      </c>
      <c r="I1563" s="18">
        <v>15000000</v>
      </c>
      <c r="J1563" s="10">
        <v>58439.59</v>
      </c>
      <c r="K1563" s="7" t="s">
        <v>12</v>
      </c>
      <c r="L1563" s="7" t="s">
        <v>53</v>
      </c>
      <c r="M1563" s="34">
        <v>46149</v>
      </c>
      <c r="N1563" s="7" t="s">
        <v>41</v>
      </c>
    </row>
    <row r="1564" spans="1:15" x14ac:dyDescent="0.25">
      <c r="A1564" s="41" t="s">
        <v>740</v>
      </c>
      <c r="B1564" s="1">
        <v>1</v>
      </c>
      <c r="C1564" s="8">
        <v>46147</v>
      </c>
      <c r="D1564" s="1" t="s">
        <v>2113</v>
      </c>
      <c r="E1564" s="7" t="s">
        <v>2</v>
      </c>
      <c r="F1564" s="1" t="s">
        <v>27</v>
      </c>
      <c r="G1564" s="9" t="s">
        <v>35</v>
      </c>
      <c r="H1564" s="7">
        <v>7023</v>
      </c>
      <c r="I1564" s="18">
        <v>15001001</v>
      </c>
      <c r="J1564" s="10">
        <v>2500</v>
      </c>
      <c r="K1564" s="7" t="s">
        <v>12</v>
      </c>
      <c r="L1564" s="7" t="s">
        <v>53</v>
      </c>
      <c r="M1564" s="34">
        <v>46148</v>
      </c>
      <c r="N1564" s="7" t="s">
        <v>41</v>
      </c>
    </row>
    <row r="1565" spans="1:15" x14ac:dyDescent="0.25">
      <c r="A1565" s="41" t="s">
        <v>435</v>
      </c>
      <c r="B1565" s="1">
        <v>2</v>
      </c>
      <c r="C1565" s="8">
        <v>46153</v>
      </c>
      <c r="D1565" s="1" t="s">
        <v>2114</v>
      </c>
      <c r="E1565" s="7" t="s">
        <v>13</v>
      </c>
      <c r="F1565" s="1" t="s">
        <v>27</v>
      </c>
      <c r="G1565" s="9" t="s">
        <v>35</v>
      </c>
      <c r="H1565" s="7">
        <v>2854405</v>
      </c>
      <c r="I1565" s="18">
        <v>15001002</v>
      </c>
      <c r="J1565" s="10">
        <v>20997.33</v>
      </c>
      <c r="K1565" s="7" t="s">
        <v>13</v>
      </c>
      <c r="L1565" s="7" t="s">
        <v>54</v>
      </c>
      <c r="M1565" s="34">
        <v>46153</v>
      </c>
      <c r="N1565" s="7" t="s">
        <v>91</v>
      </c>
    </row>
    <row r="1566" spans="1:15" x14ac:dyDescent="0.25">
      <c r="A1566" s="41" t="s">
        <v>435</v>
      </c>
      <c r="B1566" s="1">
        <v>2</v>
      </c>
      <c r="C1566" s="8">
        <v>46153</v>
      </c>
      <c r="D1566" s="1" t="s">
        <v>2115</v>
      </c>
      <c r="E1566" s="7" t="s">
        <v>13</v>
      </c>
      <c r="F1566" s="1" t="s">
        <v>27</v>
      </c>
      <c r="G1566" s="9" t="s">
        <v>35</v>
      </c>
      <c r="H1566" s="7">
        <v>2856078</v>
      </c>
      <c r="I1566" s="18">
        <v>15001002</v>
      </c>
      <c r="J1566" s="10">
        <v>14200.41</v>
      </c>
      <c r="K1566" s="7" t="s">
        <v>13</v>
      </c>
      <c r="L1566" s="7" t="s">
        <v>54</v>
      </c>
      <c r="M1566" s="34">
        <v>46153</v>
      </c>
      <c r="N1566" s="7" t="s">
        <v>91</v>
      </c>
    </row>
    <row r="1567" spans="1:15" x14ac:dyDescent="0.25">
      <c r="A1567" s="41" t="s">
        <v>435</v>
      </c>
      <c r="B1567" s="1">
        <v>2</v>
      </c>
      <c r="C1567" s="8">
        <v>46153</v>
      </c>
      <c r="D1567" s="1" t="s">
        <v>2116</v>
      </c>
      <c r="E1567" s="7" t="s">
        <v>13</v>
      </c>
      <c r="F1567" s="1" t="s">
        <v>27</v>
      </c>
      <c r="G1567" s="9" t="s">
        <v>35</v>
      </c>
      <c r="H1567" s="7">
        <v>2856076</v>
      </c>
      <c r="I1567" s="18">
        <v>16000000</v>
      </c>
      <c r="J1567" s="10">
        <v>6516.03</v>
      </c>
      <c r="K1567" s="7" t="s">
        <v>13</v>
      </c>
      <c r="L1567" s="7" t="s">
        <v>54</v>
      </c>
      <c r="M1567" s="34">
        <v>46153</v>
      </c>
      <c r="N1567" s="7" t="s">
        <v>91</v>
      </c>
    </row>
    <row r="1568" spans="1:15" x14ac:dyDescent="0.25">
      <c r="A1568" s="41" t="s">
        <v>435</v>
      </c>
      <c r="B1568" s="1">
        <v>2</v>
      </c>
      <c r="C1568" s="8">
        <v>46153</v>
      </c>
      <c r="D1568" s="1" t="s">
        <v>2117</v>
      </c>
      <c r="E1568" s="7" t="s">
        <v>13</v>
      </c>
      <c r="F1568" s="1" t="s">
        <v>27</v>
      </c>
      <c r="G1568" s="9" t="s">
        <v>35</v>
      </c>
      <c r="H1568" s="7">
        <v>2854404</v>
      </c>
      <c r="I1568" s="18">
        <v>15001002</v>
      </c>
      <c r="J1568" s="10">
        <v>1449.64</v>
      </c>
      <c r="K1568" s="7" t="s">
        <v>13</v>
      </c>
      <c r="L1568" s="7" t="s">
        <v>54</v>
      </c>
      <c r="M1568" s="34">
        <v>46153</v>
      </c>
      <c r="N1568" s="7" t="s">
        <v>91</v>
      </c>
    </row>
    <row r="1569" spans="1:15" x14ac:dyDescent="0.25">
      <c r="A1569" s="41" t="s">
        <v>435</v>
      </c>
      <c r="B1569" s="1">
        <v>2</v>
      </c>
      <c r="C1569" s="8">
        <v>46153</v>
      </c>
      <c r="D1569" s="1" t="s">
        <v>2118</v>
      </c>
      <c r="E1569" s="7" t="s">
        <v>13</v>
      </c>
      <c r="F1569" s="1" t="s">
        <v>27</v>
      </c>
      <c r="G1569" s="9" t="s">
        <v>35</v>
      </c>
      <c r="H1569" s="7">
        <v>2855669</v>
      </c>
      <c r="I1569" s="18">
        <v>15001002</v>
      </c>
      <c r="J1569" s="10">
        <v>2669.01</v>
      </c>
      <c r="K1569" s="7" t="s">
        <v>13</v>
      </c>
      <c r="L1569" s="7" t="s">
        <v>54</v>
      </c>
      <c r="M1569" s="34">
        <v>46153</v>
      </c>
      <c r="N1569" s="7" t="s">
        <v>91</v>
      </c>
    </row>
    <row r="1570" spans="1:15" x14ac:dyDescent="0.25">
      <c r="A1570" s="41" t="s">
        <v>435</v>
      </c>
      <c r="B1570" s="1">
        <v>2</v>
      </c>
      <c r="C1570" s="8">
        <v>46153</v>
      </c>
      <c r="D1570" s="1" t="s">
        <v>2119</v>
      </c>
      <c r="E1570" s="7" t="s">
        <v>13</v>
      </c>
      <c r="F1570" s="1" t="s">
        <v>27</v>
      </c>
      <c r="G1570" s="9" t="s">
        <v>35</v>
      </c>
      <c r="H1570" s="7">
        <v>2856077</v>
      </c>
      <c r="I1570" s="18">
        <v>15001002</v>
      </c>
      <c r="J1570" s="10">
        <v>2363.91</v>
      </c>
      <c r="K1570" s="7" t="s">
        <v>13</v>
      </c>
      <c r="L1570" s="7" t="s">
        <v>54</v>
      </c>
      <c r="M1570" s="34">
        <v>46153</v>
      </c>
      <c r="N1570" s="7" t="s">
        <v>91</v>
      </c>
    </row>
    <row r="1571" spans="1:15" x14ac:dyDescent="0.25">
      <c r="A1571" s="41" t="s">
        <v>265</v>
      </c>
      <c r="B1571" s="1">
        <v>2</v>
      </c>
      <c r="C1571" s="8">
        <v>46153</v>
      </c>
      <c r="D1571" s="1" t="s">
        <v>2120</v>
      </c>
      <c r="E1571" s="7" t="s">
        <v>13</v>
      </c>
      <c r="F1571" s="1" t="s">
        <v>27</v>
      </c>
      <c r="G1571" s="9" t="s">
        <v>35</v>
      </c>
      <c r="H1571" s="7">
        <v>182534</v>
      </c>
      <c r="I1571" s="18">
        <v>15001002</v>
      </c>
      <c r="J1571" s="10">
        <v>10714</v>
      </c>
      <c r="K1571" s="7" t="s">
        <v>13</v>
      </c>
      <c r="L1571" s="7" t="s">
        <v>54</v>
      </c>
      <c r="M1571" s="34">
        <v>46153</v>
      </c>
      <c r="N1571" s="7" t="s">
        <v>92</v>
      </c>
    </row>
    <row r="1572" spans="1:15" x14ac:dyDescent="0.25">
      <c r="A1572" s="41" t="s">
        <v>271</v>
      </c>
      <c r="B1572" s="1">
        <v>1</v>
      </c>
      <c r="C1572" s="8">
        <v>46147</v>
      </c>
      <c r="D1572" s="1" t="s">
        <v>2121</v>
      </c>
      <c r="E1572" s="7" t="s">
        <v>13</v>
      </c>
      <c r="F1572" s="1" t="s">
        <v>27</v>
      </c>
      <c r="G1572" s="9" t="s">
        <v>35</v>
      </c>
      <c r="H1572" s="7">
        <v>150375</v>
      </c>
      <c r="I1572" s="18">
        <v>15001002</v>
      </c>
      <c r="J1572" s="10">
        <v>12000</v>
      </c>
      <c r="K1572" s="7" t="s">
        <v>13</v>
      </c>
      <c r="L1572" s="7" t="s">
        <v>54</v>
      </c>
      <c r="M1572" s="34">
        <v>46149</v>
      </c>
      <c r="N1572" s="7" t="s">
        <v>91</v>
      </c>
    </row>
    <row r="1573" spans="1:15" x14ac:dyDescent="0.25">
      <c r="A1573" s="41" t="s">
        <v>1574</v>
      </c>
      <c r="B1573" s="1">
        <v>1</v>
      </c>
      <c r="C1573" s="8">
        <v>46147</v>
      </c>
      <c r="D1573" s="1" t="s">
        <v>2122</v>
      </c>
      <c r="E1573" s="7" t="s">
        <v>2</v>
      </c>
      <c r="F1573" s="1" t="s">
        <v>27</v>
      </c>
      <c r="G1573" s="9" t="s">
        <v>35</v>
      </c>
      <c r="H1573" s="7" t="s">
        <v>74</v>
      </c>
      <c r="I1573" s="18">
        <v>15001001</v>
      </c>
      <c r="J1573" s="10">
        <v>857967.73</v>
      </c>
      <c r="K1573" s="7" t="s">
        <v>12</v>
      </c>
      <c r="L1573" s="7" t="s">
        <v>53</v>
      </c>
      <c r="M1573" s="34">
        <v>46148</v>
      </c>
      <c r="N1573" s="7" t="s">
        <v>62</v>
      </c>
    </row>
    <row r="1574" spans="1:15" x14ac:dyDescent="0.25">
      <c r="A1574" s="41" t="s">
        <v>271</v>
      </c>
      <c r="B1574" s="1">
        <v>1</v>
      </c>
      <c r="C1574" s="8">
        <v>46147</v>
      </c>
      <c r="D1574" s="1" t="s">
        <v>2123</v>
      </c>
      <c r="E1574" s="7" t="s">
        <v>13</v>
      </c>
      <c r="F1574" s="1" t="s">
        <v>27</v>
      </c>
      <c r="G1574" s="9" t="s">
        <v>35</v>
      </c>
      <c r="H1574" s="7">
        <v>1520349</v>
      </c>
      <c r="I1574" s="18">
        <v>15001002</v>
      </c>
      <c r="J1574" s="10">
        <v>2720</v>
      </c>
      <c r="K1574" s="7" t="s">
        <v>13</v>
      </c>
      <c r="L1574" s="7" t="s">
        <v>54</v>
      </c>
      <c r="M1574" s="34">
        <v>46149</v>
      </c>
      <c r="N1574" s="7" t="s">
        <v>46</v>
      </c>
    </row>
    <row r="1575" spans="1:15" x14ac:dyDescent="0.25">
      <c r="A1575" s="41" t="s">
        <v>271</v>
      </c>
      <c r="B1575" s="1">
        <v>1</v>
      </c>
      <c r="C1575" s="8">
        <v>46147</v>
      </c>
      <c r="D1575" s="1" t="s">
        <v>2124</v>
      </c>
      <c r="E1575" s="7" t="s">
        <v>13</v>
      </c>
      <c r="F1575" s="1" t="s">
        <v>27</v>
      </c>
      <c r="G1575" s="9" t="s">
        <v>35</v>
      </c>
      <c r="H1575" s="7">
        <v>1520397</v>
      </c>
      <c r="I1575" s="18">
        <v>15001002</v>
      </c>
      <c r="J1575" s="10">
        <v>1200</v>
      </c>
      <c r="K1575" s="7" t="s">
        <v>13</v>
      </c>
      <c r="L1575" s="7" t="s">
        <v>54</v>
      </c>
      <c r="M1575" s="34">
        <v>46150</v>
      </c>
      <c r="N1575" s="7" t="s">
        <v>92</v>
      </c>
    </row>
    <row r="1576" spans="1:15" x14ac:dyDescent="0.25">
      <c r="A1576" s="41" t="s">
        <v>271</v>
      </c>
      <c r="B1576" s="1">
        <v>1</v>
      </c>
      <c r="C1576" s="8">
        <v>46147</v>
      </c>
      <c r="D1576" s="1" t="s">
        <v>2125</v>
      </c>
      <c r="E1576" s="7" t="s">
        <v>13</v>
      </c>
      <c r="F1576" s="1" t="s">
        <v>27</v>
      </c>
      <c r="G1576" s="9" t="s">
        <v>35</v>
      </c>
      <c r="H1576" s="7">
        <v>1520376</v>
      </c>
      <c r="I1576" s="18">
        <v>16000000</v>
      </c>
      <c r="J1576" s="10">
        <v>6350.4</v>
      </c>
      <c r="K1576" s="7" t="s">
        <v>13</v>
      </c>
      <c r="L1576" s="7" t="s">
        <v>54</v>
      </c>
      <c r="M1576" s="34">
        <v>46149</v>
      </c>
      <c r="N1576" s="7" t="s">
        <v>91</v>
      </c>
    </row>
    <row r="1577" spans="1:15" x14ac:dyDescent="0.25">
      <c r="A1577" s="41" t="s">
        <v>435</v>
      </c>
      <c r="B1577" s="1">
        <v>2</v>
      </c>
      <c r="C1577" s="8">
        <v>46153</v>
      </c>
      <c r="D1577" s="1" t="s">
        <v>2126</v>
      </c>
      <c r="E1577" s="7" t="s">
        <v>13</v>
      </c>
      <c r="F1577" s="1" t="s">
        <v>27</v>
      </c>
      <c r="G1577" s="9" t="s">
        <v>35</v>
      </c>
      <c r="H1577" s="7">
        <v>2854407</v>
      </c>
      <c r="I1577" s="18">
        <v>16000000</v>
      </c>
      <c r="J1577" s="10">
        <v>4693.08</v>
      </c>
      <c r="K1577" s="7" t="s">
        <v>13</v>
      </c>
      <c r="L1577" s="7" t="s">
        <v>54</v>
      </c>
      <c r="M1577" s="34">
        <v>46153</v>
      </c>
      <c r="N1577" s="7" t="s">
        <v>91</v>
      </c>
    </row>
    <row r="1578" spans="1:15" x14ac:dyDescent="0.25">
      <c r="A1578" s="41" t="s">
        <v>268</v>
      </c>
      <c r="B1578" s="1">
        <v>1</v>
      </c>
      <c r="C1578" s="8">
        <v>46147</v>
      </c>
      <c r="D1578" s="1" t="s">
        <v>2127</v>
      </c>
      <c r="E1578" s="7" t="s">
        <v>13</v>
      </c>
      <c r="F1578" s="1" t="s">
        <v>27</v>
      </c>
      <c r="G1578" s="9" t="s">
        <v>35</v>
      </c>
      <c r="H1578" s="7">
        <v>4896</v>
      </c>
      <c r="I1578" s="18">
        <v>16000000</v>
      </c>
      <c r="J1578" s="10">
        <v>330</v>
      </c>
      <c r="K1578" s="7" t="s">
        <v>13</v>
      </c>
      <c r="L1578" s="7" t="s">
        <v>54</v>
      </c>
      <c r="M1578" s="34">
        <v>46150</v>
      </c>
      <c r="N1578" s="7" t="s">
        <v>92</v>
      </c>
    </row>
    <row r="1579" spans="1:15" x14ac:dyDescent="0.25">
      <c r="A1579" s="41" t="s">
        <v>371</v>
      </c>
      <c r="B1579" s="1">
        <v>1</v>
      </c>
      <c r="C1579" s="8">
        <v>46147</v>
      </c>
      <c r="D1579" s="1" t="s">
        <v>2128</v>
      </c>
      <c r="E1579" s="7" t="s">
        <v>2</v>
      </c>
      <c r="F1579" s="1" t="s">
        <v>27</v>
      </c>
      <c r="G1579" s="9" t="s">
        <v>35</v>
      </c>
      <c r="H1579" s="7">
        <v>1696</v>
      </c>
      <c r="I1579" s="18">
        <v>15001001</v>
      </c>
      <c r="J1579" s="10">
        <v>84880.94</v>
      </c>
      <c r="K1579" s="7" t="s">
        <v>12</v>
      </c>
      <c r="L1579" s="7" t="s">
        <v>53</v>
      </c>
      <c r="M1579" s="34">
        <v>46149</v>
      </c>
      <c r="N1579" s="7" t="s">
        <v>91</v>
      </c>
    </row>
    <row r="1580" spans="1:15" x14ac:dyDescent="0.25">
      <c r="A1580" s="41" t="s">
        <v>863</v>
      </c>
      <c r="B1580" s="1">
        <v>2</v>
      </c>
      <c r="C1580" s="8">
        <v>46150</v>
      </c>
      <c r="D1580" s="1" t="s">
        <v>2129</v>
      </c>
      <c r="E1580" s="7" t="s">
        <v>18</v>
      </c>
      <c r="F1580" s="1" t="s">
        <v>27</v>
      </c>
      <c r="G1580" s="9" t="s">
        <v>35</v>
      </c>
      <c r="H1580" s="7">
        <v>269</v>
      </c>
      <c r="I1580" s="18">
        <v>15000000</v>
      </c>
      <c r="J1580" s="10">
        <v>5000</v>
      </c>
      <c r="K1580" s="7" t="s">
        <v>12</v>
      </c>
      <c r="L1580" s="7" t="s">
        <v>53</v>
      </c>
      <c r="M1580" s="34">
        <v>46153</v>
      </c>
      <c r="N1580" s="7" t="s">
        <v>41</v>
      </c>
    </row>
    <row r="1581" spans="1:15" x14ac:dyDescent="0.25">
      <c r="A1581" s="41" t="s">
        <v>435</v>
      </c>
      <c r="B1581" s="1">
        <v>3</v>
      </c>
      <c r="C1581" s="8">
        <v>46154</v>
      </c>
      <c r="D1581" s="1" t="s">
        <v>2331</v>
      </c>
      <c r="E1581" s="7" t="s">
        <v>2</v>
      </c>
      <c r="F1581" s="1" t="s">
        <v>27</v>
      </c>
      <c r="G1581" s="9" t="s">
        <v>35</v>
      </c>
      <c r="H1581" s="7">
        <v>2854406</v>
      </c>
      <c r="I1581" s="18">
        <v>15001002</v>
      </c>
      <c r="J1581" s="10">
        <v>8094.02</v>
      </c>
      <c r="K1581" s="7" t="s">
        <v>13</v>
      </c>
      <c r="L1581" s="7" t="s">
        <v>54</v>
      </c>
      <c r="M1581" s="34">
        <v>46154</v>
      </c>
      <c r="N1581" s="7" t="s">
        <v>41</v>
      </c>
      <c r="O1581" s="7" t="s">
        <v>2332</v>
      </c>
    </row>
    <row r="1582" spans="1:15" ht="30" x14ac:dyDescent="0.25">
      <c r="A1582" s="41" t="s">
        <v>2130</v>
      </c>
      <c r="B1582" s="1">
        <v>1</v>
      </c>
      <c r="C1582" s="8">
        <v>46147</v>
      </c>
      <c r="D1582" s="1" t="s">
        <v>2131</v>
      </c>
      <c r="E1582" s="7" t="s">
        <v>2</v>
      </c>
      <c r="F1582" s="1" t="s">
        <v>27</v>
      </c>
      <c r="G1582" s="9" t="s">
        <v>47</v>
      </c>
      <c r="H1582" s="7" t="s">
        <v>74</v>
      </c>
      <c r="I1582" s="18" t="s">
        <v>0</v>
      </c>
      <c r="J1582" s="10" t="s">
        <v>61</v>
      </c>
      <c r="K1582" s="7" t="s">
        <v>22</v>
      </c>
      <c r="L1582" s="7" t="s">
        <v>55</v>
      </c>
      <c r="M1582" s="34">
        <v>46149</v>
      </c>
      <c r="N1582" s="7" t="s">
        <v>46</v>
      </c>
    </row>
    <row r="1583" spans="1:15" x14ac:dyDescent="0.25">
      <c r="A1583" s="41" t="s">
        <v>687</v>
      </c>
      <c r="B1583" s="1">
        <v>2</v>
      </c>
      <c r="C1583" s="8">
        <v>46153</v>
      </c>
      <c r="D1583" s="1" t="s">
        <v>2132</v>
      </c>
      <c r="E1583" s="7" t="s">
        <v>13</v>
      </c>
      <c r="F1583" s="1" t="s">
        <v>27</v>
      </c>
      <c r="G1583" s="9" t="s">
        <v>35</v>
      </c>
      <c r="H1583" s="7">
        <v>4831</v>
      </c>
      <c r="I1583" s="18">
        <v>15001002</v>
      </c>
      <c r="J1583" s="10">
        <v>7080</v>
      </c>
      <c r="K1583" s="7" t="s">
        <v>13</v>
      </c>
      <c r="L1583" s="7" t="s">
        <v>54</v>
      </c>
      <c r="M1583" s="34">
        <v>46154</v>
      </c>
      <c r="N1583" s="7" t="s">
        <v>92</v>
      </c>
    </row>
    <row r="1584" spans="1:15" x14ac:dyDescent="0.25">
      <c r="A1584" s="41" t="s">
        <v>616</v>
      </c>
      <c r="B1584" s="1">
        <v>1</v>
      </c>
      <c r="C1584" s="8">
        <v>46147</v>
      </c>
      <c r="D1584" s="1" t="s">
        <v>2133</v>
      </c>
      <c r="E1584" s="7" t="s">
        <v>14</v>
      </c>
      <c r="F1584" s="1" t="s">
        <v>27</v>
      </c>
      <c r="G1584" s="9" t="s">
        <v>35</v>
      </c>
      <c r="H1584" s="7">
        <v>1989</v>
      </c>
      <c r="I1584" s="18">
        <v>15000000</v>
      </c>
      <c r="J1584" s="10">
        <v>6666.67</v>
      </c>
      <c r="K1584" s="7" t="s">
        <v>12</v>
      </c>
      <c r="L1584" s="7" t="s">
        <v>53</v>
      </c>
      <c r="M1584" s="34">
        <v>46149</v>
      </c>
      <c r="N1584" s="7" t="s">
        <v>62</v>
      </c>
    </row>
    <row r="1585" spans="1:14" x14ac:dyDescent="0.25">
      <c r="A1585" s="41" t="s">
        <v>128</v>
      </c>
      <c r="B1585" s="1">
        <v>1</v>
      </c>
      <c r="C1585" s="8">
        <v>46147</v>
      </c>
      <c r="D1585" s="1" t="s">
        <v>2134</v>
      </c>
      <c r="E1585" s="7" t="s">
        <v>13</v>
      </c>
      <c r="F1585" s="1" t="s">
        <v>27</v>
      </c>
      <c r="G1585" s="9" t="s">
        <v>35</v>
      </c>
      <c r="H1585" s="7">
        <v>648</v>
      </c>
      <c r="I1585" s="18">
        <v>15001002</v>
      </c>
      <c r="J1585" s="10">
        <v>19985.12</v>
      </c>
      <c r="K1585" s="7" t="s">
        <v>13</v>
      </c>
      <c r="L1585" s="7" t="s">
        <v>54</v>
      </c>
      <c r="M1585" s="34">
        <v>46150</v>
      </c>
      <c r="N1585" s="7" t="s">
        <v>92</v>
      </c>
    </row>
    <row r="1586" spans="1:14" x14ac:dyDescent="0.25">
      <c r="A1586" s="41" t="s">
        <v>214</v>
      </c>
      <c r="B1586" s="1">
        <v>1</v>
      </c>
      <c r="C1586" s="8">
        <v>46147</v>
      </c>
      <c r="D1586" s="1" t="s">
        <v>2135</v>
      </c>
      <c r="E1586" s="7" t="s">
        <v>13</v>
      </c>
      <c r="F1586" s="1" t="s">
        <v>27</v>
      </c>
      <c r="G1586" s="9" t="s">
        <v>35</v>
      </c>
      <c r="H1586" s="7">
        <v>53</v>
      </c>
      <c r="I1586" s="18">
        <v>15001002</v>
      </c>
      <c r="J1586" s="10">
        <v>10620</v>
      </c>
      <c r="K1586" s="7" t="s">
        <v>13</v>
      </c>
      <c r="L1586" s="7" t="s">
        <v>54</v>
      </c>
      <c r="M1586" s="34">
        <v>46149</v>
      </c>
      <c r="N1586" s="7" t="s">
        <v>41</v>
      </c>
    </row>
    <row r="1587" spans="1:14" x14ac:dyDescent="0.25">
      <c r="A1587" s="41" t="s">
        <v>1431</v>
      </c>
      <c r="B1587" s="1">
        <v>2</v>
      </c>
      <c r="C1587" s="8">
        <v>46153</v>
      </c>
      <c r="D1587" s="1" t="s">
        <v>2136</v>
      </c>
      <c r="E1587" s="7" t="s">
        <v>13</v>
      </c>
      <c r="F1587" s="1" t="s">
        <v>27</v>
      </c>
      <c r="G1587" s="9" t="s">
        <v>35</v>
      </c>
      <c r="H1587" s="7">
        <v>97</v>
      </c>
      <c r="I1587" s="18">
        <v>15001002</v>
      </c>
      <c r="J1587" s="10">
        <v>18986.88</v>
      </c>
      <c r="K1587" s="7" t="s">
        <v>13</v>
      </c>
      <c r="L1587" s="7" t="s">
        <v>54</v>
      </c>
      <c r="M1587" s="34">
        <v>46153</v>
      </c>
      <c r="N1587" s="7" t="s">
        <v>41</v>
      </c>
    </row>
    <row r="1588" spans="1:14" x14ac:dyDescent="0.25">
      <c r="A1588" s="41" t="s">
        <v>2137</v>
      </c>
      <c r="B1588" s="1">
        <v>2</v>
      </c>
      <c r="C1588" s="8">
        <v>46153</v>
      </c>
      <c r="D1588" s="1" t="s">
        <v>2138</v>
      </c>
      <c r="E1588" s="7" t="s">
        <v>13</v>
      </c>
      <c r="F1588" s="1" t="s">
        <v>27</v>
      </c>
      <c r="G1588" s="9" t="s">
        <v>35</v>
      </c>
      <c r="H1588" s="7">
        <v>84</v>
      </c>
      <c r="I1588" s="18">
        <v>15001002</v>
      </c>
      <c r="J1588" s="10">
        <v>2449.92</v>
      </c>
      <c r="K1588" s="7" t="s">
        <v>13</v>
      </c>
      <c r="L1588" s="7" t="s">
        <v>54</v>
      </c>
      <c r="M1588" s="34">
        <v>46153</v>
      </c>
      <c r="N1588" s="7" t="s">
        <v>92</v>
      </c>
    </row>
    <row r="1589" spans="1:14" x14ac:dyDescent="0.25">
      <c r="A1589" s="41" t="s">
        <v>154</v>
      </c>
      <c r="B1589" s="1">
        <v>1</v>
      </c>
      <c r="C1589" s="8">
        <v>46147</v>
      </c>
      <c r="D1589" s="1" t="s">
        <v>2139</v>
      </c>
      <c r="E1589" s="7" t="s">
        <v>13</v>
      </c>
      <c r="F1589" s="1" t="s">
        <v>27</v>
      </c>
      <c r="G1589" s="9" t="s">
        <v>35</v>
      </c>
      <c r="H1589" s="7">
        <v>130</v>
      </c>
      <c r="I1589" s="18">
        <v>15001002</v>
      </c>
      <c r="J1589" s="10">
        <v>11600</v>
      </c>
      <c r="K1589" s="7" t="s">
        <v>13</v>
      </c>
      <c r="L1589" s="7" t="s">
        <v>54</v>
      </c>
      <c r="M1589" s="34">
        <v>46149</v>
      </c>
      <c r="N1589" s="7" t="s">
        <v>62</v>
      </c>
    </row>
    <row r="1590" spans="1:14" x14ac:dyDescent="0.25">
      <c r="A1590" s="41" t="s">
        <v>1916</v>
      </c>
      <c r="B1590" s="1">
        <v>1</v>
      </c>
      <c r="C1590" s="8">
        <v>46147</v>
      </c>
      <c r="D1590" s="1" t="s">
        <v>2140</v>
      </c>
      <c r="E1590" s="7" t="s">
        <v>13</v>
      </c>
      <c r="F1590" s="1" t="s">
        <v>27</v>
      </c>
      <c r="G1590" s="9" t="s">
        <v>35</v>
      </c>
      <c r="H1590" s="7">
        <v>150</v>
      </c>
      <c r="I1590" s="18">
        <v>15001002</v>
      </c>
      <c r="J1590" s="10">
        <v>2449.92</v>
      </c>
      <c r="K1590" s="7" t="s">
        <v>13</v>
      </c>
      <c r="L1590" s="7" t="s">
        <v>54</v>
      </c>
      <c r="M1590" s="34">
        <v>46149</v>
      </c>
      <c r="N1590" s="7" t="s">
        <v>62</v>
      </c>
    </row>
    <row r="1591" spans="1:14" x14ac:dyDescent="0.25">
      <c r="A1591" s="41" t="s">
        <v>138</v>
      </c>
      <c r="B1591" s="1">
        <v>1</v>
      </c>
      <c r="C1591" s="8">
        <v>46147</v>
      </c>
      <c r="D1591" s="1" t="s">
        <v>2141</v>
      </c>
      <c r="E1591" s="7" t="s">
        <v>13</v>
      </c>
      <c r="F1591" s="1" t="s">
        <v>27</v>
      </c>
      <c r="G1591" s="9" t="s">
        <v>35</v>
      </c>
      <c r="H1591" s="7">
        <v>855</v>
      </c>
      <c r="I1591" s="18">
        <v>15001002</v>
      </c>
      <c r="J1591" s="10">
        <v>6992.54</v>
      </c>
      <c r="K1591" s="7" t="s">
        <v>13</v>
      </c>
      <c r="L1591" s="7" t="s">
        <v>54</v>
      </c>
      <c r="M1591" s="34">
        <v>46149</v>
      </c>
      <c r="N1591" s="7" t="s">
        <v>62</v>
      </c>
    </row>
    <row r="1592" spans="1:14" x14ac:dyDescent="0.25">
      <c r="A1592" s="41" t="s">
        <v>139</v>
      </c>
      <c r="B1592" s="1">
        <v>1</v>
      </c>
      <c r="C1592" s="8">
        <v>46147</v>
      </c>
      <c r="D1592" s="1" t="s">
        <v>2142</v>
      </c>
      <c r="E1592" s="7" t="s">
        <v>13</v>
      </c>
      <c r="F1592" s="1" t="s">
        <v>27</v>
      </c>
      <c r="G1592" s="9" t="s">
        <v>35</v>
      </c>
      <c r="H1592" s="7">
        <v>3514</v>
      </c>
      <c r="I1592" s="18">
        <v>15001002</v>
      </c>
      <c r="J1592" s="10">
        <v>11600</v>
      </c>
      <c r="K1592" s="7" t="s">
        <v>13</v>
      </c>
      <c r="L1592" s="7" t="s">
        <v>54</v>
      </c>
      <c r="M1592" s="34">
        <v>46149</v>
      </c>
      <c r="N1592" s="7" t="s">
        <v>62</v>
      </c>
    </row>
    <row r="1593" spans="1:14" x14ac:dyDescent="0.25">
      <c r="A1593" s="41" t="s">
        <v>151</v>
      </c>
      <c r="B1593" s="1">
        <v>1</v>
      </c>
      <c r="C1593" s="8">
        <v>46147</v>
      </c>
      <c r="D1593" s="1" t="s">
        <v>2143</v>
      </c>
      <c r="E1593" s="7" t="s">
        <v>13</v>
      </c>
      <c r="F1593" s="1" t="s">
        <v>27</v>
      </c>
      <c r="G1593" s="9" t="s">
        <v>35</v>
      </c>
      <c r="H1593" s="7">
        <v>232</v>
      </c>
      <c r="I1593" s="18">
        <v>15001002</v>
      </c>
      <c r="J1593" s="10">
        <v>5800</v>
      </c>
      <c r="K1593" s="7" t="s">
        <v>13</v>
      </c>
      <c r="L1593" s="7" t="s">
        <v>54</v>
      </c>
      <c r="M1593" s="34">
        <v>46150</v>
      </c>
      <c r="N1593" s="7" t="s">
        <v>92</v>
      </c>
    </row>
    <row r="1594" spans="1:14" x14ac:dyDescent="0.25">
      <c r="A1594" s="41" t="s">
        <v>213</v>
      </c>
      <c r="B1594" s="1">
        <v>1</v>
      </c>
      <c r="C1594" s="8">
        <v>46147</v>
      </c>
      <c r="D1594" s="1" t="s">
        <v>2144</v>
      </c>
      <c r="E1594" s="7" t="s">
        <v>13</v>
      </c>
      <c r="F1594" s="1" t="s">
        <v>27</v>
      </c>
      <c r="G1594" s="9" t="s">
        <v>35</v>
      </c>
      <c r="H1594" s="7">
        <v>20</v>
      </c>
      <c r="I1594" s="18">
        <v>15001002</v>
      </c>
      <c r="J1594" s="10">
        <v>9799.68</v>
      </c>
      <c r="K1594" s="7" t="s">
        <v>13</v>
      </c>
      <c r="L1594" s="7" t="s">
        <v>54</v>
      </c>
      <c r="M1594" s="34">
        <v>46149</v>
      </c>
      <c r="N1594" s="7" t="s">
        <v>92</v>
      </c>
    </row>
    <row r="1595" spans="1:14" x14ac:dyDescent="0.25">
      <c r="A1595" s="41" t="s">
        <v>137</v>
      </c>
      <c r="B1595" s="1">
        <v>1</v>
      </c>
      <c r="C1595" s="8">
        <v>46147</v>
      </c>
      <c r="D1595" s="1" t="s">
        <v>2145</v>
      </c>
      <c r="E1595" s="7" t="s">
        <v>13</v>
      </c>
      <c r="F1595" s="1" t="s">
        <v>27</v>
      </c>
      <c r="G1595" s="9" t="s">
        <v>35</v>
      </c>
      <c r="H1595" s="7">
        <v>1105</v>
      </c>
      <c r="I1595" s="18">
        <v>15001002</v>
      </c>
      <c r="J1595" s="10">
        <v>7080</v>
      </c>
      <c r="K1595" s="7" t="s">
        <v>13</v>
      </c>
      <c r="L1595" s="7" t="s">
        <v>54</v>
      </c>
      <c r="M1595" s="34">
        <v>46149</v>
      </c>
      <c r="N1595" s="7" t="s">
        <v>92</v>
      </c>
    </row>
    <row r="1596" spans="1:14" x14ac:dyDescent="0.25">
      <c r="A1596" s="41" t="s">
        <v>701</v>
      </c>
      <c r="B1596" s="1">
        <v>1</v>
      </c>
      <c r="C1596" s="8">
        <v>46147</v>
      </c>
      <c r="D1596" s="1" t="s">
        <v>2146</v>
      </c>
      <c r="E1596" s="7" t="s">
        <v>13</v>
      </c>
      <c r="F1596" s="1" t="s">
        <v>27</v>
      </c>
      <c r="G1596" s="9" t="s">
        <v>35</v>
      </c>
      <c r="H1596" s="7">
        <v>648</v>
      </c>
      <c r="I1596" s="18">
        <v>15001002</v>
      </c>
      <c r="J1596" s="10">
        <v>16520</v>
      </c>
      <c r="K1596" s="7" t="s">
        <v>13</v>
      </c>
      <c r="L1596" s="7" t="s">
        <v>54</v>
      </c>
      <c r="M1596" s="34">
        <v>46149</v>
      </c>
      <c r="N1596" s="7" t="s">
        <v>92</v>
      </c>
    </row>
    <row r="1597" spans="1:14" x14ac:dyDescent="0.25">
      <c r="A1597" s="41" t="s">
        <v>153</v>
      </c>
      <c r="B1597" s="1">
        <v>1</v>
      </c>
      <c r="C1597" s="8">
        <v>46147</v>
      </c>
      <c r="D1597" s="1" t="s">
        <v>2147</v>
      </c>
      <c r="E1597" s="7" t="s">
        <v>13</v>
      </c>
      <c r="F1597" s="1" t="s">
        <v>27</v>
      </c>
      <c r="G1597" s="9" t="s">
        <v>35</v>
      </c>
      <c r="H1597" s="7">
        <v>223</v>
      </c>
      <c r="I1597" s="18">
        <v>15001002</v>
      </c>
      <c r="J1597" s="10">
        <v>4720</v>
      </c>
      <c r="K1597" s="7" t="s">
        <v>13</v>
      </c>
      <c r="L1597" s="7" t="s">
        <v>54</v>
      </c>
      <c r="M1597" s="34">
        <v>46149</v>
      </c>
      <c r="N1597" s="7" t="s">
        <v>92</v>
      </c>
    </row>
    <row r="1598" spans="1:14" x14ac:dyDescent="0.25">
      <c r="A1598" s="41" t="s">
        <v>169</v>
      </c>
      <c r="B1598" s="1">
        <v>1</v>
      </c>
      <c r="C1598" s="8">
        <v>46147</v>
      </c>
      <c r="D1598" s="1" t="s">
        <v>2148</v>
      </c>
      <c r="E1598" s="7" t="s">
        <v>13</v>
      </c>
      <c r="F1598" s="1" t="s">
        <v>27</v>
      </c>
      <c r="G1598" s="9" t="s">
        <v>35</v>
      </c>
      <c r="H1598" s="7">
        <v>298</v>
      </c>
      <c r="I1598" s="18">
        <v>15001002</v>
      </c>
      <c r="J1598" s="10">
        <v>5800</v>
      </c>
      <c r="K1598" s="7" t="s">
        <v>13</v>
      </c>
      <c r="L1598" s="7" t="s">
        <v>54</v>
      </c>
      <c r="M1598" s="34">
        <v>46149</v>
      </c>
      <c r="N1598" s="7" t="s">
        <v>41</v>
      </c>
    </row>
    <row r="1599" spans="1:14" x14ac:dyDescent="0.25">
      <c r="A1599" s="41" t="s">
        <v>2149</v>
      </c>
      <c r="B1599" s="1">
        <v>1</v>
      </c>
      <c r="C1599" s="8">
        <v>46147</v>
      </c>
      <c r="D1599" s="1" t="s">
        <v>2150</v>
      </c>
      <c r="E1599" s="7" t="s">
        <v>12</v>
      </c>
      <c r="F1599" s="1" t="s">
        <v>27</v>
      </c>
      <c r="G1599" s="9" t="s">
        <v>68</v>
      </c>
      <c r="H1599" s="7" t="s">
        <v>74</v>
      </c>
      <c r="I1599" s="18">
        <v>15001002</v>
      </c>
      <c r="J1599" s="10" t="s">
        <v>61</v>
      </c>
      <c r="K1599" s="7" t="s">
        <v>58</v>
      </c>
      <c r="L1599" s="7" t="s">
        <v>55</v>
      </c>
      <c r="M1599" s="34">
        <v>46148</v>
      </c>
      <c r="N1599" s="7" t="s">
        <v>41</v>
      </c>
    </row>
    <row r="1600" spans="1:14" x14ac:dyDescent="0.25">
      <c r="A1600" s="41" t="s">
        <v>102</v>
      </c>
      <c r="B1600" s="1">
        <v>1</v>
      </c>
      <c r="C1600" s="8">
        <v>46147</v>
      </c>
      <c r="D1600" s="1" t="s">
        <v>2151</v>
      </c>
      <c r="E1600" s="7" t="s">
        <v>13</v>
      </c>
      <c r="F1600" s="1" t="s">
        <v>27</v>
      </c>
      <c r="G1600" s="9" t="s">
        <v>35</v>
      </c>
      <c r="H1600" s="7">
        <v>963</v>
      </c>
      <c r="I1600" s="18">
        <v>15001002</v>
      </c>
      <c r="J1600" s="10">
        <v>15950</v>
      </c>
      <c r="K1600" s="7" t="s">
        <v>13</v>
      </c>
      <c r="L1600" s="7" t="s">
        <v>54</v>
      </c>
      <c r="M1600" s="34">
        <v>46149</v>
      </c>
      <c r="N1600" s="7" t="s">
        <v>41</v>
      </c>
    </row>
    <row r="1601" spans="1:14" x14ac:dyDescent="0.25">
      <c r="A1601" s="41" t="s">
        <v>162</v>
      </c>
      <c r="B1601" s="1">
        <v>1</v>
      </c>
      <c r="C1601" s="8">
        <v>46147</v>
      </c>
      <c r="D1601" s="1" t="s">
        <v>2152</v>
      </c>
      <c r="E1601" s="7" t="s">
        <v>13</v>
      </c>
      <c r="F1601" s="1" t="s">
        <v>27</v>
      </c>
      <c r="G1601" s="9" t="s">
        <v>35</v>
      </c>
      <c r="H1601" s="7">
        <v>249</v>
      </c>
      <c r="I1601" s="18">
        <v>15001002</v>
      </c>
      <c r="J1601" s="10">
        <v>18300</v>
      </c>
      <c r="K1601" s="7" t="s">
        <v>13</v>
      </c>
      <c r="L1601" s="7" t="s">
        <v>54</v>
      </c>
      <c r="M1601" s="34">
        <v>46149</v>
      </c>
      <c r="N1601" s="7" t="s">
        <v>91</v>
      </c>
    </row>
    <row r="1602" spans="1:14" x14ac:dyDescent="0.25">
      <c r="A1602" s="41" t="s">
        <v>676</v>
      </c>
      <c r="B1602" s="1">
        <v>1</v>
      </c>
      <c r="C1602" s="8">
        <v>46147</v>
      </c>
      <c r="D1602" s="1" t="s">
        <v>2153</v>
      </c>
      <c r="E1602" s="7" t="s">
        <v>13</v>
      </c>
      <c r="F1602" s="1" t="s">
        <v>27</v>
      </c>
      <c r="G1602" s="9" t="s">
        <v>35</v>
      </c>
      <c r="H1602" s="7">
        <v>1066</v>
      </c>
      <c r="I1602" s="18">
        <v>15001002</v>
      </c>
      <c r="J1602" s="10">
        <v>11600</v>
      </c>
      <c r="K1602" s="7" t="s">
        <v>13</v>
      </c>
      <c r="L1602" s="7" t="s">
        <v>54</v>
      </c>
      <c r="M1602" s="34">
        <v>46149</v>
      </c>
      <c r="N1602" s="7" t="s">
        <v>91</v>
      </c>
    </row>
    <row r="1603" spans="1:14" x14ac:dyDescent="0.25">
      <c r="A1603" s="41" t="s">
        <v>489</v>
      </c>
      <c r="B1603" s="1">
        <v>2</v>
      </c>
      <c r="C1603" s="8">
        <v>46154</v>
      </c>
      <c r="D1603" s="1" t="s">
        <v>2154</v>
      </c>
      <c r="E1603" s="7" t="s">
        <v>14</v>
      </c>
      <c r="F1603" s="1" t="s">
        <v>27</v>
      </c>
      <c r="G1603" s="9" t="s">
        <v>35</v>
      </c>
      <c r="H1603" s="7">
        <v>92829</v>
      </c>
      <c r="I1603" s="18">
        <v>15001002</v>
      </c>
      <c r="J1603" s="10">
        <v>1299.82</v>
      </c>
      <c r="K1603" s="7" t="s">
        <v>12</v>
      </c>
      <c r="L1603" s="7" t="s">
        <v>53</v>
      </c>
      <c r="M1603" s="34">
        <v>46154</v>
      </c>
      <c r="N1603" s="7" t="s">
        <v>41</v>
      </c>
    </row>
    <row r="1604" spans="1:14" x14ac:dyDescent="0.25">
      <c r="A1604" s="41" t="s">
        <v>470</v>
      </c>
      <c r="B1604" s="1">
        <v>2</v>
      </c>
      <c r="C1604" s="8">
        <v>46154</v>
      </c>
      <c r="D1604" s="1" t="s">
        <v>2155</v>
      </c>
      <c r="E1604" s="7" t="s">
        <v>11</v>
      </c>
      <c r="F1604" s="1" t="s">
        <v>27</v>
      </c>
      <c r="G1604" s="9" t="s">
        <v>35</v>
      </c>
      <c r="H1604" s="7" t="s">
        <v>74</v>
      </c>
      <c r="I1604" s="18">
        <v>15000000</v>
      </c>
      <c r="J1604" s="10">
        <v>10862.4</v>
      </c>
      <c r="K1604" s="7" t="s">
        <v>12</v>
      </c>
      <c r="L1604" s="7" t="s">
        <v>53</v>
      </c>
      <c r="M1604" s="34">
        <v>46154</v>
      </c>
      <c r="N1604" s="7" t="s">
        <v>41</v>
      </c>
    </row>
    <row r="1605" spans="1:14" x14ac:dyDescent="0.25">
      <c r="A1605" s="41" t="s">
        <v>2156</v>
      </c>
      <c r="B1605" s="1">
        <v>1</v>
      </c>
      <c r="C1605" s="8">
        <v>46147</v>
      </c>
      <c r="D1605" s="1" t="s">
        <v>2157</v>
      </c>
      <c r="E1605" s="7" t="s">
        <v>13</v>
      </c>
      <c r="F1605" s="1" t="s">
        <v>27</v>
      </c>
      <c r="G1605" s="9" t="s">
        <v>35</v>
      </c>
      <c r="H1605" s="7">
        <v>19</v>
      </c>
      <c r="I1605" s="18">
        <v>15001002</v>
      </c>
      <c r="J1605" s="10">
        <v>11800</v>
      </c>
      <c r="K1605" s="7" t="s">
        <v>13</v>
      </c>
      <c r="L1605" s="7" t="s">
        <v>54</v>
      </c>
      <c r="M1605" s="34">
        <v>46149</v>
      </c>
      <c r="N1605" s="7" t="s">
        <v>91</v>
      </c>
    </row>
    <row r="1606" spans="1:14" x14ac:dyDescent="0.25">
      <c r="A1606" s="41" t="s">
        <v>1752</v>
      </c>
      <c r="B1606" s="1">
        <v>1</v>
      </c>
      <c r="C1606" s="8">
        <v>46147</v>
      </c>
      <c r="D1606" s="1" t="s">
        <v>2158</v>
      </c>
      <c r="E1606" s="7" t="s">
        <v>13</v>
      </c>
      <c r="F1606" s="1" t="s">
        <v>27</v>
      </c>
      <c r="G1606" s="9" t="s">
        <v>35</v>
      </c>
      <c r="H1606" s="7">
        <v>1410</v>
      </c>
      <c r="I1606" s="18">
        <v>15001002</v>
      </c>
      <c r="J1606" s="10">
        <v>26222.03</v>
      </c>
      <c r="K1606" s="7" t="s">
        <v>13</v>
      </c>
      <c r="L1606" s="7" t="s">
        <v>54</v>
      </c>
      <c r="M1606" s="34">
        <v>46149</v>
      </c>
      <c r="N1606" s="7" t="s">
        <v>91</v>
      </c>
    </row>
    <row r="1607" spans="1:14" x14ac:dyDescent="0.25">
      <c r="A1607" s="41" t="s">
        <v>169</v>
      </c>
      <c r="B1607" s="1">
        <v>1</v>
      </c>
      <c r="C1607" s="8">
        <v>46147</v>
      </c>
      <c r="D1607" s="1" t="s">
        <v>2159</v>
      </c>
      <c r="E1607" s="7" t="s">
        <v>13</v>
      </c>
      <c r="F1607" s="1" t="s">
        <v>27</v>
      </c>
      <c r="G1607" s="9" t="s">
        <v>35</v>
      </c>
      <c r="H1607" s="7">
        <v>299</v>
      </c>
      <c r="I1607" s="18">
        <v>15001002</v>
      </c>
      <c r="J1607" s="10">
        <v>6992.54</v>
      </c>
      <c r="K1607" s="7" t="s">
        <v>13</v>
      </c>
      <c r="L1607" s="7" t="s">
        <v>54</v>
      </c>
      <c r="M1607" s="34">
        <v>46149</v>
      </c>
      <c r="N1607" s="7" t="s">
        <v>91</v>
      </c>
    </row>
    <row r="1608" spans="1:14" x14ac:dyDescent="0.25">
      <c r="A1608" s="41" t="s">
        <v>432</v>
      </c>
      <c r="B1608" s="1">
        <v>1</v>
      </c>
      <c r="C1608" s="8">
        <v>46148</v>
      </c>
      <c r="D1608" s="1" t="s">
        <v>2160</v>
      </c>
      <c r="E1608" s="7" t="s">
        <v>14</v>
      </c>
      <c r="F1608" s="1" t="s">
        <v>27</v>
      </c>
      <c r="G1608" s="9" t="s">
        <v>35</v>
      </c>
      <c r="H1608" s="7" t="s">
        <v>74</v>
      </c>
      <c r="I1608" s="18">
        <v>15000000</v>
      </c>
      <c r="J1608" s="10">
        <v>1800</v>
      </c>
      <c r="K1608" s="7" t="s">
        <v>12</v>
      </c>
      <c r="L1608" s="7" t="s">
        <v>53</v>
      </c>
      <c r="M1608" s="34">
        <v>46150</v>
      </c>
      <c r="N1608" s="7" t="s">
        <v>41</v>
      </c>
    </row>
    <row r="1609" spans="1:14" x14ac:dyDescent="0.25">
      <c r="A1609" s="41" t="s">
        <v>367</v>
      </c>
      <c r="B1609" s="1">
        <v>3</v>
      </c>
      <c r="C1609" s="8">
        <v>46154</v>
      </c>
      <c r="D1609" s="1" t="s">
        <v>2161</v>
      </c>
      <c r="E1609" s="7" t="s">
        <v>14</v>
      </c>
      <c r="F1609" s="1" t="s">
        <v>27</v>
      </c>
      <c r="G1609" s="9" t="s">
        <v>35</v>
      </c>
      <c r="H1609" s="7">
        <v>17612</v>
      </c>
      <c r="I1609" s="18">
        <v>15000000</v>
      </c>
      <c r="J1609" s="10">
        <v>2327.7199999999998</v>
      </c>
      <c r="K1609" s="7" t="s">
        <v>12</v>
      </c>
      <c r="L1609" s="7" t="s">
        <v>53</v>
      </c>
      <c r="M1609" s="34">
        <v>46154</v>
      </c>
      <c r="N1609" s="7" t="s">
        <v>41</v>
      </c>
    </row>
    <row r="1610" spans="1:14" x14ac:dyDescent="0.25">
      <c r="A1610" s="41" t="s">
        <v>364</v>
      </c>
      <c r="B1610" s="1">
        <v>1</v>
      </c>
      <c r="C1610" s="8">
        <v>46148</v>
      </c>
      <c r="D1610" s="1" t="s">
        <v>2162</v>
      </c>
      <c r="E1610" s="7" t="s">
        <v>13</v>
      </c>
      <c r="F1610" s="1" t="s">
        <v>27</v>
      </c>
      <c r="G1610" s="9" t="s">
        <v>35</v>
      </c>
      <c r="H1610" s="7">
        <v>2624</v>
      </c>
      <c r="I1610" s="18">
        <v>16000000</v>
      </c>
      <c r="J1610" s="10">
        <v>18286.04</v>
      </c>
      <c r="K1610" s="7" t="s">
        <v>13</v>
      </c>
      <c r="L1610" s="7" t="s">
        <v>54</v>
      </c>
      <c r="M1610" s="34">
        <v>46150</v>
      </c>
      <c r="N1610" s="7" t="s">
        <v>91</v>
      </c>
    </row>
    <row r="1611" spans="1:14" x14ac:dyDescent="0.25">
      <c r="A1611" s="41" t="s">
        <v>364</v>
      </c>
      <c r="B1611" s="1">
        <v>1</v>
      </c>
      <c r="C1611" s="8">
        <v>46148</v>
      </c>
      <c r="D1611" s="1" t="s">
        <v>2163</v>
      </c>
      <c r="E1611" s="7" t="s">
        <v>13</v>
      </c>
      <c r="F1611" s="1" t="s">
        <v>27</v>
      </c>
      <c r="G1611" s="9" t="s">
        <v>35</v>
      </c>
      <c r="H1611" s="7">
        <v>2628</v>
      </c>
      <c r="I1611" s="18">
        <v>15001002</v>
      </c>
      <c r="J1611" s="10">
        <v>12664.48</v>
      </c>
      <c r="K1611" s="7" t="s">
        <v>13</v>
      </c>
      <c r="L1611" s="7" t="s">
        <v>54</v>
      </c>
      <c r="M1611" s="34">
        <v>46150</v>
      </c>
      <c r="N1611" s="7" t="s">
        <v>91</v>
      </c>
    </row>
    <row r="1612" spans="1:14" x14ac:dyDescent="0.25">
      <c r="A1612" s="41" t="s">
        <v>371</v>
      </c>
      <c r="B1612" s="1">
        <v>1</v>
      </c>
      <c r="C1612" s="8">
        <v>46148</v>
      </c>
      <c r="D1612" s="1" t="s">
        <v>2164</v>
      </c>
      <c r="E1612" s="7" t="s">
        <v>13</v>
      </c>
      <c r="F1612" s="1" t="s">
        <v>27</v>
      </c>
      <c r="G1612" s="9" t="s">
        <v>35</v>
      </c>
      <c r="H1612" s="7">
        <v>1697</v>
      </c>
      <c r="I1612" s="18">
        <v>15001002</v>
      </c>
      <c r="J1612" s="10">
        <v>24414.43</v>
      </c>
      <c r="K1612" s="7" t="s">
        <v>13</v>
      </c>
      <c r="L1612" s="7" t="s">
        <v>54</v>
      </c>
      <c r="M1612" s="34">
        <v>46150</v>
      </c>
      <c r="N1612" s="7" t="s">
        <v>91</v>
      </c>
    </row>
    <row r="1613" spans="1:14" x14ac:dyDescent="0.25">
      <c r="A1613" s="41" t="s">
        <v>896</v>
      </c>
      <c r="B1613" s="1">
        <v>1</v>
      </c>
      <c r="C1613" s="8">
        <v>46148</v>
      </c>
      <c r="D1613" s="1" t="s">
        <v>2165</v>
      </c>
      <c r="E1613" s="7" t="s">
        <v>2</v>
      </c>
      <c r="F1613" s="1" t="s">
        <v>27</v>
      </c>
      <c r="G1613" s="9" t="s">
        <v>35</v>
      </c>
      <c r="H1613" s="7" t="s">
        <v>74</v>
      </c>
      <c r="I1613" s="18">
        <v>15001001</v>
      </c>
      <c r="J1613" s="10">
        <v>12320.18</v>
      </c>
      <c r="K1613" s="7" t="s">
        <v>12</v>
      </c>
      <c r="L1613" s="7" t="s">
        <v>53</v>
      </c>
      <c r="M1613" s="34">
        <v>46149</v>
      </c>
      <c r="N1613" s="7" t="s">
        <v>62</v>
      </c>
    </row>
    <row r="1614" spans="1:14" x14ac:dyDescent="0.25">
      <c r="A1614" s="41" t="s">
        <v>664</v>
      </c>
      <c r="B1614" s="1">
        <v>2</v>
      </c>
      <c r="C1614" s="8">
        <v>46150</v>
      </c>
      <c r="D1614" s="1" t="s">
        <v>2166</v>
      </c>
      <c r="E1614" s="7" t="s">
        <v>2</v>
      </c>
      <c r="F1614" s="1" t="s">
        <v>27</v>
      </c>
      <c r="G1614" s="9" t="s">
        <v>35</v>
      </c>
      <c r="H1614" s="7">
        <v>79</v>
      </c>
      <c r="I1614" s="18">
        <v>15001001</v>
      </c>
      <c r="J1614" s="10">
        <v>59572.74</v>
      </c>
      <c r="K1614" s="7" t="s">
        <v>12</v>
      </c>
      <c r="L1614" s="7" t="s">
        <v>53</v>
      </c>
      <c r="M1614" s="34">
        <v>46150</v>
      </c>
      <c r="N1614" s="7" t="s">
        <v>41</v>
      </c>
    </row>
    <row r="1615" spans="1:14" x14ac:dyDescent="0.25">
      <c r="A1615" s="41" t="s">
        <v>2167</v>
      </c>
      <c r="B1615" s="1">
        <v>1</v>
      </c>
      <c r="C1615" s="8">
        <v>46148</v>
      </c>
      <c r="D1615" s="1" t="s">
        <v>2168</v>
      </c>
      <c r="E1615" s="7" t="s">
        <v>14</v>
      </c>
      <c r="F1615" s="1" t="s">
        <v>27</v>
      </c>
      <c r="G1615" s="9" t="s">
        <v>35</v>
      </c>
      <c r="H1615" s="7" t="s">
        <v>74</v>
      </c>
      <c r="I1615" s="18">
        <v>15000000</v>
      </c>
      <c r="J1615" s="10">
        <v>13012.85</v>
      </c>
      <c r="K1615" s="7" t="s">
        <v>12</v>
      </c>
      <c r="L1615" s="7" t="s">
        <v>53</v>
      </c>
      <c r="M1615" s="34">
        <v>46149</v>
      </c>
      <c r="N1615" s="7" t="s">
        <v>62</v>
      </c>
    </row>
    <row r="1616" spans="1:14" x14ac:dyDescent="0.25">
      <c r="A1616" s="41" t="s">
        <v>412</v>
      </c>
      <c r="B1616" s="1">
        <v>2</v>
      </c>
      <c r="C1616" s="8">
        <v>46153</v>
      </c>
      <c r="D1616" s="1" t="s">
        <v>2169</v>
      </c>
      <c r="E1616" s="7" t="s">
        <v>2</v>
      </c>
      <c r="F1616" s="1" t="s">
        <v>27</v>
      </c>
      <c r="G1616" s="9" t="s">
        <v>35</v>
      </c>
      <c r="H1616" s="7">
        <v>1654</v>
      </c>
      <c r="I1616" s="18">
        <v>15400000</v>
      </c>
      <c r="J1616" s="10">
        <v>3424</v>
      </c>
      <c r="K1616" s="7" t="s">
        <v>12</v>
      </c>
      <c r="L1616" s="7" t="s">
        <v>53</v>
      </c>
      <c r="M1616" s="34">
        <v>46153</v>
      </c>
      <c r="N1616" s="7" t="s">
        <v>41</v>
      </c>
    </row>
    <row r="1617" spans="1:14" x14ac:dyDescent="0.25">
      <c r="A1617" s="41" t="s">
        <v>412</v>
      </c>
      <c r="B1617" s="1">
        <v>2</v>
      </c>
      <c r="C1617" s="8">
        <v>46153</v>
      </c>
      <c r="D1617" s="1" t="s">
        <v>2170</v>
      </c>
      <c r="E1617" s="7" t="s">
        <v>2</v>
      </c>
      <c r="F1617" s="1" t="s">
        <v>27</v>
      </c>
      <c r="G1617" s="9" t="s">
        <v>35</v>
      </c>
      <c r="H1617" s="7">
        <v>1650</v>
      </c>
      <c r="I1617" s="18">
        <v>15400000</v>
      </c>
      <c r="J1617" s="10">
        <v>2996</v>
      </c>
      <c r="K1617" s="7" t="s">
        <v>12</v>
      </c>
      <c r="L1617" s="7" t="s">
        <v>53</v>
      </c>
      <c r="M1617" s="34">
        <v>46153</v>
      </c>
      <c r="N1617" s="7" t="s">
        <v>41</v>
      </c>
    </row>
    <row r="1618" spans="1:14" x14ac:dyDescent="0.25">
      <c r="A1618" s="41" t="s">
        <v>371</v>
      </c>
      <c r="B1618" s="1">
        <v>1</v>
      </c>
      <c r="C1618" s="8">
        <v>46148</v>
      </c>
      <c r="D1618" s="1" t="s">
        <v>2171</v>
      </c>
      <c r="E1618" s="7" t="s">
        <v>16</v>
      </c>
      <c r="F1618" s="1" t="s">
        <v>27</v>
      </c>
      <c r="G1618" s="9" t="s">
        <v>35</v>
      </c>
      <c r="H1618" s="7">
        <v>1700</v>
      </c>
      <c r="I1618" s="18">
        <v>16600000</v>
      </c>
      <c r="J1618" s="10">
        <v>2664.4</v>
      </c>
      <c r="K1618" s="7" t="s">
        <v>12</v>
      </c>
      <c r="L1618" s="7" t="s">
        <v>53</v>
      </c>
      <c r="M1618" s="34">
        <v>46149</v>
      </c>
      <c r="N1618" s="7" t="s">
        <v>62</v>
      </c>
    </row>
    <row r="1619" spans="1:14" x14ac:dyDescent="0.25">
      <c r="A1619" s="41" t="s">
        <v>448</v>
      </c>
      <c r="B1619" s="1">
        <v>2</v>
      </c>
      <c r="C1619" s="8">
        <v>46150</v>
      </c>
      <c r="D1619" s="1" t="s">
        <v>2172</v>
      </c>
      <c r="E1619" s="7" t="s">
        <v>2</v>
      </c>
      <c r="F1619" s="1" t="s">
        <v>27</v>
      </c>
      <c r="G1619" s="9" t="s">
        <v>35</v>
      </c>
      <c r="H1619" s="7" t="s">
        <v>2173</v>
      </c>
      <c r="I1619" s="18">
        <v>15001001</v>
      </c>
      <c r="J1619" s="10">
        <v>10188</v>
      </c>
      <c r="K1619" s="7" t="s">
        <v>12</v>
      </c>
      <c r="L1619" s="7" t="s">
        <v>53</v>
      </c>
      <c r="M1619" s="34">
        <v>46150</v>
      </c>
      <c r="N1619" s="7" t="s">
        <v>41</v>
      </c>
    </row>
    <row r="1620" spans="1:14" x14ac:dyDescent="0.25">
      <c r="A1620" s="41" t="s">
        <v>199</v>
      </c>
      <c r="B1620" s="1">
        <v>1</v>
      </c>
      <c r="C1620" s="8">
        <v>46148</v>
      </c>
      <c r="D1620" s="1" t="s">
        <v>2174</v>
      </c>
      <c r="E1620" s="7" t="s">
        <v>14</v>
      </c>
      <c r="F1620" s="1" t="s">
        <v>27</v>
      </c>
      <c r="G1620" s="9" t="s">
        <v>35</v>
      </c>
      <c r="H1620" s="7">
        <v>491</v>
      </c>
      <c r="I1620" s="18">
        <v>15000000</v>
      </c>
      <c r="J1620" s="10">
        <v>3000</v>
      </c>
      <c r="K1620" s="7" t="s">
        <v>12</v>
      </c>
      <c r="L1620" s="7" t="s">
        <v>53</v>
      </c>
      <c r="M1620" s="34">
        <v>46160</v>
      </c>
      <c r="N1620" s="7" t="s">
        <v>41</v>
      </c>
    </row>
    <row r="1621" spans="1:14" x14ac:dyDescent="0.25">
      <c r="A1621" s="41" t="s">
        <v>424</v>
      </c>
      <c r="B1621" s="1">
        <v>2</v>
      </c>
      <c r="C1621" s="8">
        <v>46153</v>
      </c>
      <c r="D1621" s="1" t="s">
        <v>2178</v>
      </c>
      <c r="E1621" s="7" t="s">
        <v>14</v>
      </c>
      <c r="F1621" s="1" t="s">
        <v>27</v>
      </c>
      <c r="G1621" s="9" t="s">
        <v>35</v>
      </c>
      <c r="H1621" s="7">
        <v>209</v>
      </c>
      <c r="I1621" s="18">
        <v>15000000</v>
      </c>
      <c r="J1621" s="10">
        <v>37503</v>
      </c>
      <c r="K1621" s="7" t="s">
        <v>12</v>
      </c>
      <c r="L1621" s="7" t="s">
        <v>53</v>
      </c>
      <c r="M1621" s="34">
        <v>46153</v>
      </c>
      <c r="N1621" s="7" t="s">
        <v>62</v>
      </c>
    </row>
    <row r="1622" spans="1:14" x14ac:dyDescent="0.25">
      <c r="A1622" s="41" t="s">
        <v>424</v>
      </c>
      <c r="B1622" s="1">
        <v>2</v>
      </c>
      <c r="C1622" s="8">
        <v>46153</v>
      </c>
      <c r="D1622" s="1" t="s">
        <v>2179</v>
      </c>
      <c r="E1622" s="7" t="s">
        <v>14</v>
      </c>
      <c r="F1622" s="1" t="s">
        <v>27</v>
      </c>
      <c r="G1622" s="9" t="s">
        <v>35</v>
      </c>
      <c r="H1622" s="7">
        <v>210</v>
      </c>
      <c r="I1622" s="18">
        <v>15000000</v>
      </c>
      <c r="J1622" s="10">
        <v>40407.9</v>
      </c>
      <c r="K1622" s="7" t="s">
        <v>12</v>
      </c>
      <c r="L1622" s="7" t="s">
        <v>53</v>
      </c>
      <c r="M1622" s="34">
        <v>46153</v>
      </c>
      <c r="N1622" s="7" t="s">
        <v>62</v>
      </c>
    </row>
    <row r="1623" spans="1:14" x14ac:dyDescent="0.25">
      <c r="A1623" s="41" t="s">
        <v>2180</v>
      </c>
      <c r="B1623" s="1">
        <v>1</v>
      </c>
      <c r="C1623" s="8">
        <v>46148</v>
      </c>
      <c r="D1623" s="1" t="s">
        <v>2181</v>
      </c>
      <c r="E1623" s="7" t="s">
        <v>13</v>
      </c>
      <c r="F1623" s="1" t="s">
        <v>27</v>
      </c>
      <c r="G1623" s="9" t="s">
        <v>35</v>
      </c>
      <c r="H1623" s="7">
        <v>25</v>
      </c>
      <c r="I1623" s="18">
        <v>15001002</v>
      </c>
      <c r="J1623" s="10">
        <v>4899.84</v>
      </c>
      <c r="K1623" s="7" t="s">
        <v>13</v>
      </c>
      <c r="L1623" s="7" t="s">
        <v>54</v>
      </c>
      <c r="M1623" s="34">
        <v>46149</v>
      </c>
      <c r="N1623" s="7" t="s">
        <v>41</v>
      </c>
    </row>
    <row r="1624" spans="1:14" x14ac:dyDescent="0.25">
      <c r="A1624" s="41" t="s">
        <v>362</v>
      </c>
      <c r="B1624" s="1">
        <v>1</v>
      </c>
      <c r="C1624" s="8">
        <v>46148</v>
      </c>
      <c r="D1624" s="1" t="s">
        <v>2182</v>
      </c>
      <c r="E1624" s="7" t="s">
        <v>13</v>
      </c>
      <c r="F1624" s="1" t="s">
        <v>27</v>
      </c>
      <c r="G1624" s="9" t="s">
        <v>35</v>
      </c>
      <c r="H1624" s="7">
        <v>28</v>
      </c>
      <c r="I1624" s="18">
        <v>15001002</v>
      </c>
      <c r="J1624" s="10">
        <v>14699.52</v>
      </c>
      <c r="K1624" s="7" t="s">
        <v>13</v>
      </c>
      <c r="L1624" s="7" t="s">
        <v>54</v>
      </c>
      <c r="M1624" s="34">
        <v>46149</v>
      </c>
      <c r="N1624" s="7" t="s">
        <v>41</v>
      </c>
    </row>
    <row r="1625" spans="1:14" x14ac:dyDescent="0.25">
      <c r="A1625" s="41" t="s">
        <v>2183</v>
      </c>
      <c r="B1625" s="1">
        <v>2</v>
      </c>
      <c r="C1625" s="8">
        <v>46153</v>
      </c>
      <c r="D1625" s="1" t="s">
        <v>2184</v>
      </c>
      <c r="E1625" s="7" t="s">
        <v>13</v>
      </c>
      <c r="F1625" s="1" t="s">
        <v>27</v>
      </c>
      <c r="G1625" s="9" t="s">
        <v>35</v>
      </c>
      <c r="H1625" s="7">
        <v>741</v>
      </c>
      <c r="I1625" s="18">
        <v>15001002</v>
      </c>
      <c r="J1625" s="10">
        <v>7080</v>
      </c>
      <c r="K1625" s="7" t="s">
        <v>13</v>
      </c>
      <c r="L1625" s="7" t="s">
        <v>54</v>
      </c>
      <c r="M1625" s="34">
        <v>46153</v>
      </c>
      <c r="N1625" s="7" t="s">
        <v>41</v>
      </c>
    </row>
    <row r="1626" spans="1:14" x14ac:dyDescent="0.25">
      <c r="A1626" s="41" t="s">
        <v>158</v>
      </c>
      <c r="B1626" s="1">
        <v>2</v>
      </c>
      <c r="C1626" s="8">
        <v>46154</v>
      </c>
      <c r="D1626" s="1" t="s">
        <v>2185</v>
      </c>
      <c r="E1626" s="7" t="s">
        <v>13</v>
      </c>
      <c r="F1626" s="1" t="s">
        <v>27</v>
      </c>
      <c r="G1626" s="9" t="s">
        <v>35</v>
      </c>
      <c r="H1626" s="7">
        <v>2701</v>
      </c>
      <c r="I1626" s="18">
        <v>15001002</v>
      </c>
      <c r="J1626" s="10">
        <v>13985.08</v>
      </c>
      <c r="K1626" s="7" t="s">
        <v>13</v>
      </c>
      <c r="L1626" s="7" t="s">
        <v>54</v>
      </c>
      <c r="M1626" s="34">
        <v>46154</v>
      </c>
      <c r="N1626" s="7" t="s">
        <v>41</v>
      </c>
    </row>
    <row r="1627" spans="1:14" x14ac:dyDescent="0.25">
      <c r="A1627" s="41" t="s">
        <v>371</v>
      </c>
      <c r="B1627" s="1">
        <v>1</v>
      </c>
      <c r="C1627" s="8">
        <v>46148</v>
      </c>
      <c r="D1627" s="1" t="s">
        <v>2186</v>
      </c>
      <c r="E1627" s="7" t="s">
        <v>16</v>
      </c>
      <c r="F1627" s="1" t="s">
        <v>27</v>
      </c>
      <c r="G1627" s="9" t="s">
        <v>35</v>
      </c>
      <c r="H1627" s="7">
        <v>1700</v>
      </c>
      <c r="I1627" s="18">
        <v>15000000</v>
      </c>
      <c r="J1627" s="10">
        <v>1284.97</v>
      </c>
      <c r="K1627" s="7" t="s">
        <v>12</v>
      </c>
      <c r="L1627" s="7" t="s">
        <v>53</v>
      </c>
      <c r="M1627" s="34">
        <v>46149</v>
      </c>
      <c r="N1627" s="7" t="s">
        <v>62</v>
      </c>
    </row>
    <row r="1628" spans="1:14" x14ac:dyDescent="0.25">
      <c r="A1628" s="41" t="s">
        <v>2187</v>
      </c>
      <c r="B1628" s="1">
        <v>1</v>
      </c>
      <c r="C1628" s="8">
        <v>46148</v>
      </c>
      <c r="D1628" s="1" t="s">
        <v>2188</v>
      </c>
      <c r="E1628" s="7" t="s">
        <v>16</v>
      </c>
      <c r="F1628" s="1" t="s">
        <v>27</v>
      </c>
      <c r="G1628" s="9" t="s">
        <v>35</v>
      </c>
      <c r="H1628" s="7">
        <v>15</v>
      </c>
      <c r="I1628" s="18">
        <v>15000000</v>
      </c>
      <c r="J1628" s="10">
        <v>73320</v>
      </c>
      <c r="K1628" s="7" t="s">
        <v>12</v>
      </c>
      <c r="L1628" s="7" t="s">
        <v>53</v>
      </c>
      <c r="M1628" s="34">
        <v>46149</v>
      </c>
      <c r="N1628" s="7" t="s">
        <v>62</v>
      </c>
    </row>
    <row r="1629" spans="1:14" x14ac:dyDescent="0.25">
      <c r="A1629" s="41" t="s">
        <v>2190</v>
      </c>
      <c r="B1629" s="1">
        <v>1</v>
      </c>
      <c r="C1629" s="8">
        <v>46148</v>
      </c>
      <c r="D1629" s="1" t="s">
        <v>2189</v>
      </c>
      <c r="E1629" s="7" t="s">
        <v>2</v>
      </c>
      <c r="F1629" s="1" t="s">
        <v>27</v>
      </c>
      <c r="G1629" s="9" t="s">
        <v>35</v>
      </c>
      <c r="H1629" s="7">
        <v>25007</v>
      </c>
      <c r="I1629" s="18">
        <v>15000000</v>
      </c>
      <c r="J1629" s="10">
        <v>508.86</v>
      </c>
      <c r="K1629" s="7" t="s">
        <v>12</v>
      </c>
      <c r="L1629" s="7" t="s">
        <v>53</v>
      </c>
      <c r="M1629" s="34">
        <v>46149</v>
      </c>
      <c r="N1629" s="7" t="s">
        <v>62</v>
      </c>
    </row>
    <row r="1630" spans="1:14" x14ac:dyDescent="0.25">
      <c r="A1630" s="41" t="s">
        <v>141</v>
      </c>
      <c r="B1630" s="1">
        <v>1</v>
      </c>
      <c r="C1630" s="8">
        <v>46148</v>
      </c>
      <c r="D1630" s="1" t="s">
        <v>2191</v>
      </c>
      <c r="E1630" s="7" t="s">
        <v>13</v>
      </c>
      <c r="F1630" s="1" t="s">
        <v>27</v>
      </c>
      <c r="G1630" s="9" t="s">
        <v>35</v>
      </c>
      <c r="H1630" s="7">
        <v>1711</v>
      </c>
      <c r="I1630" s="18">
        <v>15001002</v>
      </c>
      <c r="J1630" s="10">
        <v>12980</v>
      </c>
      <c r="K1630" s="7" t="s">
        <v>13</v>
      </c>
      <c r="L1630" s="7" t="s">
        <v>54</v>
      </c>
      <c r="M1630" s="34">
        <v>46149</v>
      </c>
      <c r="N1630" s="7" t="s">
        <v>91</v>
      </c>
    </row>
    <row r="1631" spans="1:14" x14ac:dyDescent="0.25">
      <c r="A1631" s="41" t="s">
        <v>199</v>
      </c>
      <c r="B1631" s="1">
        <v>2</v>
      </c>
      <c r="C1631" s="8">
        <v>46154</v>
      </c>
      <c r="D1631" s="1" t="s">
        <v>2192</v>
      </c>
      <c r="E1631" s="7" t="s">
        <v>2</v>
      </c>
      <c r="F1631" s="1" t="s">
        <v>27</v>
      </c>
      <c r="G1631" s="9" t="s">
        <v>35</v>
      </c>
      <c r="H1631" s="7">
        <v>493</v>
      </c>
      <c r="I1631" s="18">
        <v>15001002</v>
      </c>
      <c r="J1631" s="10">
        <v>6000</v>
      </c>
      <c r="K1631" s="7" t="s">
        <v>12</v>
      </c>
      <c r="L1631" s="7" t="s">
        <v>53</v>
      </c>
      <c r="M1631" s="34">
        <v>46160</v>
      </c>
      <c r="N1631" s="7" t="s">
        <v>62</v>
      </c>
    </row>
    <row r="1632" spans="1:14" x14ac:dyDescent="0.25">
      <c r="A1632" s="41" t="s">
        <v>2193</v>
      </c>
      <c r="B1632" s="1">
        <v>1</v>
      </c>
      <c r="C1632" s="8">
        <v>46148</v>
      </c>
      <c r="D1632" s="1" t="s">
        <v>2194</v>
      </c>
      <c r="E1632" s="7" t="s">
        <v>14</v>
      </c>
      <c r="F1632" s="1" t="s">
        <v>27</v>
      </c>
      <c r="G1632" s="9" t="s">
        <v>35</v>
      </c>
      <c r="H1632" s="7">
        <v>46387</v>
      </c>
      <c r="I1632" s="18">
        <v>15000000</v>
      </c>
      <c r="J1632" s="10">
        <v>1336</v>
      </c>
      <c r="K1632" s="7" t="s">
        <v>12</v>
      </c>
      <c r="L1632" s="7" t="s">
        <v>53</v>
      </c>
      <c r="M1632" s="34">
        <v>46153</v>
      </c>
      <c r="N1632" s="7" t="s">
        <v>41</v>
      </c>
    </row>
    <row r="1633" spans="1:14" x14ac:dyDescent="0.25">
      <c r="A1633" s="41" t="s">
        <v>166</v>
      </c>
      <c r="B1633" s="1">
        <v>1</v>
      </c>
      <c r="C1633" s="8">
        <v>46148</v>
      </c>
      <c r="D1633" s="1" t="s">
        <v>2195</v>
      </c>
      <c r="E1633" s="7" t="s">
        <v>13</v>
      </c>
      <c r="F1633" s="1" t="s">
        <v>27</v>
      </c>
      <c r="G1633" s="9" t="s">
        <v>35</v>
      </c>
      <c r="H1633" s="7" t="s">
        <v>2196</v>
      </c>
      <c r="I1633" s="18">
        <v>15001002</v>
      </c>
      <c r="J1633" s="10">
        <v>21940</v>
      </c>
      <c r="K1633" s="7" t="s">
        <v>13</v>
      </c>
      <c r="L1633" s="7" t="s">
        <v>54</v>
      </c>
      <c r="M1633" s="34">
        <v>46149</v>
      </c>
      <c r="N1633" s="7" t="s">
        <v>41</v>
      </c>
    </row>
    <row r="1634" spans="1:14" x14ac:dyDescent="0.25">
      <c r="A1634" s="41" t="s">
        <v>2200</v>
      </c>
      <c r="B1634" s="1">
        <v>1</v>
      </c>
      <c r="C1634" s="8">
        <v>46148</v>
      </c>
      <c r="D1634" s="1" t="s">
        <v>2197</v>
      </c>
      <c r="E1634" s="7" t="s">
        <v>2</v>
      </c>
      <c r="F1634" s="1" t="s">
        <v>27</v>
      </c>
      <c r="G1634" s="9" t="s">
        <v>35</v>
      </c>
      <c r="H1634" s="7">
        <v>4570</v>
      </c>
      <c r="I1634" s="18">
        <v>15001001</v>
      </c>
      <c r="J1634" s="10">
        <v>9491.77</v>
      </c>
      <c r="K1634" s="7" t="s">
        <v>12</v>
      </c>
      <c r="L1634" s="7" t="s">
        <v>53</v>
      </c>
      <c r="M1634" s="34">
        <v>46153</v>
      </c>
      <c r="N1634" s="7" t="s">
        <v>41</v>
      </c>
    </row>
    <row r="1635" spans="1:14" x14ac:dyDescent="0.25">
      <c r="A1635" s="41" t="s">
        <v>688</v>
      </c>
      <c r="B1635" s="1">
        <v>1</v>
      </c>
      <c r="C1635" s="8">
        <v>46148</v>
      </c>
      <c r="D1635" s="1" t="s">
        <v>2198</v>
      </c>
      <c r="E1635" s="7" t="s">
        <v>13</v>
      </c>
      <c r="F1635" s="1" t="s">
        <v>27</v>
      </c>
      <c r="G1635" s="9" t="s">
        <v>35</v>
      </c>
      <c r="H1635" s="7">
        <v>217</v>
      </c>
      <c r="I1635" s="18">
        <v>15001002</v>
      </c>
      <c r="J1635" s="10">
        <v>18300</v>
      </c>
      <c r="K1635" s="7" t="s">
        <v>13</v>
      </c>
      <c r="L1635" s="7" t="s">
        <v>54</v>
      </c>
      <c r="M1635" s="34">
        <v>46149</v>
      </c>
      <c r="N1635" s="7" t="s">
        <v>41</v>
      </c>
    </row>
    <row r="1636" spans="1:14" x14ac:dyDescent="0.25">
      <c r="A1636" s="41" t="s">
        <v>424</v>
      </c>
      <c r="B1636" s="1">
        <v>2</v>
      </c>
      <c r="C1636" s="8">
        <v>46153</v>
      </c>
      <c r="D1636" s="1" t="s">
        <v>2199</v>
      </c>
      <c r="E1636" s="7" t="s">
        <v>14</v>
      </c>
      <c r="F1636" s="1" t="s">
        <v>27</v>
      </c>
      <c r="G1636" s="9" t="s">
        <v>35</v>
      </c>
      <c r="H1636" s="7">
        <v>211</v>
      </c>
      <c r="I1636" s="18">
        <v>15000000</v>
      </c>
      <c r="J1636" s="10">
        <v>159370.20000000001</v>
      </c>
      <c r="K1636" s="7" t="s">
        <v>12</v>
      </c>
      <c r="L1636" s="7" t="s">
        <v>53</v>
      </c>
      <c r="M1636" s="34">
        <v>46153</v>
      </c>
      <c r="N1636" s="7" t="s">
        <v>62</v>
      </c>
    </row>
    <row r="1637" spans="1:14" x14ac:dyDescent="0.25">
      <c r="A1637" s="41" t="s">
        <v>2201</v>
      </c>
      <c r="B1637" s="1">
        <v>1</v>
      </c>
      <c r="C1637" s="8">
        <v>46148</v>
      </c>
      <c r="D1637" s="1" t="s">
        <v>2202</v>
      </c>
      <c r="E1637" s="7" t="s">
        <v>16</v>
      </c>
      <c r="F1637" s="1" t="s">
        <v>27</v>
      </c>
      <c r="G1637" s="9" t="s">
        <v>35</v>
      </c>
      <c r="H1637" s="7">
        <v>1700</v>
      </c>
      <c r="I1637" s="18">
        <v>16600000</v>
      </c>
      <c r="J1637" s="10">
        <v>2664.4</v>
      </c>
      <c r="K1637" s="7" t="s">
        <v>12</v>
      </c>
      <c r="L1637" s="7" t="s">
        <v>53</v>
      </c>
      <c r="M1637" s="34">
        <v>46149</v>
      </c>
      <c r="N1637" s="7" t="s">
        <v>62</v>
      </c>
    </row>
    <row r="1638" spans="1:14" x14ac:dyDescent="0.25">
      <c r="A1638" s="41" t="s">
        <v>2201</v>
      </c>
      <c r="B1638" s="1">
        <v>1</v>
      </c>
      <c r="C1638" s="8">
        <v>46148</v>
      </c>
      <c r="D1638" s="1" t="s">
        <v>2203</v>
      </c>
      <c r="E1638" s="7" t="s">
        <v>16</v>
      </c>
      <c r="F1638" s="1" t="s">
        <v>27</v>
      </c>
      <c r="G1638" s="9" t="s">
        <v>35</v>
      </c>
      <c r="H1638" s="7">
        <v>1700</v>
      </c>
      <c r="I1638" s="18">
        <v>16600000</v>
      </c>
      <c r="J1638" s="10">
        <v>1284.97</v>
      </c>
      <c r="K1638" s="7" t="s">
        <v>12</v>
      </c>
      <c r="L1638" s="7" t="s">
        <v>53</v>
      </c>
      <c r="M1638" s="34">
        <v>46149</v>
      </c>
      <c r="N1638" s="7" t="s">
        <v>62</v>
      </c>
    </row>
    <row r="1639" spans="1:14" x14ac:dyDescent="0.25">
      <c r="A1639" s="41" t="s">
        <v>2201</v>
      </c>
      <c r="B1639" s="1">
        <v>1</v>
      </c>
      <c r="C1639" s="8">
        <v>46148</v>
      </c>
      <c r="D1639" s="1" t="s">
        <v>2204</v>
      </c>
      <c r="E1639" s="7" t="s">
        <v>16</v>
      </c>
      <c r="F1639" s="1" t="s">
        <v>27</v>
      </c>
      <c r="G1639" s="9" t="s">
        <v>35</v>
      </c>
      <c r="H1639" s="7">
        <v>1700</v>
      </c>
      <c r="I1639" s="18">
        <v>16600000</v>
      </c>
      <c r="J1639" s="10">
        <v>1284.97</v>
      </c>
      <c r="K1639" s="7" t="s">
        <v>12</v>
      </c>
      <c r="L1639" s="7" t="s">
        <v>53</v>
      </c>
      <c r="M1639" s="34">
        <v>46149</v>
      </c>
      <c r="N1639" s="7" t="s">
        <v>62</v>
      </c>
    </row>
    <row r="1640" spans="1:14" x14ac:dyDescent="0.25">
      <c r="A1640" s="41" t="s">
        <v>158</v>
      </c>
      <c r="B1640" s="1">
        <v>1</v>
      </c>
      <c r="C1640" s="8">
        <v>46149</v>
      </c>
      <c r="D1640" s="1" t="s">
        <v>2208</v>
      </c>
      <c r="E1640" s="7" t="s">
        <v>13</v>
      </c>
      <c r="F1640" s="1" t="s">
        <v>27</v>
      </c>
      <c r="G1640" s="9" t="s">
        <v>35</v>
      </c>
      <c r="H1640" s="7">
        <v>2700</v>
      </c>
      <c r="I1640" s="18">
        <v>15001002</v>
      </c>
      <c r="J1640" s="10">
        <v>21750</v>
      </c>
      <c r="K1640" s="7" t="s">
        <v>13</v>
      </c>
      <c r="L1640" s="7" t="s">
        <v>54</v>
      </c>
      <c r="M1640" s="34">
        <v>46150</v>
      </c>
      <c r="N1640" s="7" t="s">
        <v>92</v>
      </c>
    </row>
    <row r="1641" spans="1:14" x14ac:dyDescent="0.25">
      <c r="A1641" s="41" t="s">
        <v>473</v>
      </c>
      <c r="B1641" s="1">
        <v>2</v>
      </c>
      <c r="C1641" s="8">
        <v>46154</v>
      </c>
      <c r="D1641" s="1" t="s">
        <v>2209</v>
      </c>
      <c r="E1641" s="7" t="s">
        <v>11</v>
      </c>
      <c r="F1641" s="1" t="s">
        <v>27</v>
      </c>
      <c r="G1641" s="9" t="s">
        <v>35</v>
      </c>
      <c r="H1641" s="7">
        <v>331</v>
      </c>
      <c r="I1641" s="18">
        <v>15000000</v>
      </c>
      <c r="J1641" s="10">
        <v>32716</v>
      </c>
      <c r="K1641" s="7" t="s">
        <v>12</v>
      </c>
      <c r="L1641" s="7" t="s">
        <v>53</v>
      </c>
      <c r="M1641" s="34">
        <v>46154</v>
      </c>
      <c r="N1641" s="7" t="s">
        <v>41</v>
      </c>
    </row>
    <row r="1642" spans="1:14" x14ac:dyDescent="0.25">
      <c r="A1642" s="41" t="s">
        <v>477</v>
      </c>
      <c r="B1642" s="1">
        <v>2</v>
      </c>
      <c r="C1642" s="8">
        <v>46154</v>
      </c>
      <c r="D1642" s="1" t="s">
        <v>2210</v>
      </c>
      <c r="E1642" s="7" t="s">
        <v>11</v>
      </c>
      <c r="F1642" s="1" t="s">
        <v>27</v>
      </c>
      <c r="G1642" s="9" t="s">
        <v>35</v>
      </c>
      <c r="H1642" s="7">
        <v>211</v>
      </c>
      <c r="I1642" s="18">
        <v>15000000</v>
      </c>
      <c r="J1642" s="10">
        <v>21033.46</v>
      </c>
      <c r="K1642" s="7" t="s">
        <v>12</v>
      </c>
      <c r="L1642" s="7" t="s">
        <v>53</v>
      </c>
      <c r="M1642" s="34">
        <v>46154</v>
      </c>
      <c r="N1642" s="7" t="s">
        <v>41</v>
      </c>
    </row>
    <row r="1643" spans="1:14" x14ac:dyDescent="0.25">
      <c r="A1643" s="41" t="s">
        <v>181</v>
      </c>
      <c r="B1643" s="1">
        <v>1</v>
      </c>
      <c r="C1643" s="8">
        <v>46149</v>
      </c>
      <c r="D1643" s="1" t="s">
        <v>2211</v>
      </c>
      <c r="E1643" s="7" t="s">
        <v>82</v>
      </c>
      <c r="F1643" s="1" t="s">
        <v>27</v>
      </c>
      <c r="G1643" s="9" t="s">
        <v>35</v>
      </c>
      <c r="H1643" s="7">
        <v>958088477</v>
      </c>
      <c r="I1643" s="18">
        <v>15000000</v>
      </c>
      <c r="J1643" s="10">
        <v>1537.38</v>
      </c>
      <c r="K1643" s="7" t="s">
        <v>12</v>
      </c>
      <c r="L1643" s="7" t="s">
        <v>53</v>
      </c>
      <c r="M1643" s="34">
        <v>46149</v>
      </c>
      <c r="N1643" s="7" t="s">
        <v>52</v>
      </c>
    </row>
    <row r="1644" spans="1:14" x14ac:dyDescent="0.25">
      <c r="A1644" s="41" t="s">
        <v>181</v>
      </c>
      <c r="B1644" s="1">
        <v>1</v>
      </c>
      <c r="C1644" s="8">
        <v>46149</v>
      </c>
      <c r="D1644" s="1" t="s">
        <v>2212</v>
      </c>
      <c r="E1644" s="7" t="s">
        <v>14</v>
      </c>
      <c r="F1644" s="1" t="s">
        <v>27</v>
      </c>
      <c r="G1644" s="9" t="s">
        <v>35</v>
      </c>
      <c r="H1644" s="7">
        <v>958088460</v>
      </c>
      <c r="I1644" s="18">
        <v>15000000</v>
      </c>
      <c r="J1644" s="10">
        <v>51020.95</v>
      </c>
      <c r="K1644" s="7" t="s">
        <v>12</v>
      </c>
      <c r="L1644" s="7" t="s">
        <v>53</v>
      </c>
      <c r="M1644" s="34">
        <v>46149</v>
      </c>
      <c r="N1644" s="7" t="s">
        <v>52</v>
      </c>
    </row>
    <row r="1645" spans="1:14" x14ac:dyDescent="0.25">
      <c r="A1645" s="41" t="s">
        <v>181</v>
      </c>
      <c r="B1645" s="1">
        <v>1</v>
      </c>
      <c r="C1645" s="8">
        <v>46149</v>
      </c>
      <c r="D1645" s="1" t="s">
        <v>2213</v>
      </c>
      <c r="E1645" s="7" t="s">
        <v>83</v>
      </c>
      <c r="F1645" s="1" t="s">
        <v>27</v>
      </c>
      <c r="G1645" s="9" t="s">
        <v>35</v>
      </c>
      <c r="H1645" s="7">
        <v>958088434</v>
      </c>
      <c r="I1645" s="18">
        <v>15000000</v>
      </c>
      <c r="J1645" s="10">
        <v>3679.79</v>
      </c>
      <c r="K1645" s="7" t="s">
        <v>12</v>
      </c>
      <c r="L1645" s="7" t="s">
        <v>53</v>
      </c>
      <c r="M1645" s="34">
        <v>46149</v>
      </c>
      <c r="N1645" s="7" t="s">
        <v>52</v>
      </c>
    </row>
    <row r="1646" spans="1:14" x14ac:dyDescent="0.25">
      <c r="A1646" s="41" t="s">
        <v>1472</v>
      </c>
      <c r="B1646" s="1">
        <v>1</v>
      </c>
      <c r="C1646" s="8">
        <v>46149</v>
      </c>
      <c r="D1646" s="1" t="s">
        <v>2214</v>
      </c>
      <c r="E1646" s="7" t="s">
        <v>2</v>
      </c>
      <c r="F1646" s="1" t="s">
        <v>27</v>
      </c>
      <c r="G1646" s="9" t="s">
        <v>35</v>
      </c>
      <c r="H1646" s="7">
        <v>231683</v>
      </c>
      <c r="I1646" s="18">
        <v>15000000</v>
      </c>
      <c r="J1646" s="10">
        <v>29101.200000000001</v>
      </c>
      <c r="K1646" s="7" t="s">
        <v>12</v>
      </c>
      <c r="L1646" s="7" t="s">
        <v>53</v>
      </c>
      <c r="M1646" s="34">
        <v>46153</v>
      </c>
      <c r="N1646" s="7" t="s">
        <v>92</v>
      </c>
    </row>
    <row r="1647" spans="1:14" x14ac:dyDescent="0.25">
      <c r="A1647" s="41" t="s">
        <v>210</v>
      </c>
      <c r="B1647" s="1">
        <v>2</v>
      </c>
      <c r="C1647" s="8">
        <v>46154</v>
      </c>
      <c r="D1647" s="1" t="s">
        <v>2215</v>
      </c>
      <c r="E1647" s="7" t="s">
        <v>14</v>
      </c>
      <c r="F1647" s="1" t="s">
        <v>27</v>
      </c>
      <c r="G1647" s="9" t="s">
        <v>35</v>
      </c>
      <c r="H1647" s="7" t="s">
        <v>74</v>
      </c>
      <c r="I1647" s="18">
        <v>15000000</v>
      </c>
      <c r="J1647" s="10">
        <v>842.95</v>
      </c>
      <c r="K1647" s="7" t="s">
        <v>12</v>
      </c>
      <c r="L1647" s="7" t="s">
        <v>53</v>
      </c>
      <c r="M1647" s="34">
        <v>46154</v>
      </c>
      <c r="N1647" s="7" t="s">
        <v>41</v>
      </c>
    </row>
    <row r="1648" spans="1:14" x14ac:dyDescent="0.25">
      <c r="A1648" s="41" t="s">
        <v>1710</v>
      </c>
      <c r="B1648" s="1">
        <v>1</v>
      </c>
      <c r="C1648" s="8">
        <v>46149</v>
      </c>
      <c r="D1648" s="1" t="s">
        <v>2216</v>
      </c>
      <c r="E1648" s="7" t="s">
        <v>2</v>
      </c>
      <c r="F1648" s="1" t="s">
        <v>27</v>
      </c>
      <c r="G1648" s="9" t="s">
        <v>35</v>
      </c>
      <c r="H1648" s="7">
        <v>207</v>
      </c>
      <c r="J1648" s="10">
        <v>16884</v>
      </c>
      <c r="K1648" s="7" t="s">
        <v>12</v>
      </c>
      <c r="L1648" s="7" t="s">
        <v>53</v>
      </c>
      <c r="M1648" s="34">
        <v>46153</v>
      </c>
      <c r="N1648" s="7" t="s">
        <v>92</v>
      </c>
    </row>
    <row r="1649" spans="1:14" x14ac:dyDescent="0.25">
      <c r="A1649" s="41" t="s">
        <v>1413</v>
      </c>
      <c r="B1649" s="1">
        <v>1</v>
      </c>
      <c r="C1649" s="8">
        <v>46149</v>
      </c>
      <c r="D1649" s="1" t="s">
        <v>2217</v>
      </c>
      <c r="E1649" s="7" t="s">
        <v>11</v>
      </c>
      <c r="F1649" s="1" t="s">
        <v>27</v>
      </c>
      <c r="G1649" s="9" t="s">
        <v>35</v>
      </c>
      <c r="H1649" s="7">
        <v>2604</v>
      </c>
      <c r="I1649" s="18">
        <v>15000000</v>
      </c>
      <c r="J1649" s="10">
        <v>10500</v>
      </c>
      <c r="K1649" s="7" t="s">
        <v>12</v>
      </c>
      <c r="L1649" s="7" t="s">
        <v>53</v>
      </c>
      <c r="M1649" s="34">
        <v>46154</v>
      </c>
      <c r="N1649" s="7" t="s">
        <v>41</v>
      </c>
    </row>
    <row r="1650" spans="1:14" x14ac:dyDescent="0.25">
      <c r="A1650" s="41" t="s">
        <v>1413</v>
      </c>
      <c r="B1650" s="1">
        <v>1</v>
      </c>
      <c r="C1650" s="8">
        <v>46149</v>
      </c>
      <c r="D1650" s="1" t="s">
        <v>2218</v>
      </c>
      <c r="E1650" s="7" t="s">
        <v>11</v>
      </c>
      <c r="F1650" s="1" t="s">
        <v>27</v>
      </c>
      <c r="G1650" s="9" t="s">
        <v>35</v>
      </c>
      <c r="H1650" s="7">
        <v>2605</v>
      </c>
      <c r="I1650" s="18">
        <v>15000000</v>
      </c>
      <c r="J1650" s="10">
        <v>16250</v>
      </c>
      <c r="K1650" s="7" t="s">
        <v>12</v>
      </c>
      <c r="L1650" s="7" t="s">
        <v>53</v>
      </c>
      <c r="M1650" s="34">
        <v>46154</v>
      </c>
      <c r="N1650" s="7" t="s">
        <v>41</v>
      </c>
    </row>
    <row r="1651" spans="1:14" x14ac:dyDescent="0.25">
      <c r="A1651" s="41" t="s">
        <v>1413</v>
      </c>
      <c r="B1651" s="1">
        <v>2</v>
      </c>
      <c r="C1651" s="8">
        <v>46154</v>
      </c>
      <c r="D1651" s="1" t="s">
        <v>2219</v>
      </c>
      <c r="E1651" s="7" t="s">
        <v>11</v>
      </c>
      <c r="F1651" s="1" t="s">
        <v>27</v>
      </c>
      <c r="G1651" s="9" t="s">
        <v>35</v>
      </c>
      <c r="H1651" s="7">
        <v>2603</v>
      </c>
      <c r="I1651" s="18">
        <v>15000000</v>
      </c>
      <c r="J1651" s="10">
        <v>10500</v>
      </c>
      <c r="K1651" s="7" t="s">
        <v>12</v>
      </c>
      <c r="L1651" s="7" t="s">
        <v>53</v>
      </c>
      <c r="M1651" s="34">
        <v>46154</v>
      </c>
      <c r="N1651" s="7" t="s">
        <v>41</v>
      </c>
    </row>
    <row r="1652" spans="1:14" x14ac:dyDescent="0.25">
      <c r="A1652" s="41" t="s">
        <v>153</v>
      </c>
      <c r="B1652" s="1">
        <v>1</v>
      </c>
      <c r="C1652" s="8">
        <v>46149</v>
      </c>
      <c r="D1652" s="1" t="s">
        <v>2220</v>
      </c>
      <c r="E1652" s="7" t="s">
        <v>13</v>
      </c>
      <c r="F1652" s="1" t="s">
        <v>27</v>
      </c>
      <c r="G1652" s="9" t="s">
        <v>38</v>
      </c>
      <c r="H1652" s="7" t="s">
        <v>74</v>
      </c>
      <c r="I1652" s="18" t="s">
        <v>0</v>
      </c>
      <c r="J1652" s="10" t="s">
        <v>61</v>
      </c>
      <c r="K1652" s="7" t="s">
        <v>22</v>
      </c>
      <c r="L1652" s="7" t="s">
        <v>55</v>
      </c>
      <c r="M1652" s="34">
        <v>46155</v>
      </c>
      <c r="N1652" s="7" t="s">
        <v>91</v>
      </c>
    </row>
    <row r="1653" spans="1:14" x14ac:dyDescent="0.25">
      <c r="A1653" s="41" t="s">
        <v>2226</v>
      </c>
      <c r="B1653" s="1">
        <v>1</v>
      </c>
      <c r="C1653" s="8">
        <v>46149</v>
      </c>
      <c r="D1653" s="1" t="s">
        <v>2221</v>
      </c>
      <c r="E1653" s="7" t="s">
        <v>13</v>
      </c>
      <c r="F1653" s="1" t="s">
        <v>27</v>
      </c>
      <c r="G1653" s="9" t="s">
        <v>38</v>
      </c>
      <c r="H1653" s="7" t="s">
        <v>74</v>
      </c>
      <c r="I1653" s="18" t="s">
        <v>0</v>
      </c>
      <c r="J1653" s="10" t="s">
        <v>61</v>
      </c>
      <c r="K1653" s="7" t="s">
        <v>22</v>
      </c>
      <c r="L1653" s="7" t="s">
        <v>55</v>
      </c>
      <c r="M1653" s="34">
        <v>46154</v>
      </c>
      <c r="N1653" s="7" t="s">
        <v>41</v>
      </c>
    </row>
    <row r="1654" spans="1:14" x14ac:dyDescent="0.25">
      <c r="A1654" s="41" t="s">
        <v>2225</v>
      </c>
      <c r="B1654" s="1">
        <v>1</v>
      </c>
      <c r="C1654" s="8">
        <v>46149</v>
      </c>
      <c r="D1654" s="1" t="s">
        <v>2222</v>
      </c>
      <c r="E1654" s="7" t="s">
        <v>13</v>
      </c>
      <c r="F1654" s="1" t="s">
        <v>27</v>
      </c>
      <c r="G1654" s="9" t="s">
        <v>38</v>
      </c>
      <c r="H1654" s="7" t="s">
        <v>74</v>
      </c>
      <c r="I1654" s="18" t="s">
        <v>0</v>
      </c>
      <c r="J1654" s="10" t="s">
        <v>61</v>
      </c>
      <c r="K1654" s="7" t="s">
        <v>22</v>
      </c>
      <c r="L1654" s="7" t="s">
        <v>40</v>
      </c>
      <c r="M1654" s="34">
        <v>46155</v>
      </c>
      <c r="N1654" s="7" t="s">
        <v>41</v>
      </c>
    </row>
    <row r="1655" spans="1:14" x14ac:dyDescent="0.25">
      <c r="A1655" s="41" t="s">
        <v>217</v>
      </c>
      <c r="B1655" s="1">
        <v>1</v>
      </c>
      <c r="C1655" s="8">
        <v>46149</v>
      </c>
      <c r="D1655" s="1" t="s">
        <v>2223</v>
      </c>
      <c r="E1655" s="7" t="s">
        <v>13</v>
      </c>
      <c r="F1655" s="1" t="s">
        <v>27</v>
      </c>
      <c r="G1655" s="9" t="s">
        <v>38</v>
      </c>
      <c r="H1655" s="7" t="s">
        <v>74</v>
      </c>
      <c r="I1655" s="18" t="s">
        <v>0</v>
      </c>
      <c r="J1655" s="10" t="s">
        <v>61</v>
      </c>
      <c r="K1655" s="7" t="s">
        <v>22</v>
      </c>
      <c r="L1655" s="7" t="s">
        <v>55</v>
      </c>
      <c r="M1655" s="34">
        <v>46155</v>
      </c>
      <c r="N1655" s="7" t="s">
        <v>92</v>
      </c>
    </row>
    <row r="1656" spans="1:14" x14ac:dyDescent="0.25">
      <c r="A1656" s="41" t="s">
        <v>2227</v>
      </c>
      <c r="B1656" s="1">
        <v>1</v>
      </c>
      <c r="C1656" s="8">
        <v>46149</v>
      </c>
      <c r="D1656" s="1" t="s">
        <v>2224</v>
      </c>
      <c r="E1656" s="7" t="s">
        <v>14</v>
      </c>
      <c r="F1656" s="1" t="s">
        <v>27</v>
      </c>
      <c r="G1656" s="9" t="s">
        <v>37</v>
      </c>
      <c r="H1656" s="7" t="s">
        <v>74</v>
      </c>
      <c r="I1656" s="18" t="s">
        <v>0</v>
      </c>
      <c r="J1656" s="10" t="s">
        <v>61</v>
      </c>
      <c r="K1656" s="7" t="s">
        <v>22</v>
      </c>
      <c r="L1656" s="7" t="s">
        <v>55</v>
      </c>
      <c r="M1656" s="34">
        <v>46154</v>
      </c>
      <c r="N1656" s="7" t="s">
        <v>46</v>
      </c>
    </row>
    <row r="1657" spans="1:14" x14ac:dyDescent="0.25">
      <c r="A1657" s="41" t="s">
        <v>2229</v>
      </c>
      <c r="B1657" s="1">
        <v>2</v>
      </c>
      <c r="C1657" s="8">
        <v>46154</v>
      </c>
      <c r="D1657" s="1" t="s">
        <v>2228</v>
      </c>
      <c r="E1657" s="7" t="s">
        <v>13</v>
      </c>
      <c r="F1657" s="1" t="s">
        <v>27</v>
      </c>
      <c r="G1657" s="9" t="s">
        <v>35</v>
      </c>
      <c r="H1657" s="7" t="s">
        <v>74</v>
      </c>
      <c r="I1657" s="18" t="s">
        <v>0</v>
      </c>
      <c r="J1657" s="10" t="s">
        <v>61</v>
      </c>
      <c r="K1657" s="7" t="s">
        <v>13</v>
      </c>
      <c r="L1657" s="7" t="s">
        <v>54</v>
      </c>
      <c r="M1657" s="34">
        <v>46154</v>
      </c>
      <c r="N1657" s="7" t="s">
        <v>41</v>
      </c>
    </row>
    <row r="1658" spans="1:14" x14ac:dyDescent="0.25">
      <c r="A1658" s="41" t="s">
        <v>2231</v>
      </c>
      <c r="B1658" s="1">
        <v>1</v>
      </c>
      <c r="C1658" s="8">
        <v>46149</v>
      </c>
      <c r="D1658" s="1" t="s">
        <v>2230</v>
      </c>
      <c r="E1658" s="7" t="s">
        <v>2</v>
      </c>
      <c r="F1658" s="1" t="s">
        <v>27</v>
      </c>
      <c r="G1658" s="9" t="s">
        <v>35</v>
      </c>
      <c r="H1658" s="7">
        <v>1876</v>
      </c>
      <c r="I1658" s="18">
        <v>15001001</v>
      </c>
      <c r="J1658" s="10">
        <v>10125</v>
      </c>
      <c r="K1658" s="7" t="s">
        <v>12</v>
      </c>
      <c r="L1658" s="7" t="s">
        <v>53</v>
      </c>
      <c r="M1658" s="34">
        <v>46154</v>
      </c>
      <c r="N1658" s="7" t="s">
        <v>91</v>
      </c>
    </row>
    <row r="1659" spans="1:14" x14ac:dyDescent="0.25">
      <c r="A1659" s="41" t="s">
        <v>217</v>
      </c>
      <c r="B1659" s="1">
        <v>1</v>
      </c>
      <c r="C1659" s="8">
        <v>46149</v>
      </c>
      <c r="D1659" s="1" t="s">
        <v>2232</v>
      </c>
      <c r="E1659" s="7" t="s">
        <v>13</v>
      </c>
      <c r="F1659" s="1" t="s">
        <v>27</v>
      </c>
      <c r="G1659" s="9" t="s">
        <v>35</v>
      </c>
      <c r="H1659" s="7">
        <v>175</v>
      </c>
      <c r="I1659" s="18">
        <v>15001002</v>
      </c>
      <c r="J1659" s="10">
        <v>45140</v>
      </c>
      <c r="K1659" s="7" t="s">
        <v>13</v>
      </c>
      <c r="L1659" s="7" t="s">
        <v>54</v>
      </c>
      <c r="M1659" s="34">
        <v>46153</v>
      </c>
      <c r="N1659" s="7" t="s">
        <v>91</v>
      </c>
    </row>
    <row r="1660" spans="1:14" x14ac:dyDescent="0.25">
      <c r="A1660" s="41" t="s">
        <v>174</v>
      </c>
      <c r="B1660" s="1">
        <v>1</v>
      </c>
      <c r="C1660" s="8">
        <v>46149</v>
      </c>
      <c r="D1660" s="1" t="s">
        <v>2233</v>
      </c>
      <c r="E1660" s="7" t="s">
        <v>13</v>
      </c>
      <c r="F1660" s="1" t="s">
        <v>27</v>
      </c>
      <c r="G1660" s="9" t="s">
        <v>35</v>
      </c>
      <c r="H1660" s="7">
        <v>356</v>
      </c>
      <c r="I1660" s="18">
        <v>15001002</v>
      </c>
      <c r="J1660" s="10">
        <v>11800</v>
      </c>
      <c r="K1660" s="7" t="s">
        <v>13</v>
      </c>
      <c r="L1660" s="7" t="s">
        <v>54</v>
      </c>
      <c r="M1660" s="34">
        <v>46153</v>
      </c>
      <c r="N1660" s="7" t="s">
        <v>91</v>
      </c>
    </row>
    <row r="1661" spans="1:14" x14ac:dyDescent="0.25">
      <c r="A1661" s="41" t="s">
        <v>161</v>
      </c>
      <c r="B1661" s="1">
        <v>1</v>
      </c>
      <c r="C1661" s="8">
        <v>46149</v>
      </c>
      <c r="D1661" s="1" t="s">
        <v>2234</v>
      </c>
      <c r="E1661" s="7" t="s">
        <v>13</v>
      </c>
      <c r="F1661" s="1" t="s">
        <v>27</v>
      </c>
      <c r="G1661" s="9" t="s">
        <v>35</v>
      </c>
      <c r="H1661" s="7">
        <v>98</v>
      </c>
      <c r="I1661" s="18">
        <v>15001002</v>
      </c>
      <c r="J1661" s="10">
        <v>18604.82</v>
      </c>
      <c r="K1661" s="7" t="s">
        <v>13</v>
      </c>
      <c r="L1661" s="7" t="s">
        <v>54</v>
      </c>
      <c r="M1661" s="34">
        <v>46153</v>
      </c>
      <c r="N1661" s="7" t="s">
        <v>91</v>
      </c>
    </row>
    <row r="1662" spans="1:14" x14ac:dyDescent="0.25">
      <c r="A1662" s="41" t="s">
        <v>1056</v>
      </c>
      <c r="B1662" s="1">
        <v>1</v>
      </c>
      <c r="C1662" s="8">
        <v>46149</v>
      </c>
      <c r="D1662" s="1" t="s">
        <v>2235</v>
      </c>
      <c r="E1662" s="7" t="s">
        <v>13</v>
      </c>
      <c r="F1662" s="1" t="s">
        <v>27</v>
      </c>
      <c r="G1662" s="9" t="s">
        <v>35</v>
      </c>
      <c r="H1662" s="7" t="s">
        <v>74</v>
      </c>
      <c r="I1662" s="18">
        <v>15001002</v>
      </c>
      <c r="J1662" s="10">
        <v>71538</v>
      </c>
      <c r="K1662" s="7" t="s">
        <v>13</v>
      </c>
      <c r="L1662" s="7" t="s">
        <v>54</v>
      </c>
      <c r="M1662" s="34">
        <v>46153</v>
      </c>
      <c r="N1662" s="7" t="s">
        <v>91</v>
      </c>
    </row>
    <row r="1663" spans="1:14" x14ac:dyDescent="0.25">
      <c r="A1663" s="41" t="s">
        <v>344</v>
      </c>
      <c r="B1663" s="1">
        <v>1</v>
      </c>
      <c r="C1663" s="8">
        <v>46149</v>
      </c>
      <c r="D1663" s="1" t="s">
        <v>2236</v>
      </c>
      <c r="E1663" s="7" t="s">
        <v>13</v>
      </c>
      <c r="F1663" s="1" t="s">
        <v>27</v>
      </c>
      <c r="G1663" s="9" t="s">
        <v>35</v>
      </c>
      <c r="H1663" s="7">
        <v>556</v>
      </c>
      <c r="I1663" s="18">
        <v>15001002</v>
      </c>
      <c r="J1663" s="10">
        <v>19520</v>
      </c>
      <c r="K1663" s="7" t="s">
        <v>13</v>
      </c>
      <c r="L1663" s="7" t="s">
        <v>54</v>
      </c>
      <c r="M1663" s="34">
        <v>46153</v>
      </c>
      <c r="N1663" s="7" t="s">
        <v>92</v>
      </c>
    </row>
    <row r="1664" spans="1:14" x14ac:dyDescent="0.25">
      <c r="A1664" s="41" t="s">
        <v>2226</v>
      </c>
      <c r="B1664" s="1">
        <v>1</v>
      </c>
      <c r="C1664" s="8">
        <v>46149</v>
      </c>
      <c r="D1664" s="1" t="s">
        <v>2237</v>
      </c>
      <c r="E1664" s="7" t="s">
        <v>13</v>
      </c>
      <c r="F1664" s="1" t="s">
        <v>27</v>
      </c>
      <c r="G1664" s="9" t="s">
        <v>35</v>
      </c>
      <c r="H1664" s="7">
        <v>205</v>
      </c>
      <c r="I1664" s="18">
        <v>15001002</v>
      </c>
      <c r="J1664" s="10">
        <v>23200</v>
      </c>
      <c r="K1664" s="7" t="s">
        <v>13</v>
      </c>
      <c r="L1664" s="7" t="s">
        <v>54</v>
      </c>
      <c r="M1664" s="34">
        <v>46153</v>
      </c>
      <c r="N1664" s="7" t="s">
        <v>92</v>
      </c>
    </row>
    <row r="1665" spans="1:15" ht="30" x14ac:dyDescent="0.25">
      <c r="A1665" s="41" t="s">
        <v>2238</v>
      </c>
      <c r="B1665" s="1">
        <v>1</v>
      </c>
      <c r="C1665" s="8">
        <v>46149</v>
      </c>
      <c r="D1665" s="1" t="s">
        <v>2239</v>
      </c>
      <c r="E1665" s="7" t="s">
        <v>14</v>
      </c>
      <c r="F1665" s="1" t="s">
        <v>27</v>
      </c>
      <c r="G1665" s="9" t="s">
        <v>47</v>
      </c>
      <c r="H1665" s="7" t="s">
        <v>74</v>
      </c>
      <c r="I1665" s="18" t="s">
        <v>0</v>
      </c>
      <c r="J1665" s="10" t="s">
        <v>61</v>
      </c>
      <c r="K1665" s="7" t="s">
        <v>22</v>
      </c>
      <c r="L1665" s="7" t="s">
        <v>55</v>
      </c>
      <c r="M1665" s="34">
        <v>46153</v>
      </c>
      <c r="N1665" s="7" t="s">
        <v>46</v>
      </c>
    </row>
    <row r="1666" spans="1:15" ht="30" x14ac:dyDescent="0.25">
      <c r="A1666" s="41" t="s">
        <v>2240</v>
      </c>
      <c r="B1666" s="1">
        <v>1</v>
      </c>
      <c r="C1666" s="8">
        <v>46149</v>
      </c>
      <c r="D1666" s="1" t="s">
        <v>2241</v>
      </c>
      <c r="E1666" s="7" t="s">
        <v>14</v>
      </c>
      <c r="F1666" s="1" t="s">
        <v>27</v>
      </c>
      <c r="G1666" s="9" t="s">
        <v>47</v>
      </c>
      <c r="H1666" s="7" t="s">
        <v>74</v>
      </c>
      <c r="I1666" s="18" t="s">
        <v>0</v>
      </c>
      <c r="J1666" s="10" t="s">
        <v>61</v>
      </c>
      <c r="K1666" s="7" t="s">
        <v>22</v>
      </c>
      <c r="L1666" s="7" t="s">
        <v>55</v>
      </c>
      <c r="M1666" s="34">
        <v>46155</v>
      </c>
      <c r="N1666" s="7" t="s">
        <v>46</v>
      </c>
    </row>
    <row r="1667" spans="1:15" x14ac:dyDescent="0.25">
      <c r="A1667" s="41" t="s">
        <v>364</v>
      </c>
      <c r="B1667" s="1">
        <v>1</v>
      </c>
      <c r="C1667" s="8">
        <v>46149</v>
      </c>
      <c r="D1667" s="1" t="s">
        <v>2242</v>
      </c>
      <c r="E1667" s="7" t="s">
        <v>2</v>
      </c>
      <c r="F1667" s="1" t="s">
        <v>27</v>
      </c>
      <c r="G1667" s="9" t="s">
        <v>35</v>
      </c>
      <c r="H1667" s="7">
        <v>2622</v>
      </c>
      <c r="I1667" s="18">
        <v>15001001</v>
      </c>
      <c r="J1667" s="10">
        <v>44640</v>
      </c>
      <c r="K1667" s="7" t="s">
        <v>12</v>
      </c>
      <c r="L1667" s="7" t="s">
        <v>53</v>
      </c>
      <c r="M1667" s="34">
        <v>46154</v>
      </c>
      <c r="N1667" s="7" t="s">
        <v>41</v>
      </c>
    </row>
    <row r="1668" spans="1:15" x14ac:dyDescent="0.25">
      <c r="A1668" s="41" t="s">
        <v>364</v>
      </c>
      <c r="B1668" s="1">
        <v>1</v>
      </c>
      <c r="C1668" s="8">
        <v>46149</v>
      </c>
      <c r="D1668" s="1" t="s">
        <v>2243</v>
      </c>
      <c r="E1668" s="7" t="s">
        <v>2</v>
      </c>
      <c r="F1668" s="1" t="s">
        <v>27</v>
      </c>
      <c r="G1668" s="9" t="s">
        <v>35</v>
      </c>
      <c r="H1668" s="7">
        <v>2623</v>
      </c>
      <c r="I1668" s="18">
        <v>15000000</v>
      </c>
      <c r="J1668" s="10">
        <v>27360</v>
      </c>
      <c r="K1668" s="7" t="s">
        <v>12</v>
      </c>
      <c r="L1668" s="7" t="s">
        <v>53</v>
      </c>
      <c r="M1668" s="34">
        <v>46154</v>
      </c>
      <c r="N1668" s="7" t="s">
        <v>41</v>
      </c>
    </row>
    <row r="1669" spans="1:15" x14ac:dyDescent="0.25">
      <c r="A1669" s="41" t="s">
        <v>210</v>
      </c>
      <c r="B1669" s="1">
        <v>2</v>
      </c>
      <c r="C1669" s="8">
        <v>46153</v>
      </c>
      <c r="D1669" s="1" t="s">
        <v>2244</v>
      </c>
      <c r="E1669" s="7" t="s">
        <v>2</v>
      </c>
      <c r="F1669" s="1" t="s">
        <v>27</v>
      </c>
      <c r="G1669" s="9" t="s">
        <v>35</v>
      </c>
      <c r="H1669" s="7">
        <v>337255</v>
      </c>
      <c r="I1669" s="18">
        <v>15001001</v>
      </c>
      <c r="J1669" s="10">
        <v>722.8</v>
      </c>
      <c r="K1669" s="7" t="s">
        <v>12</v>
      </c>
      <c r="L1669" s="7" t="s">
        <v>53</v>
      </c>
      <c r="M1669" s="34">
        <v>46153</v>
      </c>
      <c r="N1669" s="7" t="s">
        <v>92</v>
      </c>
    </row>
    <row r="1670" spans="1:15" x14ac:dyDescent="0.25">
      <c r="A1670" s="41" t="s">
        <v>417</v>
      </c>
      <c r="B1670" s="1">
        <v>2</v>
      </c>
      <c r="C1670" s="8">
        <v>46154</v>
      </c>
      <c r="D1670" s="1" t="s">
        <v>2245</v>
      </c>
      <c r="E1670" s="7" t="s">
        <v>14</v>
      </c>
      <c r="F1670" s="1" t="s">
        <v>27</v>
      </c>
      <c r="G1670" s="9" t="s">
        <v>35</v>
      </c>
      <c r="H1670" s="7">
        <v>1334</v>
      </c>
      <c r="I1670" s="18">
        <v>15000000</v>
      </c>
      <c r="J1670" s="10">
        <v>234271.14</v>
      </c>
      <c r="K1670" s="7" t="s">
        <v>12</v>
      </c>
      <c r="L1670" s="7" t="s">
        <v>53</v>
      </c>
      <c r="M1670" s="34">
        <v>46154</v>
      </c>
      <c r="N1670" s="7" t="s">
        <v>41</v>
      </c>
      <c r="O1670" s="14"/>
    </row>
    <row r="1671" spans="1:15" x14ac:dyDescent="0.25">
      <c r="A1671" s="41" t="s">
        <v>2201</v>
      </c>
      <c r="B1671" s="1">
        <v>1</v>
      </c>
      <c r="C1671" s="8">
        <v>46149</v>
      </c>
      <c r="D1671" s="1" t="s">
        <v>2246</v>
      </c>
      <c r="E1671" s="7" t="s">
        <v>83</v>
      </c>
      <c r="F1671" s="1" t="s">
        <v>27</v>
      </c>
      <c r="G1671" s="9" t="s">
        <v>35</v>
      </c>
      <c r="H1671" s="7">
        <v>1699</v>
      </c>
      <c r="I1671" s="18">
        <v>15000000</v>
      </c>
      <c r="J1671" s="10">
        <v>1284.97</v>
      </c>
      <c r="K1671" s="7" t="s">
        <v>12</v>
      </c>
      <c r="L1671" s="7" t="s">
        <v>53</v>
      </c>
      <c r="M1671" s="34">
        <v>46153</v>
      </c>
      <c r="N1671" s="7" t="s">
        <v>91</v>
      </c>
    </row>
    <row r="1672" spans="1:15" x14ac:dyDescent="0.25">
      <c r="A1672" s="41" t="s">
        <v>210</v>
      </c>
      <c r="B1672" s="1">
        <v>1</v>
      </c>
      <c r="C1672" s="8">
        <v>46149</v>
      </c>
      <c r="D1672" s="1" t="s">
        <v>2247</v>
      </c>
      <c r="E1672" s="7" t="s">
        <v>83</v>
      </c>
      <c r="F1672" s="1" t="s">
        <v>27</v>
      </c>
      <c r="G1672" s="9" t="s">
        <v>35</v>
      </c>
      <c r="H1672" s="7">
        <v>335651</v>
      </c>
      <c r="I1672" s="18">
        <v>15000000</v>
      </c>
      <c r="J1672" s="10">
        <v>145.1</v>
      </c>
      <c r="K1672" s="7" t="s">
        <v>12</v>
      </c>
      <c r="L1672" s="7" t="s">
        <v>53</v>
      </c>
      <c r="M1672" s="34">
        <v>46153</v>
      </c>
      <c r="N1672" s="7" t="s">
        <v>91</v>
      </c>
    </row>
    <row r="1673" spans="1:15" x14ac:dyDescent="0.25">
      <c r="A1673" s="41" t="s">
        <v>825</v>
      </c>
      <c r="B1673" s="1">
        <v>1</v>
      </c>
      <c r="C1673" s="8">
        <v>46150</v>
      </c>
      <c r="D1673" s="1" t="s">
        <v>2250</v>
      </c>
      <c r="E1673" s="7" t="s">
        <v>2</v>
      </c>
      <c r="F1673" s="1" t="s">
        <v>27</v>
      </c>
      <c r="G1673" s="9" t="s">
        <v>35</v>
      </c>
      <c r="H1673" s="7">
        <v>27</v>
      </c>
      <c r="I1673" s="18">
        <v>15001001</v>
      </c>
      <c r="J1673" s="10">
        <v>110000</v>
      </c>
      <c r="K1673" s="7" t="s">
        <v>12</v>
      </c>
      <c r="L1673" s="7" t="s">
        <v>53</v>
      </c>
      <c r="M1673" s="34">
        <v>46154</v>
      </c>
      <c r="N1673" s="7" t="s">
        <v>91</v>
      </c>
    </row>
    <row r="1674" spans="1:15" x14ac:dyDescent="0.25">
      <c r="A1674" s="41" t="s">
        <v>448</v>
      </c>
      <c r="B1674" s="1">
        <v>1</v>
      </c>
      <c r="C1674" s="8">
        <v>46150</v>
      </c>
      <c r="D1674" s="1" t="s">
        <v>2251</v>
      </c>
      <c r="E1674" s="7" t="s">
        <v>13</v>
      </c>
      <c r="F1674" s="1" t="s">
        <v>27</v>
      </c>
      <c r="G1674" s="9" t="s">
        <v>35</v>
      </c>
      <c r="H1674" s="7">
        <v>46390</v>
      </c>
      <c r="I1674" s="18">
        <v>15001002</v>
      </c>
      <c r="J1674" s="10">
        <v>916</v>
      </c>
      <c r="K1674" s="7" t="s">
        <v>13</v>
      </c>
      <c r="L1674" s="7" t="s">
        <v>54</v>
      </c>
      <c r="M1674" s="34">
        <v>46154</v>
      </c>
      <c r="N1674" s="7" t="s">
        <v>92</v>
      </c>
    </row>
    <row r="1675" spans="1:15" x14ac:dyDescent="0.25">
      <c r="A1675" s="41" t="s">
        <v>367</v>
      </c>
      <c r="B1675" s="1">
        <v>1</v>
      </c>
      <c r="C1675" s="8">
        <v>46150</v>
      </c>
      <c r="D1675" s="1" t="s">
        <v>2252</v>
      </c>
      <c r="E1675" s="7" t="s">
        <v>13</v>
      </c>
      <c r="F1675" s="1" t="s">
        <v>27</v>
      </c>
      <c r="G1675" s="9" t="s">
        <v>35</v>
      </c>
      <c r="H1675" s="7">
        <v>17616</v>
      </c>
      <c r="I1675" s="18">
        <v>15001002</v>
      </c>
      <c r="J1675" s="10">
        <v>1917.39</v>
      </c>
      <c r="K1675" s="7" t="s">
        <v>13</v>
      </c>
      <c r="L1675" s="7" t="s">
        <v>54</v>
      </c>
      <c r="M1675" s="34">
        <v>46154</v>
      </c>
      <c r="N1675" s="7" t="s">
        <v>92</v>
      </c>
    </row>
    <row r="1676" spans="1:15" x14ac:dyDescent="0.25">
      <c r="A1676" s="41" t="s">
        <v>210</v>
      </c>
      <c r="B1676" s="1">
        <v>1</v>
      </c>
      <c r="C1676" s="8">
        <v>46150</v>
      </c>
      <c r="D1676" s="1" t="s">
        <v>2253</v>
      </c>
      <c r="E1676" s="7" t="s">
        <v>13</v>
      </c>
      <c r="F1676" s="1" t="s">
        <v>27</v>
      </c>
      <c r="G1676" s="9" t="s">
        <v>35</v>
      </c>
      <c r="H1676" s="7">
        <v>338729</v>
      </c>
      <c r="I1676" s="18">
        <v>15001002</v>
      </c>
      <c r="J1676" s="10">
        <v>840.68</v>
      </c>
      <c r="K1676" s="7" t="s">
        <v>13</v>
      </c>
      <c r="L1676" s="7" t="s">
        <v>54</v>
      </c>
      <c r="M1676" s="34">
        <v>46154</v>
      </c>
      <c r="N1676" s="7" t="s">
        <v>91</v>
      </c>
    </row>
    <row r="1677" spans="1:15" x14ac:dyDescent="0.25">
      <c r="A1677" s="41" t="s">
        <v>199</v>
      </c>
      <c r="B1677" s="1">
        <v>1</v>
      </c>
      <c r="C1677" s="8">
        <v>46150</v>
      </c>
      <c r="D1677" s="1" t="s">
        <v>2254</v>
      </c>
      <c r="E1677" s="7" t="s">
        <v>13</v>
      </c>
      <c r="F1677" s="1" t="s">
        <v>27</v>
      </c>
      <c r="G1677" s="9" t="s">
        <v>35</v>
      </c>
      <c r="H1677" s="7">
        <v>490</v>
      </c>
      <c r="I1677" s="18">
        <v>15001002</v>
      </c>
      <c r="J1677" s="10">
        <v>4000</v>
      </c>
      <c r="K1677" s="7" t="s">
        <v>13</v>
      </c>
      <c r="L1677" s="7" t="s">
        <v>40</v>
      </c>
      <c r="M1677" s="34">
        <v>46160</v>
      </c>
      <c r="N1677" s="7" t="s">
        <v>41</v>
      </c>
    </row>
    <row r="1678" spans="1:15" x14ac:dyDescent="0.25">
      <c r="A1678" s="41" t="s">
        <v>181</v>
      </c>
      <c r="B1678" s="1">
        <v>1</v>
      </c>
      <c r="C1678" s="8">
        <v>46150</v>
      </c>
      <c r="D1678" s="1" t="s">
        <v>2255</v>
      </c>
      <c r="E1678" s="7" t="s">
        <v>13</v>
      </c>
      <c r="F1678" s="1" t="s">
        <v>27</v>
      </c>
      <c r="G1678" s="9" t="s">
        <v>35</v>
      </c>
      <c r="H1678" s="7">
        <v>958093612</v>
      </c>
      <c r="I1678" s="18">
        <v>16000000</v>
      </c>
      <c r="J1678" s="10">
        <v>694.67</v>
      </c>
      <c r="K1678" s="7" t="s">
        <v>13</v>
      </c>
      <c r="L1678" s="7" t="s">
        <v>54</v>
      </c>
      <c r="M1678" s="34">
        <v>46154</v>
      </c>
      <c r="N1678" s="7" t="s">
        <v>91</v>
      </c>
    </row>
    <row r="1679" spans="1:15" x14ac:dyDescent="0.25">
      <c r="A1679" s="41" t="s">
        <v>982</v>
      </c>
      <c r="B1679" s="1">
        <v>1</v>
      </c>
      <c r="C1679" s="8">
        <v>46150</v>
      </c>
      <c r="D1679" s="1" t="s">
        <v>2256</v>
      </c>
      <c r="E1679" s="7" t="s">
        <v>2</v>
      </c>
      <c r="F1679" s="1" t="s">
        <v>27</v>
      </c>
      <c r="G1679" s="9" t="s">
        <v>35</v>
      </c>
      <c r="H1679" s="7">
        <v>8241</v>
      </c>
      <c r="I1679" s="18">
        <v>15001001</v>
      </c>
      <c r="J1679" s="10">
        <v>438</v>
      </c>
      <c r="K1679" s="7" t="s">
        <v>12</v>
      </c>
      <c r="L1679" s="7" t="s">
        <v>53</v>
      </c>
      <c r="M1679" s="34">
        <v>46154</v>
      </c>
      <c r="N1679" s="7" t="s">
        <v>92</v>
      </c>
    </row>
    <row r="1680" spans="1:15" x14ac:dyDescent="0.25">
      <c r="A1680" s="41" t="s">
        <v>664</v>
      </c>
      <c r="B1680" s="1">
        <v>1</v>
      </c>
      <c r="C1680" s="8">
        <v>46150</v>
      </c>
      <c r="D1680" s="1" t="s">
        <v>2257</v>
      </c>
      <c r="E1680" s="7" t="s">
        <v>2</v>
      </c>
      <c r="F1680" s="1" t="s">
        <v>27</v>
      </c>
      <c r="G1680" s="9" t="s">
        <v>35</v>
      </c>
      <c r="H1680" s="7">
        <v>77</v>
      </c>
      <c r="I1680" s="18">
        <v>15001001</v>
      </c>
      <c r="J1680" s="10">
        <v>15999.3</v>
      </c>
      <c r="K1680" s="7" t="s">
        <v>12</v>
      </c>
      <c r="L1680" s="7" t="s">
        <v>53</v>
      </c>
      <c r="M1680" s="34">
        <v>46154</v>
      </c>
      <c r="N1680" s="7" t="s">
        <v>91</v>
      </c>
    </row>
    <row r="1681" spans="1:14" x14ac:dyDescent="0.25">
      <c r="A1681" s="41" t="s">
        <v>181</v>
      </c>
      <c r="B1681" s="1">
        <v>2</v>
      </c>
      <c r="C1681" s="8">
        <v>46154</v>
      </c>
      <c r="D1681" s="1" t="s">
        <v>2258</v>
      </c>
      <c r="E1681" s="7" t="s">
        <v>13</v>
      </c>
      <c r="F1681" s="1" t="s">
        <v>27</v>
      </c>
      <c r="G1681" s="9" t="s">
        <v>35</v>
      </c>
      <c r="H1681" s="7" t="s">
        <v>581</v>
      </c>
      <c r="I1681" s="18">
        <v>15001002</v>
      </c>
      <c r="J1681" s="10">
        <v>103235.92</v>
      </c>
      <c r="K1681" s="7" t="s">
        <v>13</v>
      </c>
      <c r="L1681" s="7" t="s">
        <v>54</v>
      </c>
      <c r="M1681" s="34">
        <v>46154</v>
      </c>
      <c r="N1681" s="7" t="s">
        <v>91</v>
      </c>
    </row>
    <row r="1682" spans="1:14" x14ac:dyDescent="0.25">
      <c r="A1682" s="41" t="s">
        <v>2231</v>
      </c>
      <c r="B1682" s="1">
        <v>2</v>
      </c>
      <c r="C1682" s="8">
        <v>46156</v>
      </c>
      <c r="D1682" s="1" t="s">
        <v>2259</v>
      </c>
      <c r="E1682" s="7" t="s">
        <v>16</v>
      </c>
      <c r="F1682" s="1" t="s">
        <v>27</v>
      </c>
      <c r="G1682" s="9" t="s">
        <v>35</v>
      </c>
      <c r="H1682" s="7">
        <v>1870</v>
      </c>
      <c r="I1682" s="18">
        <v>16610000</v>
      </c>
      <c r="J1682" s="10">
        <v>4743</v>
      </c>
      <c r="K1682" s="7" t="s">
        <v>12</v>
      </c>
      <c r="L1682" s="7" t="s">
        <v>53</v>
      </c>
      <c r="M1682" s="34">
        <v>46156</v>
      </c>
      <c r="N1682" s="7" t="s">
        <v>52</v>
      </c>
    </row>
    <row r="1683" spans="1:14" x14ac:dyDescent="0.25">
      <c r="A1683" s="41" t="s">
        <v>2231</v>
      </c>
      <c r="B1683" s="1">
        <v>2</v>
      </c>
      <c r="C1683" s="8">
        <v>46161</v>
      </c>
      <c r="D1683" s="1" t="s">
        <v>2260</v>
      </c>
      <c r="E1683" s="7" t="s">
        <v>16</v>
      </c>
      <c r="F1683" s="1" t="s">
        <v>27</v>
      </c>
      <c r="G1683" s="9" t="s">
        <v>35</v>
      </c>
      <c r="H1683" s="7">
        <v>3354</v>
      </c>
      <c r="I1683" s="18">
        <v>16600000</v>
      </c>
      <c r="J1683" s="10">
        <v>11877.75</v>
      </c>
      <c r="K1683" s="7" t="s">
        <v>58</v>
      </c>
      <c r="L1683" s="7" t="s">
        <v>59</v>
      </c>
      <c r="M1683" s="34">
        <v>46161</v>
      </c>
      <c r="N1683" s="7" t="s">
        <v>92</v>
      </c>
    </row>
    <row r="1684" spans="1:14" x14ac:dyDescent="0.25">
      <c r="A1684" s="41" t="s">
        <v>2231</v>
      </c>
      <c r="B1684" s="1">
        <v>2</v>
      </c>
      <c r="C1684" s="8">
        <v>46161</v>
      </c>
      <c r="D1684" s="1" t="s">
        <v>2261</v>
      </c>
      <c r="E1684" s="7" t="s">
        <v>16</v>
      </c>
      <c r="F1684" s="1" t="s">
        <v>27</v>
      </c>
      <c r="G1684" s="9" t="s">
        <v>35</v>
      </c>
      <c r="H1684" s="7">
        <v>1868</v>
      </c>
      <c r="I1684" s="18">
        <v>16600000</v>
      </c>
      <c r="J1684" s="10">
        <v>10326</v>
      </c>
      <c r="K1684" s="7" t="s">
        <v>58</v>
      </c>
      <c r="L1684" s="7" t="s">
        <v>59</v>
      </c>
      <c r="M1684" s="34">
        <v>46161</v>
      </c>
      <c r="N1684" s="7" t="s">
        <v>92</v>
      </c>
    </row>
    <row r="1685" spans="1:14" x14ac:dyDescent="0.25">
      <c r="A1685" s="41" t="s">
        <v>2231</v>
      </c>
      <c r="B1685" s="1">
        <v>2</v>
      </c>
      <c r="C1685" s="8">
        <v>46156</v>
      </c>
      <c r="D1685" s="1" t="s">
        <v>2262</v>
      </c>
      <c r="E1685" s="7" t="s">
        <v>16</v>
      </c>
      <c r="F1685" s="1" t="s">
        <v>27</v>
      </c>
      <c r="G1685" s="9" t="s">
        <v>35</v>
      </c>
      <c r="H1685" s="7">
        <v>1871</v>
      </c>
      <c r="I1685" s="18">
        <v>16600000</v>
      </c>
      <c r="J1685" s="10">
        <v>3770</v>
      </c>
      <c r="K1685" s="7" t="s">
        <v>12</v>
      </c>
      <c r="L1685" s="7" t="s">
        <v>53</v>
      </c>
      <c r="M1685" s="34">
        <v>46156</v>
      </c>
      <c r="N1685" s="7" t="s">
        <v>52</v>
      </c>
    </row>
    <row r="1686" spans="1:14" x14ac:dyDescent="0.25">
      <c r="A1686" s="41" t="s">
        <v>367</v>
      </c>
      <c r="B1686" s="1">
        <v>2</v>
      </c>
      <c r="C1686" s="8">
        <v>46155</v>
      </c>
      <c r="D1686" s="1" t="s">
        <v>2263</v>
      </c>
      <c r="E1686" s="7" t="s">
        <v>12</v>
      </c>
      <c r="F1686" s="1" t="s">
        <v>27</v>
      </c>
      <c r="G1686" s="9" t="s">
        <v>35</v>
      </c>
      <c r="H1686" s="7">
        <v>17613</v>
      </c>
      <c r="I1686" s="18">
        <v>15000000</v>
      </c>
      <c r="J1686" s="10">
        <v>482.41</v>
      </c>
      <c r="K1686" s="7" t="s">
        <v>12</v>
      </c>
      <c r="L1686" s="7" t="s">
        <v>53</v>
      </c>
      <c r="M1686" s="34">
        <v>46156</v>
      </c>
      <c r="N1686" s="7" t="s">
        <v>92</v>
      </c>
    </row>
    <row r="1687" spans="1:14" x14ac:dyDescent="0.25">
      <c r="A1687" s="41" t="s">
        <v>210</v>
      </c>
      <c r="B1687" s="1">
        <v>1</v>
      </c>
      <c r="C1687" s="8">
        <v>46150</v>
      </c>
      <c r="D1687" s="1" t="s">
        <v>2264</v>
      </c>
      <c r="E1687" s="7" t="s">
        <v>12</v>
      </c>
      <c r="F1687" s="1" t="s">
        <v>27</v>
      </c>
      <c r="G1687" s="9" t="s">
        <v>35</v>
      </c>
      <c r="H1687" s="7">
        <v>349324</v>
      </c>
      <c r="I1687" s="18">
        <v>15000000</v>
      </c>
      <c r="J1687" s="10">
        <v>189.23</v>
      </c>
      <c r="K1687" s="7" t="s">
        <v>12</v>
      </c>
      <c r="L1687" s="7" t="s">
        <v>53</v>
      </c>
      <c r="M1687" s="34">
        <v>46154</v>
      </c>
      <c r="N1687" s="7" t="s">
        <v>91</v>
      </c>
    </row>
    <row r="1688" spans="1:14" x14ac:dyDescent="0.25">
      <c r="A1688" s="41" t="s">
        <v>2265</v>
      </c>
      <c r="B1688" s="1">
        <v>1</v>
      </c>
      <c r="C1688" s="8">
        <v>46150</v>
      </c>
      <c r="D1688" s="1" t="s">
        <v>2266</v>
      </c>
      <c r="E1688" s="7" t="s">
        <v>13</v>
      </c>
      <c r="F1688" s="1" t="s">
        <v>27</v>
      </c>
      <c r="G1688" s="9" t="s">
        <v>38</v>
      </c>
      <c r="H1688" s="7" t="s">
        <v>74</v>
      </c>
      <c r="I1688" s="18" t="s">
        <v>0</v>
      </c>
      <c r="J1688" s="10" t="s">
        <v>61</v>
      </c>
      <c r="K1688" s="7" t="s">
        <v>22</v>
      </c>
      <c r="L1688" s="7" t="s">
        <v>55</v>
      </c>
      <c r="M1688" s="34">
        <v>46155</v>
      </c>
      <c r="N1688" s="7" t="s">
        <v>91</v>
      </c>
    </row>
    <row r="1689" spans="1:14" x14ac:dyDescent="0.25">
      <c r="A1689" s="41" t="s">
        <v>385</v>
      </c>
      <c r="B1689" s="1">
        <v>3</v>
      </c>
      <c r="C1689" s="8">
        <v>46154</v>
      </c>
      <c r="D1689" s="1" t="s">
        <v>2267</v>
      </c>
      <c r="E1689" s="7" t="s">
        <v>14</v>
      </c>
      <c r="F1689" s="1" t="s">
        <v>27</v>
      </c>
      <c r="G1689" s="9" t="s">
        <v>35</v>
      </c>
      <c r="H1689" s="7">
        <v>4554</v>
      </c>
      <c r="I1689" s="18">
        <v>15000000</v>
      </c>
      <c r="J1689" s="10">
        <v>196753.92000000001</v>
      </c>
      <c r="K1689" s="7" t="s">
        <v>12</v>
      </c>
      <c r="L1689" s="7" t="s">
        <v>53</v>
      </c>
      <c r="M1689" s="34">
        <v>46154</v>
      </c>
      <c r="N1689" s="7" t="s">
        <v>41</v>
      </c>
    </row>
    <row r="1690" spans="1:14" x14ac:dyDescent="0.25">
      <c r="A1690" s="41" t="s">
        <v>385</v>
      </c>
      <c r="B1690" s="1">
        <v>2</v>
      </c>
      <c r="C1690" s="8">
        <v>46153</v>
      </c>
      <c r="D1690" s="1" t="s">
        <v>2268</v>
      </c>
      <c r="E1690" s="7" t="s">
        <v>14</v>
      </c>
      <c r="F1690" s="1" t="s">
        <v>27</v>
      </c>
      <c r="G1690" s="9" t="s">
        <v>35</v>
      </c>
      <c r="H1690" s="7">
        <v>4555</v>
      </c>
      <c r="I1690" s="18">
        <v>15000000</v>
      </c>
      <c r="J1690" s="10">
        <v>196753.92000000001</v>
      </c>
      <c r="K1690" s="7" t="s">
        <v>12</v>
      </c>
      <c r="L1690" s="7" t="s">
        <v>53</v>
      </c>
      <c r="M1690" s="34">
        <v>46153</v>
      </c>
      <c r="N1690" s="7" t="s">
        <v>41</v>
      </c>
    </row>
    <row r="1691" spans="1:14" x14ac:dyDescent="0.25">
      <c r="A1691" s="41" t="s">
        <v>210</v>
      </c>
      <c r="B1691" s="1">
        <v>1</v>
      </c>
      <c r="C1691" s="8">
        <v>46150</v>
      </c>
      <c r="D1691" s="1" t="s">
        <v>2269</v>
      </c>
      <c r="E1691" s="7" t="s">
        <v>16</v>
      </c>
      <c r="F1691" s="1" t="s">
        <v>27</v>
      </c>
      <c r="G1691" s="9" t="s">
        <v>35</v>
      </c>
      <c r="H1691" s="7">
        <v>335298</v>
      </c>
      <c r="I1691" s="18">
        <v>15000000</v>
      </c>
      <c r="J1691" s="10">
        <v>344.06</v>
      </c>
      <c r="K1691" s="7" t="s">
        <v>12</v>
      </c>
      <c r="L1691" s="7" t="s">
        <v>53</v>
      </c>
      <c r="M1691" s="34">
        <v>46154</v>
      </c>
      <c r="N1691" s="7" t="s">
        <v>91</v>
      </c>
    </row>
    <row r="1692" spans="1:14" x14ac:dyDescent="0.25">
      <c r="A1692" s="41" t="s">
        <v>884</v>
      </c>
      <c r="B1692" s="1">
        <v>1</v>
      </c>
      <c r="C1692" s="8">
        <v>46150</v>
      </c>
      <c r="D1692" s="1" t="s">
        <v>2270</v>
      </c>
      <c r="E1692" s="7" t="s">
        <v>16</v>
      </c>
      <c r="F1692" s="1" t="s">
        <v>27</v>
      </c>
      <c r="G1692" s="9" t="s">
        <v>35</v>
      </c>
      <c r="H1692" s="7">
        <v>546191</v>
      </c>
      <c r="I1692" s="18">
        <v>15000000</v>
      </c>
      <c r="J1692" s="10">
        <v>119685</v>
      </c>
      <c r="K1692" s="7" t="s">
        <v>12</v>
      </c>
      <c r="L1692" s="7" t="s">
        <v>53</v>
      </c>
      <c r="M1692" s="34">
        <v>46154</v>
      </c>
      <c r="N1692" s="7" t="s">
        <v>91</v>
      </c>
    </row>
    <row r="1693" spans="1:14" x14ac:dyDescent="0.25">
      <c r="A1693" s="41" t="s">
        <v>227</v>
      </c>
      <c r="B1693" s="1">
        <v>1</v>
      </c>
      <c r="C1693" s="8">
        <v>46150</v>
      </c>
      <c r="D1693" s="1" t="s">
        <v>2271</v>
      </c>
      <c r="E1693" s="7" t="s">
        <v>14</v>
      </c>
      <c r="F1693" s="1" t="s">
        <v>27</v>
      </c>
      <c r="G1693" s="9" t="s">
        <v>35</v>
      </c>
      <c r="H1693" s="7">
        <v>804</v>
      </c>
      <c r="I1693" s="18">
        <v>15000000</v>
      </c>
      <c r="J1693" s="10">
        <v>12221.88</v>
      </c>
      <c r="K1693" s="7" t="s">
        <v>12</v>
      </c>
      <c r="L1693" s="7" t="s">
        <v>53</v>
      </c>
      <c r="M1693" s="34">
        <v>46154</v>
      </c>
      <c r="N1693" s="7" t="s">
        <v>91</v>
      </c>
    </row>
    <row r="1694" spans="1:14" x14ac:dyDescent="0.25">
      <c r="A1694" s="41" t="s">
        <v>2272</v>
      </c>
      <c r="B1694" s="1">
        <v>2</v>
      </c>
      <c r="C1694" s="8">
        <v>46155</v>
      </c>
      <c r="D1694" s="1" t="s">
        <v>2273</v>
      </c>
      <c r="E1694" s="7" t="s">
        <v>14</v>
      </c>
      <c r="F1694" s="1" t="s">
        <v>27</v>
      </c>
      <c r="G1694" s="9" t="s">
        <v>35</v>
      </c>
      <c r="H1694" s="7">
        <v>12813</v>
      </c>
      <c r="I1694" s="18">
        <v>15000000</v>
      </c>
      <c r="J1694" s="10">
        <v>7393.39</v>
      </c>
      <c r="K1694" s="7" t="s">
        <v>12</v>
      </c>
      <c r="L1694" s="7" t="s">
        <v>53</v>
      </c>
      <c r="M1694" s="34">
        <v>46155</v>
      </c>
      <c r="N1694" s="7" t="s">
        <v>91</v>
      </c>
    </row>
    <row r="1695" spans="1:14" x14ac:dyDescent="0.25">
      <c r="A1695" s="41" t="s">
        <v>370</v>
      </c>
      <c r="B1695" s="1">
        <v>2</v>
      </c>
      <c r="C1695" s="8">
        <v>46154</v>
      </c>
      <c r="D1695" s="1" t="s">
        <v>2274</v>
      </c>
      <c r="E1695" s="7" t="s">
        <v>13</v>
      </c>
      <c r="F1695" s="1" t="s">
        <v>27</v>
      </c>
      <c r="G1695" s="9" t="s">
        <v>35</v>
      </c>
      <c r="H1695" s="7">
        <v>940</v>
      </c>
      <c r="I1695" s="18">
        <v>15001002</v>
      </c>
      <c r="J1695" s="10">
        <v>2889</v>
      </c>
      <c r="K1695" s="7" t="s">
        <v>13</v>
      </c>
      <c r="L1695" s="7" t="s">
        <v>54</v>
      </c>
      <c r="M1695" s="34">
        <v>46155</v>
      </c>
      <c r="N1695" s="7" t="s">
        <v>92</v>
      </c>
    </row>
    <row r="1696" spans="1:14" x14ac:dyDescent="0.25">
      <c r="A1696" s="41" t="s">
        <v>2275</v>
      </c>
      <c r="B1696" s="1">
        <v>3</v>
      </c>
      <c r="C1696" s="8">
        <v>46156</v>
      </c>
      <c r="D1696" s="1" t="s">
        <v>2276</v>
      </c>
      <c r="E1696" s="7" t="s">
        <v>13</v>
      </c>
      <c r="F1696" s="1" t="s">
        <v>27</v>
      </c>
      <c r="G1696" s="9" t="s">
        <v>35</v>
      </c>
      <c r="H1696" s="7" t="s">
        <v>2277</v>
      </c>
      <c r="I1696" s="18">
        <v>15001002</v>
      </c>
      <c r="J1696" s="10">
        <v>183021.63</v>
      </c>
      <c r="K1696" s="7" t="s">
        <v>13</v>
      </c>
      <c r="L1696" s="7" t="s">
        <v>54</v>
      </c>
      <c r="M1696" s="34">
        <v>46156</v>
      </c>
      <c r="N1696" s="7" t="s">
        <v>41</v>
      </c>
    </row>
    <row r="1697" spans="1:14" x14ac:dyDescent="0.25">
      <c r="A1697" s="41" t="s">
        <v>1484</v>
      </c>
      <c r="B1697" s="1">
        <v>1</v>
      </c>
      <c r="C1697" s="8">
        <v>46150</v>
      </c>
      <c r="D1697" s="1" t="s">
        <v>2278</v>
      </c>
      <c r="E1697" s="7" t="s">
        <v>2</v>
      </c>
      <c r="F1697" s="1" t="s">
        <v>27</v>
      </c>
      <c r="G1697" s="9" t="s">
        <v>35</v>
      </c>
      <c r="H1697" s="7">
        <v>9041</v>
      </c>
      <c r="I1697" s="18">
        <v>25500000</v>
      </c>
      <c r="J1697" s="10">
        <v>7624.5</v>
      </c>
      <c r="K1697" s="7" t="s">
        <v>12</v>
      </c>
      <c r="L1697" s="7" t="s">
        <v>53</v>
      </c>
      <c r="M1697" s="34">
        <v>46154</v>
      </c>
      <c r="N1697" s="7" t="s">
        <v>91</v>
      </c>
    </row>
    <row r="1698" spans="1:14" x14ac:dyDescent="0.25">
      <c r="A1698" s="41" t="s">
        <v>2281</v>
      </c>
      <c r="B1698" s="1">
        <v>2</v>
      </c>
      <c r="C1698" s="8">
        <v>46156</v>
      </c>
      <c r="D1698" s="1" t="s">
        <v>2280</v>
      </c>
      <c r="E1698" s="7" t="s">
        <v>13</v>
      </c>
      <c r="F1698" s="1" t="s">
        <v>27</v>
      </c>
      <c r="K1698" s="7" t="s">
        <v>13</v>
      </c>
      <c r="L1698" s="7" t="s">
        <v>54</v>
      </c>
      <c r="M1698" s="34">
        <v>46156</v>
      </c>
      <c r="N1698" s="7" t="s">
        <v>92</v>
      </c>
    </row>
    <row r="1699" spans="1:14" x14ac:dyDescent="0.25">
      <c r="A1699" s="41" t="s">
        <v>2282</v>
      </c>
      <c r="B1699" s="1">
        <v>2</v>
      </c>
      <c r="C1699" s="8">
        <v>46157</v>
      </c>
      <c r="D1699" s="1" t="s">
        <v>2283</v>
      </c>
      <c r="E1699" s="7" t="s">
        <v>13</v>
      </c>
      <c r="F1699" s="1" t="s">
        <v>27</v>
      </c>
      <c r="K1699" s="7" t="s">
        <v>13</v>
      </c>
      <c r="L1699" s="7" t="s">
        <v>54</v>
      </c>
      <c r="M1699" s="34">
        <v>46157</v>
      </c>
      <c r="N1699" s="7" t="s">
        <v>41</v>
      </c>
    </row>
    <row r="1700" spans="1:14" x14ac:dyDescent="0.25">
      <c r="A1700" s="41" t="s">
        <v>2284</v>
      </c>
      <c r="B1700" s="1">
        <v>2</v>
      </c>
      <c r="C1700" s="8">
        <v>46155</v>
      </c>
      <c r="D1700" s="1" t="s">
        <v>2285</v>
      </c>
      <c r="E1700" s="7" t="s">
        <v>13</v>
      </c>
      <c r="F1700" s="1" t="s">
        <v>27</v>
      </c>
      <c r="G1700" s="9" t="s">
        <v>35</v>
      </c>
      <c r="H1700" s="7" t="s">
        <v>2286</v>
      </c>
      <c r="I1700" s="18">
        <v>16590000</v>
      </c>
      <c r="J1700" s="10">
        <v>4465.4799999999996</v>
      </c>
      <c r="K1700" s="7" t="s">
        <v>13</v>
      </c>
      <c r="L1700" s="7" t="s">
        <v>54</v>
      </c>
      <c r="M1700" s="34">
        <v>46156</v>
      </c>
      <c r="N1700" s="7" t="s">
        <v>92</v>
      </c>
    </row>
    <row r="1701" spans="1:14" x14ac:dyDescent="0.25">
      <c r="A1701" s="41" t="s">
        <v>2289</v>
      </c>
      <c r="B1701" s="1">
        <v>1</v>
      </c>
      <c r="C1701" s="8">
        <v>46153</v>
      </c>
      <c r="D1701" s="1" t="s">
        <v>2287</v>
      </c>
      <c r="E1701" s="7" t="s">
        <v>13</v>
      </c>
      <c r="F1701" s="1" t="s">
        <v>27</v>
      </c>
      <c r="G1701" s="9" t="s">
        <v>35</v>
      </c>
      <c r="H1701" s="7">
        <v>2610000000004</v>
      </c>
      <c r="I1701" s="18">
        <v>15001002</v>
      </c>
      <c r="J1701" s="10">
        <v>21750</v>
      </c>
      <c r="K1701" s="7" t="s">
        <v>13</v>
      </c>
      <c r="L1701" s="7" t="s">
        <v>54</v>
      </c>
      <c r="M1701" s="34">
        <v>46155</v>
      </c>
      <c r="N1701" s="7" t="s">
        <v>92</v>
      </c>
    </row>
    <row r="1702" spans="1:14" x14ac:dyDescent="0.25">
      <c r="A1702" s="41" t="s">
        <v>2288</v>
      </c>
      <c r="B1702" s="1">
        <v>1</v>
      </c>
      <c r="C1702" s="8">
        <v>46153</v>
      </c>
      <c r="D1702" s="1" t="s">
        <v>2290</v>
      </c>
      <c r="E1702" s="7" t="s">
        <v>2</v>
      </c>
      <c r="F1702" s="1" t="s">
        <v>27</v>
      </c>
      <c r="G1702" s="9" t="s">
        <v>35</v>
      </c>
      <c r="H1702" s="7">
        <v>12820</v>
      </c>
      <c r="I1702" s="18">
        <v>15001001</v>
      </c>
      <c r="J1702" s="10">
        <v>19227.759999999998</v>
      </c>
      <c r="K1702" s="7" t="s">
        <v>12</v>
      </c>
      <c r="L1702" s="7" t="s">
        <v>53</v>
      </c>
      <c r="M1702" s="34">
        <v>46155</v>
      </c>
      <c r="N1702" s="7" t="s">
        <v>92</v>
      </c>
    </row>
    <row r="1703" spans="1:14" x14ac:dyDescent="0.25">
      <c r="A1703" s="41" t="s">
        <v>183</v>
      </c>
      <c r="B1703" s="1">
        <v>1</v>
      </c>
      <c r="C1703" s="8">
        <v>46153</v>
      </c>
      <c r="D1703" s="1" t="s">
        <v>2291</v>
      </c>
      <c r="E1703" s="7" t="s">
        <v>12</v>
      </c>
      <c r="F1703" s="1" t="s">
        <v>27</v>
      </c>
      <c r="G1703" s="9" t="s">
        <v>35</v>
      </c>
      <c r="H1703" s="7">
        <v>13834</v>
      </c>
      <c r="I1703" s="18">
        <v>15000000</v>
      </c>
      <c r="J1703" s="10">
        <v>26950.28</v>
      </c>
      <c r="K1703" s="7" t="s">
        <v>12</v>
      </c>
      <c r="L1703" s="7" t="s">
        <v>53</v>
      </c>
      <c r="M1703" s="34">
        <v>46155</v>
      </c>
      <c r="N1703" s="7" t="s">
        <v>91</v>
      </c>
    </row>
    <row r="1704" spans="1:14" x14ac:dyDescent="0.25">
      <c r="A1704" s="41" t="s">
        <v>782</v>
      </c>
      <c r="B1704" s="1">
        <v>2</v>
      </c>
      <c r="C1704" s="8">
        <v>46156</v>
      </c>
      <c r="D1704" s="1" t="s">
        <v>2292</v>
      </c>
      <c r="E1704" s="7" t="s">
        <v>56</v>
      </c>
      <c r="F1704" s="1" t="s">
        <v>27</v>
      </c>
      <c r="G1704" s="9" t="s">
        <v>35</v>
      </c>
      <c r="H1704" s="7">
        <v>276</v>
      </c>
      <c r="I1704" s="18">
        <v>15000000</v>
      </c>
      <c r="J1704" s="10">
        <v>13000</v>
      </c>
      <c r="K1704" s="7" t="s">
        <v>12</v>
      </c>
      <c r="L1704" s="7" t="s">
        <v>53</v>
      </c>
      <c r="M1704" s="34">
        <v>46157</v>
      </c>
      <c r="N1704" s="7" t="s">
        <v>91</v>
      </c>
    </row>
    <row r="1705" spans="1:14" x14ac:dyDescent="0.25">
      <c r="A1705" s="41" t="s">
        <v>183</v>
      </c>
      <c r="B1705" s="1">
        <v>1</v>
      </c>
      <c r="C1705" s="8">
        <v>46153</v>
      </c>
      <c r="D1705" s="1" t="s">
        <v>2293</v>
      </c>
      <c r="E1705" s="7" t="s">
        <v>2</v>
      </c>
      <c r="F1705" s="1" t="s">
        <v>27</v>
      </c>
      <c r="G1705" s="9" t="s">
        <v>35</v>
      </c>
      <c r="H1705" s="7">
        <v>13835</v>
      </c>
      <c r="I1705" s="18">
        <v>15001001</v>
      </c>
      <c r="J1705" s="10">
        <v>8797.83</v>
      </c>
      <c r="K1705" s="7" t="s">
        <v>12</v>
      </c>
      <c r="L1705" s="7" t="s">
        <v>53</v>
      </c>
      <c r="M1705" s="34">
        <v>46155</v>
      </c>
      <c r="N1705" s="7" t="s">
        <v>91</v>
      </c>
    </row>
    <row r="1706" spans="1:14" x14ac:dyDescent="0.25">
      <c r="A1706" s="41" t="s">
        <v>2295</v>
      </c>
      <c r="B1706" s="1">
        <v>1</v>
      </c>
      <c r="C1706" s="8">
        <v>46153</v>
      </c>
      <c r="D1706" s="1" t="s">
        <v>2294</v>
      </c>
      <c r="E1706" s="7" t="s">
        <v>14</v>
      </c>
      <c r="F1706" s="1" t="s">
        <v>27</v>
      </c>
      <c r="G1706" s="9" t="s">
        <v>66</v>
      </c>
      <c r="H1706" s="7" t="s">
        <v>74</v>
      </c>
      <c r="I1706" s="18" t="s">
        <v>0</v>
      </c>
      <c r="J1706" s="10" t="s">
        <v>61</v>
      </c>
      <c r="K1706" s="7" t="s">
        <v>22</v>
      </c>
      <c r="L1706" s="7" t="s">
        <v>55</v>
      </c>
      <c r="M1706" s="34">
        <v>46156</v>
      </c>
      <c r="N1706" s="7" t="s">
        <v>46</v>
      </c>
    </row>
    <row r="1707" spans="1:14" x14ac:dyDescent="0.25">
      <c r="A1707" s="41" t="s">
        <v>370</v>
      </c>
      <c r="B1707" s="1">
        <v>1</v>
      </c>
      <c r="C1707" s="8">
        <v>46153</v>
      </c>
      <c r="D1707" s="1" t="s">
        <v>2296</v>
      </c>
      <c r="E1707" s="7" t="s">
        <v>2</v>
      </c>
      <c r="F1707" s="1" t="s">
        <v>27</v>
      </c>
      <c r="G1707" s="9" t="s">
        <v>35</v>
      </c>
      <c r="H1707" s="7">
        <v>939</v>
      </c>
      <c r="I1707" s="18">
        <v>15001001</v>
      </c>
      <c r="J1707" s="10">
        <v>4466</v>
      </c>
      <c r="K1707" s="7" t="s">
        <v>12</v>
      </c>
      <c r="L1707" s="7" t="s">
        <v>53</v>
      </c>
      <c r="M1707" s="34">
        <v>46155</v>
      </c>
      <c r="N1707" s="7" t="s">
        <v>91</v>
      </c>
    </row>
    <row r="1708" spans="1:14" x14ac:dyDescent="0.25">
      <c r="A1708" s="41" t="s">
        <v>218</v>
      </c>
      <c r="B1708" s="1">
        <v>1</v>
      </c>
      <c r="C1708" s="8">
        <v>46153</v>
      </c>
      <c r="D1708" s="1" t="s">
        <v>2297</v>
      </c>
      <c r="E1708" s="7" t="s">
        <v>13</v>
      </c>
      <c r="F1708" s="1" t="s">
        <v>27</v>
      </c>
      <c r="G1708" s="9" t="s">
        <v>35</v>
      </c>
      <c r="H1708" s="7">
        <v>294</v>
      </c>
      <c r="I1708" s="18">
        <v>15001002</v>
      </c>
      <c r="J1708" s="10">
        <v>6531.75</v>
      </c>
      <c r="K1708" s="7" t="s">
        <v>13</v>
      </c>
      <c r="L1708" s="7" t="s">
        <v>54</v>
      </c>
      <c r="M1708" s="34">
        <v>46155</v>
      </c>
      <c r="N1708" s="7" t="s">
        <v>91</v>
      </c>
    </row>
    <row r="1709" spans="1:14" x14ac:dyDescent="0.25">
      <c r="A1709" s="41" t="s">
        <v>758</v>
      </c>
      <c r="B1709" s="1">
        <v>2</v>
      </c>
      <c r="C1709" s="8">
        <v>46155</v>
      </c>
      <c r="D1709" s="1" t="s">
        <v>2298</v>
      </c>
      <c r="E1709" s="7" t="s">
        <v>14</v>
      </c>
      <c r="F1709" s="1" t="s">
        <v>27</v>
      </c>
      <c r="G1709" s="9" t="s">
        <v>35</v>
      </c>
      <c r="H1709" s="7">
        <v>1043</v>
      </c>
      <c r="I1709" s="18">
        <v>15000000</v>
      </c>
      <c r="J1709" s="10">
        <v>686.72</v>
      </c>
      <c r="K1709" s="7" t="s">
        <v>12</v>
      </c>
      <c r="L1709" s="7" t="s">
        <v>53</v>
      </c>
      <c r="M1709" s="34">
        <v>46156</v>
      </c>
      <c r="N1709" s="7" t="s">
        <v>91</v>
      </c>
    </row>
    <row r="1710" spans="1:14" x14ac:dyDescent="0.25">
      <c r="A1710" s="41" t="s">
        <v>435</v>
      </c>
      <c r="B1710" s="1">
        <v>1</v>
      </c>
      <c r="C1710" s="8">
        <v>46153</v>
      </c>
      <c r="D1710" s="1" t="s">
        <v>2299</v>
      </c>
      <c r="E1710" s="7" t="s">
        <v>14</v>
      </c>
      <c r="F1710" s="1" t="s">
        <v>27</v>
      </c>
      <c r="G1710" s="9" t="s">
        <v>35</v>
      </c>
      <c r="H1710" s="7">
        <v>2889988</v>
      </c>
      <c r="I1710" s="18">
        <v>15000000</v>
      </c>
      <c r="J1710" s="10">
        <v>276620.95</v>
      </c>
      <c r="K1710" s="7" t="s">
        <v>12</v>
      </c>
      <c r="L1710" s="7" t="s">
        <v>53</v>
      </c>
      <c r="M1710" s="34">
        <v>46155</v>
      </c>
      <c r="N1710" s="7" t="s">
        <v>91</v>
      </c>
    </row>
    <row r="1711" spans="1:14" x14ac:dyDescent="0.25">
      <c r="A1711" s="41" t="s">
        <v>2300</v>
      </c>
      <c r="B1711" s="1">
        <v>2</v>
      </c>
      <c r="C1711" s="8">
        <v>46156</v>
      </c>
      <c r="D1711" s="1" t="s">
        <v>2301</v>
      </c>
      <c r="E1711" s="7" t="s">
        <v>16</v>
      </c>
      <c r="F1711" s="1" t="s">
        <v>27</v>
      </c>
      <c r="G1711" s="9" t="s">
        <v>35</v>
      </c>
      <c r="H1711" s="7" t="s">
        <v>74</v>
      </c>
      <c r="I1711" s="18">
        <v>15000000</v>
      </c>
      <c r="J1711" s="10">
        <v>600</v>
      </c>
      <c r="K1711" s="7" t="s">
        <v>12</v>
      </c>
      <c r="L1711" s="7" t="s">
        <v>53</v>
      </c>
      <c r="M1711" s="34">
        <v>46156</v>
      </c>
      <c r="N1711" s="7" t="s">
        <v>41</v>
      </c>
    </row>
    <row r="1712" spans="1:14" x14ac:dyDescent="0.25">
      <c r="A1712" s="41" t="s">
        <v>2302</v>
      </c>
      <c r="B1712" s="1">
        <v>1</v>
      </c>
      <c r="C1712" s="8">
        <v>46153</v>
      </c>
      <c r="D1712" s="1" t="s">
        <v>2303</v>
      </c>
      <c r="E1712" s="7" t="s">
        <v>16</v>
      </c>
      <c r="F1712" s="1" t="s">
        <v>27</v>
      </c>
      <c r="G1712" s="9" t="s">
        <v>35</v>
      </c>
      <c r="H1712" s="7" t="s">
        <v>74</v>
      </c>
      <c r="I1712" s="18">
        <v>15000000</v>
      </c>
      <c r="J1712" s="10">
        <v>600</v>
      </c>
      <c r="K1712" s="7" t="s">
        <v>12</v>
      </c>
      <c r="L1712" s="7" t="s">
        <v>53</v>
      </c>
      <c r="M1712" s="34">
        <v>46156</v>
      </c>
      <c r="N1712" s="7" t="s">
        <v>41</v>
      </c>
    </row>
    <row r="1713" spans="1:14" x14ac:dyDescent="0.25">
      <c r="A1713" s="41" t="s">
        <v>385</v>
      </c>
      <c r="B1713" s="1">
        <v>2</v>
      </c>
      <c r="C1713" s="8">
        <v>46157</v>
      </c>
      <c r="D1713" s="1" t="s">
        <v>2304</v>
      </c>
      <c r="E1713" s="7" t="s">
        <v>14</v>
      </c>
      <c r="F1713" s="1" t="s">
        <v>27</v>
      </c>
      <c r="G1713" s="9" t="s">
        <v>35</v>
      </c>
      <c r="H1713" s="7">
        <v>4551</v>
      </c>
      <c r="I1713" s="18">
        <v>15010000</v>
      </c>
      <c r="J1713" s="10">
        <v>104895</v>
      </c>
      <c r="K1713" s="7" t="s">
        <v>14</v>
      </c>
      <c r="L1713" s="7" t="s">
        <v>40</v>
      </c>
      <c r="M1713" s="34">
        <v>46157</v>
      </c>
      <c r="N1713" s="7" t="s">
        <v>41</v>
      </c>
    </row>
    <row r="1714" spans="1:14" x14ac:dyDescent="0.25">
      <c r="A1714" s="41" t="s">
        <v>2305</v>
      </c>
      <c r="B1714" s="1">
        <v>2</v>
      </c>
      <c r="C1714" s="8">
        <v>46156</v>
      </c>
      <c r="D1714" s="1" t="s">
        <v>2306</v>
      </c>
      <c r="E1714" s="7" t="s">
        <v>82</v>
      </c>
      <c r="F1714" s="1" t="s">
        <v>27</v>
      </c>
      <c r="G1714" s="9" t="s">
        <v>35</v>
      </c>
      <c r="H1714" s="7">
        <v>171</v>
      </c>
      <c r="I1714" s="18">
        <v>15000000</v>
      </c>
      <c r="J1714" s="10">
        <v>73579.67</v>
      </c>
      <c r="K1714" s="7" t="s">
        <v>12</v>
      </c>
      <c r="L1714" s="7" t="s">
        <v>53</v>
      </c>
      <c r="M1714" s="34">
        <v>46156</v>
      </c>
      <c r="N1714" s="7" t="s">
        <v>41</v>
      </c>
    </row>
    <row r="1715" spans="1:14" x14ac:dyDescent="0.25">
      <c r="A1715" s="41" t="s">
        <v>183</v>
      </c>
      <c r="B1715" s="1">
        <v>1</v>
      </c>
      <c r="C1715" s="8">
        <v>46153</v>
      </c>
      <c r="D1715" s="1" t="s">
        <v>2311</v>
      </c>
      <c r="E1715" s="7" t="s">
        <v>13</v>
      </c>
      <c r="F1715" s="1" t="s">
        <v>27</v>
      </c>
      <c r="G1715" s="9" t="s">
        <v>35</v>
      </c>
      <c r="H1715" s="7">
        <v>13836</v>
      </c>
      <c r="I1715" s="18">
        <v>15001002</v>
      </c>
      <c r="J1715" s="10">
        <v>8797.83</v>
      </c>
      <c r="K1715" s="7" t="s">
        <v>13</v>
      </c>
      <c r="L1715" s="7" t="s">
        <v>54</v>
      </c>
      <c r="M1715" s="34">
        <v>46156</v>
      </c>
      <c r="N1715" s="7" t="s">
        <v>41</v>
      </c>
    </row>
    <row r="1716" spans="1:14" x14ac:dyDescent="0.25">
      <c r="A1716" s="41" t="s">
        <v>210</v>
      </c>
      <c r="B1716" s="1">
        <v>2</v>
      </c>
      <c r="C1716" s="8">
        <v>46156</v>
      </c>
      <c r="D1716" s="1" t="s">
        <v>2312</v>
      </c>
      <c r="E1716" s="7" t="s">
        <v>19</v>
      </c>
      <c r="F1716" s="1" t="s">
        <v>27</v>
      </c>
      <c r="G1716" s="9" t="s">
        <v>35</v>
      </c>
      <c r="H1716" s="7">
        <v>347195</v>
      </c>
      <c r="I1716" s="18">
        <v>15000000</v>
      </c>
      <c r="J1716" s="10">
        <v>86.02</v>
      </c>
      <c r="K1716" s="7" t="s">
        <v>12</v>
      </c>
      <c r="L1716" s="7" t="s">
        <v>53</v>
      </c>
      <c r="M1716" s="34">
        <v>46156</v>
      </c>
      <c r="N1716" s="7" t="s">
        <v>41</v>
      </c>
    </row>
    <row r="1717" spans="1:14" x14ac:dyDescent="0.25">
      <c r="A1717" s="41" t="s">
        <v>1574</v>
      </c>
      <c r="B1717" s="1">
        <v>2</v>
      </c>
      <c r="C1717" s="8">
        <v>46160</v>
      </c>
      <c r="D1717" s="1" t="s">
        <v>2313</v>
      </c>
      <c r="E1717" s="7" t="s">
        <v>20</v>
      </c>
      <c r="F1717" s="1" t="s">
        <v>27</v>
      </c>
      <c r="G1717" s="9" t="s">
        <v>63</v>
      </c>
      <c r="H1717" s="7" t="s">
        <v>74</v>
      </c>
      <c r="I1717" s="18" t="s">
        <v>0</v>
      </c>
      <c r="J1717" s="10" t="s">
        <v>61</v>
      </c>
      <c r="K1717" s="7" t="s">
        <v>17</v>
      </c>
      <c r="L1717" s="7" t="s">
        <v>55</v>
      </c>
      <c r="M1717" s="34">
        <v>46160</v>
      </c>
      <c r="N1717" s="7" t="s">
        <v>46</v>
      </c>
    </row>
    <row r="1718" spans="1:14" x14ac:dyDescent="0.25">
      <c r="A1718" s="41" t="s">
        <v>2315</v>
      </c>
      <c r="B1718" s="1">
        <v>2</v>
      </c>
      <c r="C1718" s="8">
        <v>46160</v>
      </c>
      <c r="D1718" s="1" t="s">
        <v>2314</v>
      </c>
      <c r="E1718" s="7" t="s">
        <v>20</v>
      </c>
      <c r="F1718" s="1" t="s">
        <v>27</v>
      </c>
      <c r="G1718" s="9" t="s">
        <v>63</v>
      </c>
      <c r="H1718" s="7" t="s">
        <v>74</v>
      </c>
      <c r="I1718" s="18" t="s">
        <v>0</v>
      </c>
      <c r="J1718" s="10" t="s">
        <v>61</v>
      </c>
      <c r="K1718" s="7" t="s">
        <v>17</v>
      </c>
      <c r="L1718" s="7" t="s">
        <v>55</v>
      </c>
      <c r="M1718" s="34">
        <v>46160</v>
      </c>
      <c r="N1718" s="7" t="s">
        <v>46</v>
      </c>
    </row>
    <row r="1719" spans="1:14" x14ac:dyDescent="0.25">
      <c r="A1719" s="41" t="s">
        <v>907</v>
      </c>
      <c r="B1719" s="1">
        <v>2</v>
      </c>
      <c r="C1719" s="8">
        <v>46156</v>
      </c>
      <c r="D1719" s="1" t="s">
        <v>2316</v>
      </c>
      <c r="E1719" s="7" t="s">
        <v>2</v>
      </c>
      <c r="F1719" s="1" t="s">
        <v>27</v>
      </c>
      <c r="G1719" s="9" t="s">
        <v>35</v>
      </c>
      <c r="H1719" s="7">
        <v>5633</v>
      </c>
      <c r="I1719" s="18">
        <v>15500000</v>
      </c>
      <c r="J1719" s="10">
        <v>51508.4</v>
      </c>
      <c r="K1719" s="7" t="s">
        <v>12</v>
      </c>
      <c r="L1719" s="7" t="s">
        <v>53</v>
      </c>
      <c r="M1719" s="34">
        <v>46157</v>
      </c>
      <c r="N1719" s="7" t="s">
        <v>46</v>
      </c>
    </row>
    <row r="1720" spans="1:14" x14ac:dyDescent="0.25">
      <c r="A1720" s="41" t="s">
        <v>435</v>
      </c>
      <c r="B1720" s="1">
        <v>1</v>
      </c>
      <c r="C1720" s="8">
        <v>46154</v>
      </c>
      <c r="D1720" s="1" t="s">
        <v>2317</v>
      </c>
      <c r="E1720" s="7" t="s">
        <v>16</v>
      </c>
      <c r="F1720" s="1" t="s">
        <v>27</v>
      </c>
      <c r="G1720" s="9" t="s">
        <v>35</v>
      </c>
      <c r="H1720" s="7">
        <v>2890020</v>
      </c>
      <c r="I1720" s="18">
        <v>16610000</v>
      </c>
      <c r="J1720" s="10">
        <v>1227.03</v>
      </c>
      <c r="K1720" s="7" t="s">
        <v>12</v>
      </c>
      <c r="L1720" s="7" t="s">
        <v>53</v>
      </c>
      <c r="M1720" s="34">
        <v>46156</v>
      </c>
      <c r="N1720" s="7" t="s">
        <v>91</v>
      </c>
    </row>
    <row r="1721" spans="1:14" x14ac:dyDescent="0.25">
      <c r="A1721" s="41" t="s">
        <v>435</v>
      </c>
      <c r="B1721" s="1">
        <v>2</v>
      </c>
      <c r="C1721" s="8">
        <v>46160</v>
      </c>
      <c r="D1721" s="1" t="s">
        <v>2318</v>
      </c>
      <c r="E1721" s="7" t="s">
        <v>16</v>
      </c>
      <c r="F1721" s="1" t="s">
        <v>27</v>
      </c>
      <c r="G1721" s="9" t="s">
        <v>35</v>
      </c>
      <c r="H1721" s="7">
        <v>2890019</v>
      </c>
      <c r="I1721" s="18">
        <v>15000000</v>
      </c>
      <c r="J1721" s="10">
        <v>1354.66</v>
      </c>
      <c r="K1721" s="7" t="s">
        <v>12</v>
      </c>
      <c r="L1721" s="7" t="s">
        <v>53</v>
      </c>
      <c r="M1721" s="34">
        <v>46160</v>
      </c>
      <c r="N1721" s="7" t="s">
        <v>92</v>
      </c>
    </row>
    <row r="1722" spans="1:14" x14ac:dyDescent="0.25">
      <c r="A1722" s="41" t="s">
        <v>435</v>
      </c>
      <c r="B1722" s="1">
        <v>2</v>
      </c>
      <c r="C1722" s="8">
        <v>46160</v>
      </c>
      <c r="D1722" s="1" t="s">
        <v>2319</v>
      </c>
      <c r="E1722" s="7" t="s">
        <v>16</v>
      </c>
      <c r="F1722" s="1" t="s">
        <v>27</v>
      </c>
      <c r="G1722" s="9" t="s">
        <v>35</v>
      </c>
      <c r="H1722" s="7">
        <v>2890681</v>
      </c>
      <c r="I1722" s="18">
        <v>16600000</v>
      </c>
      <c r="J1722" s="10">
        <v>1113.1199999999999</v>
      </c>
      <c r="K1722" s="7" t="s">
        <v>12</v>
      </c>
      <c r="L1722" s="7" t="s">
        <v>53</v>
      </c>
      <c r="M1722" s="34">
        <v>46160</v>
      </c>
      <c r="N1722" s="7" t="s">
        <v>92</v>
      </c>
    </row>
    <row r="1723" spans="1:14" x14ac:dyDescent="0.25">
      <c r="A1723" s="41" t="s">
        <v>435</v>
      </c>
      <c r="B1723" s="1">
        <v>2</v>
      </c>
      <c r="C1723" s="8">
        <v>46160</v>
      </c>
      <c r="D1723" s="1" t="s">
        <v>2320</v>
      </c>
      <c r="E1723" s="7" t="s">
        <v>16</v>
      </c>
      <c r="F1723" s="1" t="s">
        <v>27</v>
      </c>
      <c r="G1723" s="9" t="s">
        <v>35</v>
      </c>
      <c r="H1723" s="7">
        <v>2890016</v>
      </c>
      <c r="I1723" s="18">
        <v>15000000</v>
      </c>
      <c r="J1723" s="10">
        <v>6797.38</v>
      </c>
      <c r="K1723" s="7" t="s">
        <v>12</v>
      </c>
      <c r="L1723" s="7" t="s">
        <v>53</v>
      </c>
      <c r="M1723" s="34">
        <v>46160</v>
      </c>
      <c r="N1723" s="7" t="s">
        <v>92</v>
      </c>
    </row>
    <row r="1724" spans="1:14" x14ac:dyDescent="0.25">
      <c r="A1724" s="41" t="s">
        <v>435</v>
      </c>
      <c r="B1724" s="1">
        <v>2</v>
      </c>
      <c r="C1724" s="8">
        <v>46160</v>
      </c>
      <c r="D1724" s="1" t="s">
        <v>2321</v>
      </c>
      <c r="E1724" s="7" t="s">
        <v>16</v>
      </c>
      <c r="F1724" s="1" t="s">
        <v>27</v>
      </c>
      <c r="G1724" s="9" t="s">
        <v>35</v>
      </c>
      <c r="H1724" s="7">
        <v>2890017</v>
      </c>
      <c r="I1724" s="18">
        <v>16600000</v>
      </c>
      <c r="J1724" s="10">
        <v>6012</v>
      </c>
      <c r="K1724" s="7" t="s">
        <v>12</v>
      </c>
      <c r="L1724" s="7" t="s">
        <v>53</v>
      </c>
      <c r="M1724" s="34">
        <v>46160</v>
      </c>
      <c r="N1724" s="7" t="s">
        <v>92</v>
      </c>
    </row>
    <row r="1725" spans="1:14" x14ac:dyDescent="0.25">
      <c r="A1725" s="41" t="s">
        <v>2231</v>
      </c>
      <c r="B1725" s="1">
        <v>2</v>
      </c>
      <c r="C1725" s="8">
        <v>46161</v>
      </c>
      <c r="D1725" s="1" t="s">
        <v>2322</v>
      </c>
      <c r="E1725" s="7" t="s">
        <v>16</v>
      </c>
      <c r="F1725" s="1" t="s">
        <v>27</v>
      </c>
      <c r="G1725" s="9" t="s">
        <v>35</v>
      </c>
      <c r="H1725" s="7">
        <v>1869</v>
      </c>
      <c r="I1725" s="18">
        <v>15000000</v>
      </c>
      <c r="J1725" s="10">
        <v>6793</v>
      </c>
      <c r="K1725" s="7" t="s">
        <v>58</v>
      </c>
      <c r="L1725" s="7" t="s">
        <v>59</v>
      </c>
      <c r="M1725" s="34">
        <v>46161</v>
      </c>
      <c r="N1725" s="7" t="s">
        <v>92</v>
      </c>
    </row>
    <row r="1726" spans="1:14" x14ac:dyDescent="0.25">
      <c r="A1726" s="41" t="s">
        <v>1112</v>
      </c>
      <c r="B1726" s="1">
        <v>1</v>
      </c>
      <c r="C1726" s="8">
        <v>46154</v>
      </c>
      <c r="D1726" s="1" t="s">
        <v>2323</v>
      </c>
      <c r="E1726" s="7" t="s">
        <v>20</v>
      </c>
      <c r="F1726" s="1" t="s">
        <v>27</v>
      </c>
      <c r="G1726" s="9" t="s">
        <v>35</v>
      </c>
      <c r="H1726" s="7" t="s">
        <v>74</v>
      </c>
      <c r="I1726" s="18" t="s">
        <v>2324</v>
      </c>
      <c r="J1726" s="10">
        <v>551002.34</v>
      </c>
      <c r="K1726" s="7" t="s">
        <v>12</v>
      </c>
      <c r="L1726" s="7" t="s">
        <v>53</v>
      </c>
      <c r="M1726" s="34">
        <v>46156</v>
      </c>
      <c r="N1726" s="7" t="s">
        <v>62</v>
      </c>
    </row>
    <row r="1727" spans="1:14" x14ac:dyDescent="0.25">
      <c r="A1727" s="41" t="s">
        <v>2231</v>
      </c>
      <c r="B1727" s="1">
        <v>2</v>
      </c>
      <c r="C1727" s="8">
        <v>46161</v>
      </c>
      <c r="D1727" s="1" t="s">
        <v>2325</v>
      </c>
      <c r="E1727" s="7" t="s">
        <v>16</v>
      </c>
      <c r="F1727" s="1" t="s">
        <v>27</v>
      </c>
      <c r="G1727" s="9" t="s">
        <v>35</v>
      </c>
      <c r="H1727" s="7">
        <v>3355</v>
      </c>
      <c r="I1727" s="18">
        <v>15000000</v>
      </c>
      <c r="J1727" s="10">
        <v>7700.29</v>
      </c>
      <c r="K1727" s="7" t="s">
        <v>58</v>
      </c>
      <c r="L1727" s="7" t="s">
        <v>59</v>
      </c>
      <c r="M1727" s="34">
        <v>46161</v>
      </c>
      <c r="N1727" s="7" t="s">
        <v>92</v>
      </c>
    </row>
    <row r="1728" spans="1:14" x14ac:dyDescent="0.25">
      <c r="A1728" s="41" t="s">
        <v>2231</v>
      </c>
      <c r="B1728" s="1">
        <v>2</v>
      </c>
      <c r="C1728" s="8">
        <v>46156</v>
      </c>
      <c r="D1728" s="1" t="s">
        <v>2326</v>
      </c>
      <c r="E1728" s="7" t="s">
        <v>16</v>
      </c>
      <c r="F1728" s="1" t="s">
        <v>27</v>
      </c>
      <c r="G1728" s="9" t="s">
        <v>35</v>
      </c>
      <c r="H1728" s="7">
        <v>3357</v>
      </c>
      <c r="I1728" s="18">
        <v>16600000</v>
      </c>
      <c r="J1728" s="10">
        <v>4474.3999999999996</v>
      </c>
      <c r="K1728" s="7" t="s">
        <v>12</v>
      </c>
      <c r="L1728" s="7" t="s">
        <v>53</v>
      </c>
      <c r="M1728" s="34">
        <v>46156</v>
      </c>
      <c r="N1728" s="7" t="s">
        <v>52</v>
      </c>
    </row>
    <row r="1729" spans="1:15" x14ac:dyDescent="0.25">
      <c r="A1729" s="41" t="s">
        <v>1558</v>
      </c>
      <c r="B1729" s="1">
        <v>1</v>
      </c>
      <c r="C1729" s="8">
        <v>46154</v>
      </c>
      <c r="D1729" s="1" t="s">
        <v>2327</v>
      </c>
      <c r="E1729" s="7" t="s">
        <v>2</v>
      </c>
      <c r="F1729" s="1" t="s">
        <v>27</v>
      </c>
      <c r="G1729" s="9" t="s">
        <v>35</v>
      </c>
      <c r="H1729" s="7">
        <v>227</v>
      </c>
      <c r="I1729" s="18">
        <v>15520000</v>
      </c>
      <c r="J1729" s="10">
        <v>24529.03</v>
      </c>
      <c r="K1729" s="7" t="s">
        <v>12</v>
      </c>
      <c r="L1729" s="7" t="s">
        <v>53</v>
      </c>
      <c r="M1729" s="34">
        <v>46160</v>
      </c>
      <c r="N1729" s="7" t="s">
        <v>92</v>
      </c>
    </row>
    <row r="1730" spans="1:15" x14ac:dyDescent="0.25">
      <c r="A1730" s="41" t="s">
        <v>2231</v>
      </c>
      <c r="B1730" s="1">
        <v>2</v>
      </c>
      <c r="C1730" s="8">
        <v>46161</v>
      </c>
      <c r="D1730" s="1" t="s">
        <v>2328</v>
      </c>
      <c r="E1730" s="7" t="s">
        <v>16</v>
      </c>
      <c r="F1730" s="1" t="s">
        <v>27</v>
      </c>
      <c r="G1730" s="9" t="s">
        <v>35</v>
      </c>
      <c r="H1730" s="7">
        <v>3356</v>
      </c>
      <c r="I1730" s="18">
        <v>16610000</v>
      </c>
      <c r="J1730" s="10">
        <v>6217.98</v>
      </c>
      <c r="K1730" s="7" t="s">
        <v>58</v>
      </c>
      <c r="L1730" s="7" t="s">
        <v>59</v>
      </c>
      <c r="M1730" s="34">
        <v>46161</v>
      </c>
      <c r="N1730" s="7" t="s">
        <v>92</v>
      </c>
    </row>
    <row r="1731" spans="1:15" x14ac:dyDescent="0.25">
      <c r="A1731" s="41" t="s">
        <v>200</v>
      </c>
      <c r="B1731" s="1">
        <v>2</v>
      </c>
      <c r="C1731" s="8">
        <v>46160</v>
      </c>
      <c r="D1731" s="1" t="s">
        <v>2333</v>
      </c>
      <c r="E1731" s="7" t="s">
        <v>13</v>
      </c>
      <c r="F1731" s="1" t="s">
        <v>27</v>
      </c>
      <c r="G1731" s="9" t="s">
        <v>35</v>
      </c>
      <c r="H1731" s="7">
        <v>982</v>
      </c>
      <c r="I1731" s="18">
        <v>16000000</v>
      </c>
      <c r="J1731" s="10">
        <v>3272</v>
      </c>
      <c r="K1731" s="7" t="s">
        <v>13</v>
      </c>
      <c r="L1731" s="7" t="s">
        <v>54</v>
      </c>
      <c r="M1731" s="34">
        <v>46161</v>
      </c>
      <c r="N1731" s="7" t="s">
        <v>92</v>
      </c>
    </row>
    <row r="1732" spans="1:15" x14ac:dyDescent="0.25">
      <c r="A1732" s="41" t="s">
        <v>1754</v>
      </c>
      <c r="B1732" s="1">
        <v>1</v>
      </c>
      <c r="C1732" s="8">
        <v>46154</v>
      </c>
      <c r="D1732" s="1" t="s">
        <v>2334</v>
      </c>
      <c r="E1732" s="7" t="s">
        <v>13</v>
      </c>
      <c r="F1732" s="1" t="s">
        <v>27</v>
      </c>
      <c r="G1732" s="9" t="s">
        <v>35</v>
      </c>
      <c r="H1732" s="7">
        <v>75</v>
      </c>
      <c r="I1732" s="18">
        <v>15001002</v>
      </c>
      <c r="J1732" s="10">
        <v>7962.24</v>
      </c>
      <c r="K1732" s="7" t="s">
        <v>13</v>
      </c>
      <c r="L1732" s="7" t="s">
        <v>54</v>
      </c>
      <c r="M1732" s="34">
        <v>46156</v>
      </c>
      <c r="N1732" s="7" t="s">
        <v>92</v>
      </c>
    </row>
    <row r="1733" spans="1:15" x14ac:dyDescent="0.25">
      <c r="A1733" s="41" t="s">
        <v>157</v>
      </c>
      <c r="B1733" s="1">
        <v>1</v>
      </c>
      <c r="C1733" s="8">
        <v>46154</v>
      </c>
      <c r="D1733" s="1" t="s">
        <v>2335</v>
      </c>
      <c r="E1733" s="7" t="s">
        <v>13</v>
      </c>
      <c r="F1733" s="1" t="s">
        <v>27</v>
      </c>
      <c r="G1733" s="9" t="s">
        <v>35</v>
      </c>
      <c r="H1733" s="7">
        <v>108</v>
      </c>
      <c r="I1733" s="18">
        <v>15001002</v>
      </c>
      <c r="J1733" s="10">
        <v>5800</v>
      </c>
      <c r="K1733" s="7" t="s">
        <v>13</v>
      </c>
      <c r="L1733" s="7" t="s">
        <v>54</v>
      </c>
      <c r="M1733" s="34">
        <v>46156</v>
      </c>
      <c r="N1733" s="7" t="s">
        <v>92</v>
      </c>
    </row>
    <row r="1734" spans="1:15" x14ac:dyDescent="0.25">
      <c r="A1734" s="41" t="s">
        <v>2</v>
      </c>
      <c r="B1734" s="1">
        <v>2</v>
      </c>
      <c r="C1734" s="8">
        <v>46156</v>
      </c>
      <c r="D1734" s="1" t="s">
        <v>2336</v>
      </c>
      <c r="E1734" s="7" t="s">
        <v>2</v>
      </c>
      <c r="F1734" s="1" t="s">
        <v>27</v>
      </c>
      <c r="G1734" s="9" t="s">
        <v>35</v>
      </c>
      <c r="H1734" s="7" t="s">
        <v>74</v>
      </c>
      <c r="I1734" s="18">
        <v>25440000</v>
      </c>
      <c r="J1734" s="10">
        <v>7367.94</v>
      </c>
      <c r="K1734" s="7" t="s">
        <v>12</v>
      </c>
      <c r="L1734" s="7" t="s">
        <v>53</v>
      </c>
      <c r="M1734" s="34">
        <v>46157</v>
      </c>
      <c r="N1734" s="7" t="s">
        <v>91</v>
      </c>
    </row>
    <row r="1735" spans="1:15" x14ac:dyDescent="0.25">
      <c r="A1735" s="41" t="s">
        <v>1623</v>
      </c>
      <c r="B1735" s="1">
        <v>1</v>
      </c>
      <c r="C1735" s="8">
        <v>46154</v>
      </c>
      <c r="D1735" s="1" t="s">
        <v>2337</v>
      </c>
      <c r="E1735" s="7" t="s">
        <v>13</v>
      </c>
      <c r="F1735" s="1" t="s">
        <v>27</v>
      </c>
      <c r="G1735" s="9" t="s">
        <v>35</v>
      </c>
      <c r="H1735" s="7">
        <v>11602</v>
      </c>
      <c r="I1735" s="18">
        <v>15001002</v>
      </c>
      <c r="J1735" s="10">
        <v>17700</v>
      </c>
      <c r="K1735" s="7" t="s">
        <v>13</v>
      </c>
      <c r="L1735" s="7" t="s">
        <v>54</v>
      </c>
      <c r="M1735" s="34">
        <v>46155</v>
      </c>
      <c r="N1735" s="7" t="s">
        <v>91</v>
      </c>
    </row>
    <row r="1736" spans="1:15" x14ac:dyDescent="0.25">
      <c r="A1736" s="41" t="s">
        <v>249</v>
      </c>
      <c r="B1736" s="1">
        <v>2</v>
      </c>
      <c r="C1736" s="8">
        <v>46156</v>
      </c>
      <c r="D1736" s="1" t="s">
        <v>2418</v>
      </c>
      <c r="E1736" s="7" t="s">
        <v>13</v>
      </c>
      <c r="F1736" s="1" t="s">
        <v>27</v>
      </c>
      <c r="G1736" s="9" t="s">
        <v>35</v>
      </c>
      <c r="H1736" s="7">
        <v>367616</v>
      </c>
      <c r="I1736" s="18">
        <v>16000000</v>
      </c>
      <c r="J1736" s="10">
        <v>161</v>
      </c>
      <c r="K1736" s="7" t="s">
        <v>13</v>
      </c>
      <c r="L1736" s="7" t="s">
        <v>54</v>
      </c>
      <c r="M1736" s="34">
        <v>46157</v>
      </c>
      <c r="N1736" s="7" t="s">
        <v>91</v>
      </c>
      <c r="O1736" s="7" t="s">
        <v>2419</v>
      </c>
    </row>
    <row r="1737" spans="1:15" x14ac:dyDescent="0.25">
      <c r="A1737" s="41" t="s">
        <v>201</v>
      </c>
      <c r="B1737" s="1">
        <v>1</v>
      </c>
      <c r="C1737" s="8">
        <v>46154</v>
      </c>
      <c r="D1737" s="1" t="s">
        <v>2338</v>
      </c>
      <c r="E1737" s="7" t="s">
        <v>13</v>
      </c>
      <c r="F1737" s="1" t="s">
        <v>27</v>
      </c>
      <c r="G1737" s="9" t="s">
        <v>35</v>
      </c>
      <c r="H1737" s="7">
        <v>91</v>
      </c>
      <c r="I1737" s="18">
        <v>16000000</v>
      </c>
      <c r="J1737" s="10">
        <v>3926.82</v>
      </c>
      <c r="K1737" s="7" t="s">
        <v>13</v>
      </c>
      <c r="L1737" s="7" t="s">
        <v>54</v>
      </c>
      <c r="M1737" s="34">
        <v>46155</v>
      </c>
      <c r="N1737" s="7" t="s">
        <v>91</v>
      </c>
    </row>
    <row r="1738" spans="1:15" x14ac:dyDescent="0.25">
      <c r="A1738" s="41" t="s">
        <v>202</v>
      </c>
      <c r="B1738" s="1">
        <v>1</v>
      </c>
      <c r="C1738" s="8">
        <v>46154</v>
      </c>
      <c r="D1738" s="1" t="s">
        <v>2339</v>
      </c>
      <c r="E1738" s="7" t="s">
        <v>13</v>
      </c>
      <c r="F1738" s="1" t="s">
        <v>27</v>
      </c>
      <c r="G1738" s="9" t="s">
        <v>35</v>
      </c>
      <c r="H1738" s="7">
        <v>50</v>
      </c>
      <c r="I1738" s="18">
        <v>16000000</v>
      </c>
      <c r="J1738" s="10">
        <v>4517.0600000000004</v>
      </c>
      <c r="K1738" s="7" t="s">
        <v>13</v>
      </c>
      <c r="L1738" s="7" t="s">
        <v>54</v>
      </c>
      <c r="M1738" s="34">
        <v>46155</v>
      </c>
      <c r="N1738" s="7" t="s">
        <v>91</v>
      </c>
    </row>
    <row r="1739" spans="1:15" x14ac:dyDescent="0.25">
      <c r="A1739" s="41" t="s">
        <v>385</v>
      </c>
      <c r="B1739" s="1">
        <v>2</v>
      </c>
      <c r="C1739" s="8">
        <v>46155</v>
      </c>
      <c r="D1739" s="1" t="s">
        <v>2340</v>
      </c>
      <c r="E1739" s="7" t="s">
        <v>2</v>
      </c>
      <c r="F1739" s="1" t="s">
        <v>27</v>
      </c>
      <c r="G1739" s="9" t="s">
        <v>35</v>
      </c>
      <c r="H1739" s="7">
        <v>4558</v>
      </c>
      <c r="I1739" s="18">
        <v>15001001</v>
      </c>
      <c r="J1739" s="10">
        <v>170238.42</v>
      </c>
      <c r="K1739" s="7" t="s">
        <v>12</v>
      </c>
      <c r="L1739" s="7" t="s">
        <v>53</v>
      </c>
      <c r="M1739" s="34">
        <v>46156</v>
      </c>
      <c r="N1739" s="7" t="s">
        <v>41</v>
      </c>
    </row>
    <row r="1740" spans="1:15" x14ac:dyDescent="0.25">
      <c r="A1740" s="41" t="s">
        <v>1558</v>
      </c>
      <c r="B1740" s="1">
        <v>1</v>
      </c>
      <c r="C1740" s="8">
        <v>46154</v>
      </c>
      <c r="D1740" s="1" t="s">
        <v>2341</v>
      </c>
      <c r="E1740" s="7" t="s">
        <v>2</v>
      </c>
      <c r="F1740" s="1" t="s">
        <v>27</v>
      </c>
      <c r="G1740" s="9" t="s">
        <v>35</v>
      </c>
      <c r="H1740" s="7">
        <v>226</v>
      </c>
      <c r="I1740" s="18">
        <v>15500000</v>
      </c>
      <c r="J1740" s="10">
        <v>17662.98</v>
      </c>
      <c r="K1740" s="7" t="s">
        <v>12</v>
      </c>
      <c r="L1740" s="7" t="s">
        <v>53</v>
      </c>
      <c r="M1740" s="34">
        <v>46156</v>
      </c>
      <c r="N1740" s="7" t="s">
        <v>91</v>
      </c>
    </row>
    <row r="1741" spans="1:15" x14ac:dyDescent="0.25">
      <c r="A1741" s="41" t="s">
        <v>2183</v>
      </c>
      <c r="B1741" s="1">
        <v>1</v>
      </c>
      <c r="C1741" s="8">
        <v>46154</v>
      </c>
      <c r="D1741" s="1" t="s">
        <v>2342</v>
      </c>
      <c r="E1741" s="7" t="s">
        <v>13</v>
      </c>
      <c r="F1741" s="1" t="s">
        <v>27</v>
      </c>
      <c r="G1741" s="9" t="s">
        <v>38</v>
      </c>
      <c r="H1741" s="7" t="s">
        <v>74</v>
      </c>
      <c r="I1741" s="18" t="s">
        <v>0</v>
      </c>
      <c r="J1741" s="10" t="s">
        <v>61</v>
      </c>
      <c r="K1741" s="7" t="s">
        <v>22</v>
      </c>
      <c r="L1741" s="7" t="s">
        <v>55</v>
      </c>
      <c r="M1741" s="34">
        <v>46155</v>
      </c>
      <c r="N1741" s="7" t="s">
        <v>91</v>
      </c>
    </row>
    <row r="1742" spans="1:15" x14ac:dyDescent="0.25">
      <c r="A1742" s="41" t="s">
        <v>2343</v>
      </c>
      <c r="B1742" s="1">
        <v>2</v>
      </c>
      <c r="C1742" s="8">
        <v>46161</v>
      </c>
      <c r="D1742" s="1" t="s">
        <v>2344</v>
      </c>
      <c r="E1742" s="7" t="s">
        <v>13</v>
      </c>
      <c r="F1742" s="1" t="s">
        <v>27</v>
      </c>
      <c r="G1742" s="9" t="s">
        <v>35</v>
      </c>
      <c r="H1742" s="7">
        <v>5011</v>
      </c>
      <c r="I1742" s="18">
        <v>15001002</v>
      </c>
      <c r="J1742" s="10">
        <v>3240</v>
      </c>
      <c r="K1742" s="7" t="s">
        <v>13</v>
      </c>
      <c r="L1742" s="7" t="s">
        <v>54</v>
      </c>
      <c r="M1742" s="34">
        <v>46161</v>
      </c>
      <c r="N1742" s="7" t="s">
        <v>92</v>
      </c>
    </row>
    <row r="1743" spans="1:15" x14ac:dyDescent="0.25">
      <c r="A1743" s="41" t="s">
        <v>409</v>
      </c>
      <c r="B1743" s="1">
        <v>2</v>
      </c>
      <c r="C1743" s="8">
        <v>46160</v>
      </c>
      <c r="D1743" s="1" t="s">
        <v>2345</v>
      </c>
      <c r="E1743" s="7" t="s">
        <v>14</v>
      </c>
      <c r="F1743" s="1" t="s">
        <v>27</v>
      </c>
      <c r="G1743" s="9" t="s">
        <v>35</v>
      </c>
      <c r="H1743" s="7">
        <v>1097</v>
      </c>
      <c r="I1743" s="18">
        <v>17510000</v>
      </c>
      <c r="J1743" s="10">
        <v>380918.12</v>
      </c>
      <c r="K1743" s="7" t="s">
        <v>12</v>
      </c>
      <c r="L1743" s="7" t="s">
        <v>53</v>
      </c>
      <c r="M1743" s="34">
        <v>46160</v>
      </c>
      <c r="N1743" s="7" t="s">
        <v>46</v>
      </c>
    </row>
    <row r="1744" spans="1:15" x14ac:dyDescent="0.25">
      <c r="A1744" s="41" t="s">
        <v>1410</v>
      </c>
      <c r="B1744" s="1">
        <v>1</v>
      </c>
      <c r="C1744" s="8">
        <v>46154</v>
      </c>
      <c r="D1744" s="1" t="s">
        <v>2346</v>
      </c>
      <c r="E1744" s="7" t="s">
        <v>13</v>
      </c>
      <c r="F1744" s="1" t="s">
        <v>27</v>
      </c>
      <c r="G1744" s="9" t="s">
        <v>35</v>
      </c>
      <c r="H1744" s="7">
        <v>463</v>
      </c>
      <c r="I1744" s="18">
        <v>15001002</v>
      </c>
      <c r="J1744" s="10">
        <v>5684</v>
      </c>
      <c r="K1744" s="7" t="s">
        <v>13</v>
      </c>
      <c r="L1744" s="7" t="s">
        <v>54</v>
      </c>
      <c r="M1744" s="34">
        <v>46157</v>
      </c>
      <c r="N1744" s="7" t="s">
        <v>91</v>
      </c>
    </row>
    <row r="1745" spans="1:14" x14ac:dyDescent="0.25">
      <c r="A1745" s="41" t="s">
        <v>332</v>
      </c>
      <c r="B1745" s="1">
        <v>1</v>
      </c>
      <c r="C1745" s="8">
        <v>46154</v>
      </c>
      <c r="D1745" s="1" t="s">
        <v>2347</v>
      </c>
      <c r="E1745" s="7" t="s">
        <v>13</v>
      </c>
      <c r="F1745" s="1" t="s">
        <v>27</v>
      </c>
      <c r="G1745" s="9" t="s">
        <v>35</v>
      </c>
      <c r="H1745" s="7">
        <v>10006</v>
      </c>
      <c r="I1745" s="18">
        <v>15001002</v>
      </c>
      <c r="J1745" s="10">
        <v>32115.27</v>
      </c>
      <c r="K1745" s="7" t="s">
        <v>13</v>
      </c>
      <c r="L1745" s="7" t="s">
        <v>54</v>
      </c>
      <c r="M1745" s="34">
        <v>46160</v>
      </c>
      <c r="N1745" s="7" t="s">
        <v>91</v>
      </c>
    </row>
    <row r="1746" spans="1:14" x14ac:dyDescent="0.25">
      <c r="A1746" s="41" t="s">
        <v>223</v>
      </c>
      <c r="B1746" s="1">
        <v>1</v>
      </c>
      <c r="C1746" s="8">
        <v>46154</v>
      </c>
      <c r="D1746" s="1" t="s">
        <v>2348</v>
      </c>
      <c r="E1746" s="7" t="s">
        <v>14</v>
      </c>
      <c r="F1746" s="1" t="s">
        <v>27</v>
      </c>
      <c r="G1746" s="9" t="s">
        <v>35</v>
      </c>
      <c r="H1746" s="7">
        <v>18540</v>
      </c>
      <c r="I1746" s="18">
        <v>15000000</v>
      </c>
      <c r="J1746" s="10">
        <v>37490</v>
      </c>
      <c r="K1746" s="7" t="s">
        <v>12</v>
      </c>
      <c r="L1746" s="7" t="s">
        <v>53</v>
      </c>
      <c r="M1746" s="34">
        <v>46157</v>
      </c>
      <c r="N1746" s="7" t="s">
        <v>91</v>
      </c>
    </row>
    <row r="1747" spans="1:14" x14ac:dyDescent="0.25">
      <c r="A1747" s="41" t="s">
        <v>265</v>
      </c>
      <c r="B1747" s="1">
        <v>1</v>
      </c>
      <c r="C1747" s="8">
        <v>46154</v>
      </c>
      <c r="D1747" s="1" t="s">
        <v>2349</v>
      </c>
      <c r="E1747" s="7" t="s">
        <v>13</v>
      </c>
      <c r="F1747" s="1" t="s">
        <v>27</v>
      </c>
      <c r="G1747" s="9" t="s">
        <v>35</v>
      </c>
      <c r="H1747" s="7">
        <v>183187</v>
      </c>
      <c r="I1747" s="18">
        <v>16000000</v>
      </c>
      <c r="J1747" s="10">
        <v>9240</v>
      </c>
      <c r="K1747" s="7" t="s">
        <v>13</v>
      </c>
      <c r="L1747" s="7" t="s">
        <v>54</v>
      </c>
      <c r="M1747" s="34">
        <v>46160</v>
      </c>
      <c r="N1747" s="7" t="s">
        <v>92</v>
      </c>
    </row>
    <row r="1748" spans="1:14" x14ac:dyDescent="0.25">
      <c r="A1748" s="41" t="s">
        <v>265</v>
      </c>
      <c r="B1748" s="1">
        <v>1</v>
      </c>
      <c r="C1748" s="8">
        <v>46154</v>
      </c>
      <c r="D1748" s="1" t="s">
        <v>2350</v>
      </c>
      <c r="E1748" s="7" t="s">
        <v>13</v>
      </c>
      <c r="F1748" s="1" t="s">
        <v>27</v>
      </c>
      <c r="G1748" s="9" t="s">
        <v>35</v>
      </c>
      <c r="H1748" s="7">
        <v>181944</v>
      </c>
      <c r="I1748" s="18">
        <v>15001002</v>
      </c>
      <c r="J1748" s="10">
        <v>42727.7</v>
      </c>
      <c r="K1748" s="7" t="s">
        <v>13</v>
      </c>
      <c r="L1748" s="7" t="s">
        <v>40</v>
      </c>
      <c r="M1748" s="34">
        <v>46161</v>
      </c>
      <c r="N1748" s="7" t="s">
        <v>92</v>
      </c>
    </row>
    <row r="1749" spans="1:14" x14ac:dyDescent="0.25">
      <c r="A1749" s="41" t="s">
        <v>1410</v>
      </c>
      <c r="B1749" s="1">
        <v>1</v>
      </c>
      <c r="C1749" s="8">
        <v>46154</v>
      </c>
      <c r="D1749" s="1" t="s">
        <v>2351</v>
      </c>
      <c r="E1749" s="7" t="s">
        <v>13</v>
      </c>
      <c r="F1749" s="1" t="s">
        <v>27</v>
      </c>
      <c r="G1749" s="9" t="s">
        <v>35</v>
      </c>
      <c r="H1749" s="7">
        <v>464</v>
      </c>
      <c r="I1749" s="18">
        <v>15001002</v>
      </c>
      <c r="J1749" s="24">
        <v>150</v>
      </c>
      <c r="K1749" s="7" t="s">
        <v>13</v>
      </c>
      <c r="L1749" s="7" t="s">
        <v>54</v>
      </c>
      <c r="M1749" s="34">
        <v>46157</v>
      </c>
      <c r="N1749" s="7" t="s">
        <v>91</v>
      </c>
    </row>
    <row r="1750" spans="1:14" x14ac:dyDescent="0.25">
      <c r="A1750" s="41" t="s">
        <v>435</v>
      </c>
      <c r="B1750" s="1">
        <v>1</v>
      </c>
      <c r="C1750" s="8">
        <v>46154</v>
      </c>
      <c r="D1750" s="1" t="s">
        <v>2352</v>
      </c>
      <c r="E1750" s="7" t="s">
        <v>2</v>
      </c>
      <c r="F1750" s="1" t="s">
        <v>27</v>
      </c>
      <c r="G1750" s="9" t="s">
        <v>35</v>
      </c>
      <c r="H1750" s="7">
        <v>2889985</v>
      </c>
      <c r="I1750" s="18">
        <v>15001001</v>
      </c>
      <c r="J1750" s="10">
        <v>28741.73</v>
      </c>
      <c r="K1750" s="7" t="s">
        <v>12</v>
      </c>
      <c r="L1750" s="7" t="s">
        <v>53</v>
      </c>
      <c r="M1750" s="34">
        <v>46157</v>
      </c>
      <c r="N1750" s="7" t="s">
        <v>92</v>
      </c>
    </row>
    <row r="1751" spans="1:14" x14ac:dyDescent="0.25">
      <c r="A1751" s="41" t="s">
        <v>319</v>
      </c>
      <c r="B1751" s="1">
        <v>1</v>
      </c>
      <c r="C1751" s="8">
        <v>46154</v>
      </c>
      <c r="D1751" s="1" t="s">
        <v>2353</v>
      </c>
      <c r="E1751" s="7" t="s">
        <v>13</v>
      </c>
      <c r="F1751" s="1" t="s">
        <v>27</v>
      </c>
      <c r="G1751" s="9" t="s">
        <v>35</v>
      </c>
      <c r="H1751" s="7">
        <v>206</v>
      </c>
      <c r="I1751" s="18">
        <v>16000000</v>
      </c>
      <c r="J1751" s="10">
        <v>4314.6000000000004</v>
      </c>
      <c r="K1751" s="7" t="s">
        <v>13</v>
      </c>
      <c r="L1751" s="7" t="s">
        <v>54</v>
      </c>
      <c r="M1751" s="34">
        <v>46157</v>
      </c>
      <c r="N1751" s="7" t="s">
        <v>91</v>
      </c>
    </row>
    <row r="1752" spans="1:14" x14ac:dyDescent="0.25">
      <c r="A1752" s="41" t="s">
        <v>2190</v>
      </c>
      <c r="B1752" s="1">
        <v>1</v>
      </c>
      <c r="C1752" s="8">
        <v>46154</v>
      </c>
      <c r="D1752" s="1" t="s">
        <v>2354</v>
      </c>
      <c r="E1752" s="7" t="s">
        <v>2</v>
      </c>
      <c r="F1752" s="1" t="s">
        <v>27</v>
      </c>
      <c r="G1752" s="9" t="s">
        <v>35</v>
      </c>
      <c r="H1752" s="7" t="s">
        <v>74</v>
      </c>
      <c r="I1752" s="18">
        <v>15000000</v>
      </c>
      <c r="J1752" s="10">
        <v>508.86</v>
      </c>
      <c r="K1752" s="7" t="s">
        <v>12</v>
      </c>
      <c r="L1752" s="7" t="s">
        <v>53</v>
      </c>
      <c r="M1752" s="34">
        <v>46155</v>
      </c>
      <c r="N1752" s="7" t="s">
        <v>41</v>
      </c>
    </row>
    <row r="1753" spans="1:14" x14ac:dyDescent="0.25">
      <c r="A1753" s="41" t="s">
        <v>385</v>
      </c>
      <c r="B1753" s="1">
        <v>2</v>
      </c>
      <c r="C1753" s="8">
        <v>46155</v>
      </c>
      <c r="D1753" s="1" t="s">
        <v>2355</v>
      </c>
      <c r="E1753" s="7" t="s">
        <v>2</v>
      </c>
      <c r="F1753" s="1" t="s">
        <v>27</v>
      </c>
      <c r="G1753" s="9" t="s">
        <v>35</v>
      </c>
      <c r="H1753" s="7">
        <v>4557</v>
      </c>
      <c r="I1753" s="18">
        <v>15001001</v>
      </c>
      <c r="J1753" s="10">
        <v>169492.14</v>
      </c>
      <c r="K1753" s="7" t="s">
        <v>12</v>
      </c>
      <c r="L1753" s="7" t="s">
        <v>53</v>
      </c>
      <c r="M1753" s="34">
        <v>46156</v>
      </c>
      <c r="N1753" s="7" t="s">
        <v>41</v>
      </c>
    </row>
    <row r="1754" spans="1:14" x14ac:dyDescent="0.25">
      <c r="A1754" s="41" t="s">
        <v>265</v>
      </c>
      <c r="B1754" s="1">
        <v>2</v>
      </c>
      <c r="C1754" s="8">
        <v>46161</v>
      </c>
      <c r="D1754" s="1" t="s">
        <v>2356</v>
      </c>
      <c r="E1754" s="7" t="s">
        <v>13</v>
      </c>
      <c r="F1754" s="1" t="s">
        <v>27</v>
      </c>
      <c r="G1754" s="9" t="s">
        <v>35</v>
      </c>
      <c r="H1754" s="7">
        <v>182573</v>
      </c>
      <c r="I1754" s="18">
        <v>15001002</v>
      </c>
      <c r="J1754" s="10">
        <v>194</v>
      </c>
      <c r="K1754" s="7" t="s">
        <v>13</v>
      </c>
      <c r="L1754" s="7" t="s">
        <v>54</v>
      </c>
      <c r="M1754" s="34">
        <v>46161</v>
      </c>
      <c r="N1754" s="7" t="s">
        <v>92</v>
      </c>
    </row>
    <row r="1755" spans="1:14" x14ac:dyDescent="0.25">
      <c r="A1755" s="41" t="s">
        <v>2357</v>
      </c>
      <c r="B1755" s="1">
        <v>1</v>
      </c>
      <c r="C1755" s="8">
        <v>46154</v>
      </c>
      <c r="D1755" s="1" t="s">
        <v>2358</v>
      </c>
      <c r="E1755" s="7" t="s">
        <v>14</v>
      </c>
      <c r="F1755" s="1" t="s">
        <v>27</v>
      </c>
      <c r="G1755" s="9" t="s">
        <v>35</v>
      </c>
      <c r="H1755" s="7" t="s">
        <v>74</v>
      </c>
      <c r="I1755" s="18" t="s">
        <v>0</v>
      </c>
      <c r="J1755" s="10" t="s">
        <v>61</v>
      </c>
      <c r="K1755" s="7" t="s">
        <v>58</v>
      </c>
      <c r="L1755" s="7" t="s">
        <v>59</v>
      </c>
    </row>
    <row r="1756" spans="1:14" x14ac:dyDescent="0.25">
      <c r="A1756" s="41" t="s">
        <v>219</v>
      </c>
      <c r="B1756" s="1">
        <v>1</v>
      </c>
      <c r="C1756" s="8">
        <v>46154</v>
      </c>
      <c r="D1756" s="1" t="s">
        <v>2359</v>
      </c>
      <c r="E1756" s="7" t="s">
        <v>14</v>
      </c>
      <c r="F1756" s="1" t="s">
        <v>27</v>
      </c>
      <c r="G1756" s="9" t="s">
        <v>63</v>
      </c>
      <c r="H1756" s="7" t="s">
        <v>74</v>
      </c>
      <c r="I1756" s="18" t="s">
        <v>0</v>
      </c>
      <c r="J1756" s="10" t="s">
        <v>61</v>
      </c>
      <c r="K1756" s="7" t="s">
        <v>17</v>
      </c>
      <c r="L1756" s="7" t="s">
        <v>40</v>
      </c>
      <c r="M1756" s="34">
        <v>46157</v>
      </c>
      <c r="N1756" s="7" t="s">
        <v>46</v>
      </c>
    </row>
    <row r="1757" spans="1:14" x14ac:dyDescent="0.25">
      <c r="A1757" s="41" t="s">
        <v>2361</v>
      </c>
      <c r="B1757" s="1">
        <v>1</v>
      </c>
      <c r="C1757" s="8">
        <v>46154</v>
      </c>
      <c r="D1757" s="1" t="s">
        <v>2360</v>
      </c>
      <c r="E1757" s="7" t="s">
        <v>16</v>
      </c>
      <c r="F1757" s="1" t="s">
        <v>27</v>
      </c>
      <c r="G1757" s="9" t="s">
        <v>35</v>
      </c>
      <c r="H1757" s="7">
        <v>12817</v>
      </c>
      <c r="I1757" s="18">
        <v>15000000</v>
      </c>
      <c r="J1757" s="10">
        <v>602.63</v>
      </c>
      <c r="K1757" s="7" t="s">
        <v>12</v>
      </c>
      <c r="L1757" s="7" t="s">
        <v>53</v>
      </c>
      <c r="M1757" s="34">
        <v>46157</v>
      </c>
      <c r="N1757" s="7" t="s">
        <v>46</v>
      </c>
    </row>
    <row r="1758" spans="1:14" x14ac:dyDescent="0.25">
      <c r="A1758" s="41" t="s">
        <v>2361</v>
      </c>
      <c r="B1758" s="1">
        <v>1</v>
      </c>
      <c r="C1758" s="8">
        <v>46154</v>
      </c>
      <c r="D1758" s="1" t="s">
        <v>2362</v>
      </c>
      <c r="E1758" s="7" t="s">
        <v>16</v>
      </c>
      <c r="F1758" s="1" t="s">
        <v>27</v>
      </c>
      <c r="G1758" s="9" t="s">
        <v>35</v>
      </c>
      <c r="H1758" s="7">
        <v>12817</v>
      </c>
      <c r="I1758" s="18">
        <v>16600000</v>
      </c>
      <c r="J1758" s="10">
        <v>311.5</v>
      </c>
      <c r="K1758" s="7" t="s">
        <v>12</v>
      </c>
      <c r="L1758" s="7" t="s">
        <v>53</v>
      </c>
      <c r="M1758" s="34">
        <v>46157</v>
      </c>
      <c r="N1758" s="7" t="s">
        <v>46</v>
      </c>
    </row>
    <row r="1759" spans="1:14" x14ac:dyDescent="0.25">
      <c r="A1759" s="41" t="s">
        <v>2361</v>
      </c>
      <c r="B1759" s="1">
        <v>1</v>
      </c>
      <c r="C1759" s="8">
        <v>46154</v>
      </c>
      <c r="D1759" s="1" t="s">
        <v>2363</v>
      </c>
      <c r="E1759" s="7" t="s">
        <v>16</v>
      </c>
      <c r="F1759" s="1" t="s">
        <v>27</v>
      </c>
      <c r="G1759" s="9" t="s">
        <v>35</v>
      </c>
      <c r="H1759" s="7">
        <v>12817</v>
      </c>
      <c r="I1759" s="18">
        <v>16600000</v>
      </c>
      <c r="J1759" s="10">
        <v>75.25</v>
      </c>
      <c r="K1759" s="7" t="s">
        <v>12</v>
      </c>
      <c r="L1759" s="7" t="s">
        <v>53</v>
      </c>
      <c r="M1759" s="34">
        <v>46157</v>
      </c>
      <c r="N1759" s="7" t="s">
        <v>46</v>
      </c>
    </row>
    <row r="1760" spans="1:14" x14ac:dyDescent="0.25">
      <c r="A1760" s="41" t="s">
        <v>2361</v>
      </c>
      <c r="B1760" s="1">
        <v>1</v>
      </c>
      <c r="C1760" s="8">
        <v>46154</v>
      </c>
      <c r="D1760" s="1" t="s">
        <v>2364</v>
      </c>
      <c r="E1760" s="7" t="s">
        <v>16</v>
      </c>
      <c r="F1760" s="1" t="s">
        <v>27</v>
      </c>
      <c r="G1760" s="9" t="s">
        <v>35</v>
      </c>
      <c r="H1760" s="7">
        <v>12817</v>
      </c>
      <c r="I1760" s="18">
        <v>16600000</v>
      </c>
      <c r="J1760" s="10">
        <v>266.83999999999997</v>
      </c>
      <c r="K1760" s="7" t="s">
        <v>12</v>
      </c>
      <c r="L1760" s="7" t="s">
        <v>53</v>
      </c>
      <c r="M1760" s="34">
        <v>46157</v>
      </c>
      <c r="N1760" s="7" t="s">
        <v>46</v>
      </c>
    </row>
    <row r="1761" spans="1:14" x14ac:dyDescent="0.25">
      <c r="A1761" s="41" t="s">
        <v>2365</v>
      </c>
      <c r="B1761" s="1">
        <v>1</v>
      </c>
      <c r="C1761" s="8">
        <v>46154</v>
      </c>
      <c r="D1761" s="1" t="s">
        <v>2366</v>
      </c>
      <c r="E1761" s="7" t="s">
        <v>13</v>
      </c>
      <c r="F1761" s="1" t="s">
        <v>27</v>
      </c>
      <c r="G1761" s="9" t="s">
        <v>35</v>
      </c>
      <c r="H1761" s="7">
        <v>2139656</v>
      </c>
      <c r="I1761" s="18">
        <v>15001002</v>
      </c>
      <c r="J1761" s="10">
        <v>960</v>
      </c>
      <c r="K1761" s="7" t="s">
        <v>58</v>
      </c>
      <c r="L1761" s="7" t="s">
        <v>59</v>
      </c>
    </row>
    <row r="1762" spans="1:14" x14ac:dyDescent="0.25">
      <c r="A1762" s="41" t="s">
        <v>219</v>
      </c>
      <c r="B1762" s="1">
        <v>2</v>
      </c>
      <c r="C1762" s="8">
        <v>46161</v>
      </c>
      <c r="D1762" s="1" t="s">
        <v>2367</v>
      </c>
      <c r="E1762" s="7" t="s">
        <v>2</v>
      </c>
      <c r="F1762" s="1" t="s">
        <v>27</v>
      </c>
      <c r="G1762" s="9" t="s">
        <v>35</v>
      </c>
      <c r="H1762" s="7" t="s">
        <v>2368</v>
      </c>
      <c r="I1762" s="18">
        <v>15001001</v>
      </c>
      <c r="J1762" s="10">
        <v>201118.91</v>
      </c>
      <c r="K1762" s="7" t="s">
        <v>12</v>
      </c>
      <c r="L1762" s="7" t="s">
        <v>53</v>
      </c>
      <c r="M1762" s="34">
        <v>46161</v>
      </c>
      <c r="N1762" s="7" t="s">
        <v>41</v>
      </c>
    </row>
    <row r="1763" spans="1:14" x14ac:dyDescent="0.25">
      <c r="A1763" s="41" t="s">
        <v>1410</v>
      </c>
      <c r="B1763" s="1">
        <v>1</v>
      </c>
      <c r="C1763" s="8">
        <v>46154</v>
      </c>
      <c r="D1763" s="1" t="s">
        <v>2369</v>
      </c>
      <c r="E1763" s="7" t="s">
        <v>13</v>
      </c>
      <c r="F1763" s="1" t="s">
        <v>27</v>
      </c>
      <c r="G1763" s="9" t="s">
        <v>35</v>
      </c>
      <c r="H1763" s="7">
        <v>477</v>
      </c>
      <c r="I1763" s="18">
        <v>16210000</v>
      </c>
      <c r="J1763" s="10">
        <v>990</v>
      </c>
      <c r="K1763" s="7" t="s">
        <v>13</v>
      </c>
      <c r="L1763" s="7" t="s">
        <v>54</v>
      </c>
      <c r="M1763" s="34">
        <v>46157</v>
      </c>
      <c r="N1763" s="7" t="s">
        <v>91</v>
      </c>
    </row>
    <row r="1764" spans="1:14" x14ac:dyDescent="0.25">
      <c r="A1764" s="41" t="s">
        <v>1530</v>
      </c>
      <c r="B1764" s="1">
        <v>2</v>
      </c>
      <c r="C1764" s="8">
        <v>46160</v>
      </c>
      <c r="D1764" s="1" t="s">
        <v>2370</v>
      </c>
      <c r="E1764" s="7" t="s">
        <v>2</v>
      </c>
      <c r="F1764" s="1" t="s">
        <v>27</v>
      </c>
      <c r="G1764" s="9" t="s">
        <v>35</v>
      </c>
      <c r="H1764" s="7">
        <v>7900</v>
      </c>
      <c r="I1764" s="18">
        <v>25500000</v>
      </c>
      <c r="J1764" s="10">
        <v>7624.5</v>
      </c>
      <c r="K1764" s="7" t="s">
        <v>12</v>
      </c>
      <c r="L1764" s="7" t="s">
        <v>53</v>
      </c>
      <c r="M1764" s="34">
        <v>46160</v>
      </c>
      <c r="N1764" s="7" t="s">
        <v>41</v>
      </c>
    </row>
    <row r="1765" spans="1:14" x14ac:dyDescent="0.25">
      <c r="A1765" s="41" t="s">
        <v>2371</v>
      </c>
      <c r="B1765" s="1">
        <v>1</v>
      </c>
      <c r="C1765" s="8">
        <v>46154</v>
      </c>
      <c r="D1765" s="1" t="s">
        <v>2372</v>
      </c>
      <c r="E1765" s="7" t="s">
        <v>13</v>
      </c>
      <c r="F1765" s="1" t="s">
        <v>27</v>
      </c>
      <c r="G1765" s="9" t="s">
        <v>35</v>
      </c>
      <c r="H1765" s="7">
        <v>288880</v>
      </c>
      <c r="I1765" s="18">
        <v>16210000</v>
      </c>
      <c r="J1765" s="10">
        <v>550</v>
      </c>
      <c r="K1765" s="7" t="s">
        <v>13</v>
      </c>
      <c r="L1765" s="7" t="s">
        <v>54</v>
      </c>
      <c r="M1765" s="34">
        <v>46160</v>
      </c>
      <c r="N1765" s="7" t="s">
        <v>91</v>
      </c>
    </row>
    <row r="1766" spans="1:14" x14ac:dyDescent="0.25">
      <c r="A1766" s="41" t="s">
        <v>393</v>
      </c>
      <c r="B1766" s="1">
        <v>2</v>
      </c>
      <c r="C1766" s="8">
        <v>46161</v>
      </c>
      <c r="D1766" s="1" t="s">
        <v>2373</v>
      </c>
      <c r="E1766" s="7" t="s">
        <v>13</v>
      </c>
      <c r="F1766" s="1" t="s">
        <v>27</v>
      </c>
      <c r="G1766" s="9" t="s">
        <v>35</v>
      </c>
      <c r="H1766" s="7" t="s">
        <v>74</v>
      </c>
      <c r="I1766" s="18">
        <v>16210000</v>
      </c>
      <c r="J1766" s="10">
        <v>518.78</v>
      </c>
      <c r="K1766" s="7" t="s">
        <v>13</v>
      </c>
      <c r="L1766" s="7" t="s">
        <v>54</v>
      </c>
      <c r="M1766" s="34">
        <v>46161</v>
      </c>
      <c r="N1766" s="7" t="s">
        <v>46</v>
      </c>
    </row>
    <row r="1767" spans="1:14" x14ac:dyDescent="0.25">
      <c r="A1767" s="41" t="s">
        <v>2374</v>
      </c>
      <c r="B1767" s="1">
        <v>2</v>
      </c>
      <c r="C1767" s="8">
        <v>46161</v>
      </c>
      <c r="D1767" s="1" t="s">
        <v>2375</v>
      </c>
      <c r="E1767" s="7" t="s">
        <v>13</v>
      </c>
      <c r="F1767" s="1" t="s">
        <v>27</v>
      </c>
      <c r="G1767" s="9" t="s">
        <v>35</v>
      </c>
      <c r="H1767" s="7">
        <v>68950</v>
      </c>
      <c r="I1767" s="18">
        <v>15001002</v>
      </c>
      <c r="J1767" s="10">
        <v>2945</v>
      </c>
      <c r="K1767" s="7" t="s">
        <v>13</v>
      </c>
      <c r="L1767" s="7" t="s">
        <v>54</v>
      </c>
      <c r="M1767" s="34">
        <v>46161</v>
      </c>
      <c r="N1767" s="7" t="s">
        <v>92</v>
      </c>
    </row>
    <row r="1768" spans="1:14" x14ac:dyDescent="0.25">
      <c r="A1768" s="41" t="s">
        <v>1558</v>
      </c>
      <c r="B1768" s="1">
        <v>1</v>
      </c>
      <c r="C1768" s="8">
        <v>46155</v>
      </c>
      <c r="D1768" s="1" t="s">
        <v>2376</v>
      </c>
      <c r="E1768" s="7" t="s">
        <v>2</v>
      </c>
      <c r="F1768" s="1" t="s">
        <v>27</v>
      </c>
      <c r="G1768" s="9" t="s">
        <v>35</v>
      </c>
      <c r="H1768" s="7">
        <v>229</v>
      </c>
      <c r="I1768" s="18">
        <v>15520000</v>
      </c>
      <c r="J1768" s="10">
        <v>52640.13</v>
      </c>
      <c r="K1768" s="7" t="s">
        <v>12</v>
      </c>
      <c r="L1768" s="7" t="s">
        <v>53</v>
      </c>
      <c r="M1768" s="34">
        <v>46157</v>
      </c>
      <c r="N1768" s="7" t="s">
        <v>41</v>
      </c>
    </row>
    <row r="1769" spans="1:14" x14ac:dyDescent="0.25">
      <c r="A1769" s="41" t="s">
        <v>1558</v>
      </c>
      <c r="B1769" s="1">
        <v>1</v>
      </c>
      <c r="C1769" s="8">
        <v>46155</v>
      </c>
      <c r="D1769" s="1" t="s">
        <v>2377</v>
      </c>
      <c r="E1769" s="7" t="s">
        <v>2</v>
      </c>
      <c r="F1769" s="1" t="s">
        <v>27</v>
      </c>
      <c r="G1769" s="9" t="s">
        <v>35</v>
      </c>
      <c r="H1769" s="7">
        <v>230</v>
      </c>
      <c r="I1769" s="18">
        <v>15500000</v>
      </c>
      <c r="J1769" s="10">
        <v>2110.04</v>
      </c>
      <c r="K1769" s="7" t="s">
        <v>12</v>
      </c>
      <c r="L1769" s="7" t="s">
        <v>53</v>
      </c>
      <c r="M1769" s="34">
        <v>46157</v>
      </c>
      <c r="N1769" s="7" t="s">
        <v>41</v>
      </c>
    </row>
    <row r="1770" spans="1:14" x14ac:dyDescent="0.25">
      <c r="A1770" s="41" t="s">
        <v>236</v>
      </c>
      <c r="B1770" s="1">
        <v>1</v>
      </c>
      <c r="C1770" s="8">
        <v>46155</v>
      </c>
      <c r="D1770" s="1" t="s">
        <v>2378</v>
      </c>
      <c r="E1770" s="7" t="s">
        <v>13</v>
      </c>
      <c r="F1770" s="1" t="s">
        <v>27</v>
      </c>
      <c r="G1770" s="9" t="s">
        <v>35</v>
      </c>
      <c r="H1770" s="7">
        <v>194953</v>
      </c>
      <c r="I1770" s="18">
        <v>16000000</v>
      </c>
      <c r="J1770" s="10">
        <v>480</v>
      </c>
      <c r="K1770" s="7" t="s">
        <v>13</v>
      </c>
      <c r="L1770" s="7" t="s">
        <v>54</v>
      </c>
      <c r="M1770" s="34">
        <v>46161</v>
      </c>
      <c r="N1770" s="7" t="s">
        <v>46</v>
      </c>
    </row>
    <row r="1771" spans="1:14" x14ac:dyDescent="0.25">
      <c r="A1771" s="41" t="s">
        <v>219</v>
      </c>
      <c r="B1771" s="1">
        <v>2</v>
      </c>
      <c r="C1771" s="8">
        <v>46160</v>
      </c>
      <c r="D1771" s="1" t="s">
        <v>2379</v>
      </c>
      <c r="E1771" s="7" t="s">
        <v>13</v>
      </c>
      <c r="F1771" s="1" t="s">
        <v>27</v>
      </c>
      <c r="G1771" s="9" t="s">
        <v>35</v>
      </c>
      <c r="H1771" s="7">
        <v>2515</v>
      </c>
      <c r="I1771" s="18">
        <v>15001002</v>
      </c>
      <c r="J1771" s="10">
        <v>438790.8</v>
      </c>
      <c r="K1771" s="7" t="s">
        <v>13</v>
      </c>
      <c r="L1771" s="7" t="s">
        <v>54</v>
      </c>
      <c r="M1771" s="34">
        <v>46160</v>
      </c>
      <c r="N1771" s="7" t="s">
        <v>41</v>
      </c>
    </row>
    <row r="1772" spans="1:14" x14ac:dyDescent="0.25">
      <c r="A1772" s="41" t="s">
        <v>219</v>
      </c>
      <c r="B1772" s="1">
        <v>2</v>
      </c>
      <c r="C1772" s="8">
        <v>46160</v>
      </c>
      <c r="D1772" s="1" t="s">
        <v>2380</v>
      </c>
      <c r="E1772" s="7" t="s">
        <v>13</v>
      </c>
      <c r="F1772" s="1" t="s">
        <v>27</v>
      </c>
      <c r="G1772" s="9" t="s">
        <v>35</v>
      </c>
      <c r="H1772" s="7">
        <v>2516</v>
      </c>
      <c r="I1772" s="18">
        <v>16000000</v>
      </c>
      <c r="J1772" s="10">
        <v>201619.7</v>
      </c>
      <c r="K1772" s="7" t="s">
        <v>13</v>
      </c>
      <c r="L1772" s="7" t="s">
        <v>54</v>
      </c>
      <c r="M1772" s="34">
        <v>46160</v>
      </c>
      <c r="N1772" s="7" t="s">
        <v>41</v>
      </c>
    </row>
    <row r="1773" spans="1:14" x14ac:dyDescent="0.25">
      <c r="A1773" s="41" t="s">
        <v>181</v>
      </c>
      <c r="B1773" s="1">
        <v>2</v>
      </c>
      <c r="C1773" s="8">
        <v>46157</v>
      </c>
      <c r="D1773" s="1" t="s">
        <v>2381</v>
      </c>
      <c r="E1773" s="7" t="s">
        <v>16</v>
      </c>
      <c r="F1773" s="1" t="s">
        <v>27</v>
      </c>
      <c r="G1773" s="9" t="s">
        <v>35</v>
      </c>
      <c r="H1773" s="7">
        <v>958104383</v>
      </c>
      <c r="I1773" s="18">
        <v>16600000</v>
      </c>
      <c r="J1773" s="10">
        <v>2893.85</v>
      </c>
      <c r="K1773" s="7" t="s">
        <v>12</v>
      </c>
      <c r="L1773" s="7" t="s">
        <v>53</v>
      </c>
      <c r="M1773" s="34">
        <v>46157</v>
      </c>
      <c r="N1773" s="7" t="s">
        <v>45</v>
      </c>
    </row>
    <row r="1774" spans="1:14" x14ac:dyDescent="0.25">
      <c r="A1774" s="41" t="s">
        <v>181</v>
      </c>
      <c r="B1774" s="1">
        <v>2</v>
      </c>
      <c r="C1774" s="8">
        <v>46157</v>
      </c>
      <c r="D1774" s="1" t="s">
        <v>2382</v>
      </c>
      <c r="E1774" s="7" t="s">
        <v>16</v>
      </c>
      <c r="F1774" s="1" t="s">
        <v>27</v>
      </c>
      <c r="G1774" s="9" t="s">
        <v>35</v>
      </c>
      <c r="H1774" s="7">
        <v>958104382</v>
      </c>
      <c r="I1774" s="18">
        <v>15000000</v>
      </c>
      <c r="J1774" s="10">
        <v>64.48</v>
      </c>
      <c r="K1774" s="7" t="s">
        <v>12</v>
      </c>
      <c r="L1774" s="7" t="s">
        <v>53</v>
      </c>
      <c r="M1774" s="34">
        <v>46157</v>
      </c>
      <c r="N1774" s="7" t="s">
        <v>45</v>
      </c>
    </row>
    <row r="1775" spans="1:14" x14ac:dyDescent="0.25">
      <c r="A1775" s="41" t="s">
        <v>181</v>
      </c>
      <c r="B1775" s="1">
        <v>2</v>
      </c>
      <c r="C1775" s="8">
        <v>46157</v>
      </c>
      <c r="D1775" s="1" t="s">
        <v>2383</v>
      </c>
      <c r="E1775" s="7" t="s">
        <v>16</v>
      </c>
      <c r="F1775" s="1" t="s">
        <v>27</v>
      </c>
      <c r="G1775" s="9" t="s">
        <v>35</v>
      </c>
      <c r="H1775" s="7">
        <v>958309213</v>
      </c>
      <c r="I1775" s="18">
        <v>16610000</v>
      </c>
      <c r="J1775" s="10">
        <v>375.12</v>
      </c>
      <c r="K1775" s="7" t="s">
        <v>12</v>
      </c>
      <c r="L1775" s="7" t="s">
        <v>53</v>
      </c>
      <c r="M1775" s="34">
        <v>46157</v>
      </c>
      <c r="N1775" s="7" t="s">
        <v>45</v>
      </c>
    </row>
    <row r="1776" spans="1:14" x14ac:dyDescent="0.25">
      <c r="A1776" s="41" t="s">
        <v>181</v>
      </c>
      <c r="B1776" s="1">
        <v>1</v>
      </c>
      <c r="C1776" s="8">
        <v>46155</v>
      </c>
      <c r="D1776" s="1" t="s">
        <v>2384</v>
      </c>
      <c r="E1776" s="7" t="s">
        <v>16</v>
      </c>
      <c r="F1776" s="1" t="s">
        <v>27</v>
      </c>
      <c r="G1776" s="9" t="s">
        <v>35</v>
      </c>
      <c r="H1776" s="7">
        <v>958309212</v>
      </c>
      <c r="I1776" s="18">
        <v>16610000</v>
      </c>
      <c r="J1776" s="10">
        <v>827.26</v>
      </c>
      <c r="K1776" s="7" t="s">
        <v>12</v>
      </c>
      <c r="L1776" s="7" t="s">
        <v>53</v>
      </c>
      <c r="M1776" s="34">
        <v>46157</v>
      </c>
      <c r="N1776" s="7" t="s">
        <v>45</v>
      </c>
    </row>
    <row r="1777" spans="1:15" x14ac:dyDescent="0.25">
      <c r="A1777" s="41" t="s">
        <v>236</v>
      </c>
      <c r="B1777" s="1">
        <v>1</v>
      </c>
      <c r="C1777" s="8">
        <v>46155</v>
      </c>
      <c r="D1777" s="1" t="s">
        <v>2385</v>
      </c>
      <c r="E1777" s="7" t="s">
        <v>13</v>
      </c>
      <c r="F1777" s="1" t="s">
        <v>27</v>
      </c>
      <c r="G1777" s="9" t="s">
        <v>35</v>
      </c>
      <c r="H1777" s="7">
        <v>194787</v>
      </c>
      <c r="I1777" s="18">
        <v>16000000</v>
      </c>
      <c r="J1777" s="10">
        <v>800</v>
      </c>
      <c r="K1777" s="7" t="s">
        <v>13</v>
      </c>
      <c r="L1777" s="7" t="s">
        <v>54</v>
      </c>
      <c r="M1777" s="34">
        <v>46160</v>
      </c>
      <c r="N1777" s="7" t="s">
        <v>46</v>
      </c>
    </row>
    <row r="1778" spans="1:15" x14ac:dyDescent="0.25">
      <c r="A1778" s="41" t="s">
        <v>231</v>
      </c>
      <c r="B1778" s="1">
        <v>2</v>
      </c>
      <c r="C1778" s="8">
        <v>46161</v>
      </c>
      <c r="D1778" s="1" t="s">
        <v>2386</v>
      </c>
      <c r="E1778" s="7" t="s">
        <v>13</v>
      </c>
      <c r="F1778" s="1" t="s">
        <v>27</v>
      </c>
      <c r="G1778" s="9" t="s">
        <v>35</v>
      </c>
      <c r="H1778" s="7">
        <v>1540</v>
      </c>
      <c r="I1778" s="18">
        <v>16000000</v>
      </c>
      <c r="J1778" s="10">
        <v>13916.66</v>
      </c>
      <c r="K1778" s="7" t="s">
        <v>13</v>
      </c>
      <c r="L1778" s="7" t="s">
        <v>54</v>
      </c>
      <c r="M1778" s="34">
        <v>46161</v>
      </c>
      <c r="N1778" s="7" t="s">
        <v>46</v>
      </c>
    </row>
    <row r="1779" spans="1:15" x14ac:dyDescent="0.25">
      <c r="A1779" s="41" t="s">
        <v>2365</v>
      </c>
      <c r="B1779" s="1">
        <v>1</v>
      </c>
      <c r="C1779" s="8">
        <v>46155</v>
      </c>
      <c r="D1779" s="1" t="s">
        <v>2387</v>
      </c>
      <c r="E1779" s="7" t="s">
        <v>13</v>
      </c>
      <c r="F1779" s="1" t="s">
        <v>27</v>
      </c>
      <c r="G1779" s="9" t="s">
        <v>35</v>
      </c>
      <c r="H1779" s="7" t="s">
        <v>2388</v>
      </c>
      <c r="I1779" s="18">
        <v>15001002</v>
      </c>
      <c r="J1779" s="10">
        <v>15400</v>
      </c>
      <c r="K1779" s="7" t="s">
        <v>13</v>
      </c>
      <c r="L1779" s="7" t="s">
        <v>54</v>
      </c>
      <c r="M1779" s="34">
        <v>46161</v>
      </c>
      <c r="N1779" s="7" t="s">
        <v>46</v>
      </c>
    </row>
    <row r="1780" spans="1:15" x14ac:dyDescent="0.25">
      <c r="A1780" s="41" t="s">
        <v>181</v>
      </c>
      <c r="B1780" s="1">
        <v>2</v>
      </c>
      <c r="C1780" s="8">
        <v>46157</v>
      </c>
      <c r="D1780" s="1" t="s">
        <v>2389</v>
      </c>
      <c r="E1780" s="7" t="s">
        <v>16</v>
      </c>
      <c r="F1780" s="1" t="s">
        <v>27</v>
      </c>
      <c r="G1780" s="9" t="s">
        <v>35</v>
      </c>
      <c r="H1780" s="7">
        <v>958104422</v>
      </c>
      <c r="I1780" s="18">
        <v>15010000</v>
      </c>
      <c r="J1780" s="10">
        <v>1483.13</v>
      </c>
      <c r="K1780" s="7" t="s">
        <v>12</v>
      </c>
      <c r="L1780" s="7" t="s">
        <v>53</v>
      </c>
      <c r="M1780" s="34">
        <v>46157</v>
      </c>
      <c r="N1780" s="7" t="s">
        <v>45</v>
      </c>
    </row>
    <row r="1781" spans="1:15" x14ac:dyDescent="0.25">
      <c r="A1781" s="41" t="s">
        <v>236</v>
      </c>
      <c r="B1781" s="1">
        <v>1</v>
      </c>
      <c r="C1781" s="8">
        <v>46155</v>
      </c>
      <c r="D1781" s="1" t="s">
        <v>2390</v>
      </c>
      <c r="E1781" s="7" t="s">
        <v>13</v>
      </c>
      <c r="F1781" s="1" t="s">
        <v>27</v>
      </c>
      <c r="G1781" s="9" t="s">
        <v>35</v>
      </c>
      <c r="H1781" s="7">
        <v>194813</v>
      </c>
      <c r="I1781" s="18">
        <v>16000000</v>
      </c>
      <c r="J1781" s="10">
        <v>7590</v>
      </c>
      <c r="K1781" s="7" t="s">
        <v>13</v>
      </c>
      <c r="L1781" s="7" t="s">
        <v>54</v>
      </c>
      <c r="M1781" s="34">
        <v>46160</v>
      </c>
      <c r="N1781" s="7" t="s">
        <v>46</v>
      </c>
    </row>
    <row r="1782" spans="1:15" x14ac:dyDescent="0.25">
      <c r="A1782" s="41" t="s">
        <v>236</v>
      </c>
      <c r="B1782" s="1">
        <v>1</v>
      </c>
      <c r="C1782" s="8">
        <v>46155</v>
      </c>
      <c r="D1782" s="1" t="s">
        <v>2391</v>
      </c>
      <c r="E1782" s="7" t="s">
        <v>13</v>
      </c>
      <c r="F1782" s="1" t="s">
        <v>27</v>
      </c>
      <c r="G1782" s="9" t="s">
        <v>35</v>
      </c>
      <c r="H1782" s="7">
        <v>194717</v>
      </c>
      <c r="I1782" s="18">
        <v>15001002</v>
      </c>
      <c r="J1782" s="10">
        <v>5430</v>
      </c>
      <c r="K1782" s="7" t="s">
        <v>13</v>
      </c>
      <c r="L1782" s="7" t="s">
        <v>54</v>
      </c>
      <c r="M1782" s="34">
        <v>46160</v>
      </c>
      <c r="N1782" s="7" t="s">
        <v>46</v>
      </c>
    </row>
    <row r="1783" spans="1:15" x14ac:dyDescent="0.25">
      <c r="A1783" s="41" t="s">
        <v>236</v>
      </c>
      <c r="B1783" s="1">
        <v>1</v>
      </c>
      <c r="C1783" s="8">
        <v>46155</v>
      </c>
      <c r="D1783" s="1" t="s">
        <v>2392</v>
      </c>
      <c r="E1783" s="7" t="s">
        <v>13</v>
      </c>
      <c r="F1783" s="1" t="s">
        <v>27</v>
      </c>
      <c r="G1783" s="9" t="s">
        <v>35</v>
      </c>
      <c r="H1783" s="7">
        <v>194617</v>
      </c>
      <c r="I1783" s="18">
        <v>16000000</v>
      </c>
      <c r="J1783" s="10">
        <v>6780</v>
      </c>
      <c r="K1783" s="7" t="s">
        <v>13</v>
      </c>
      <c r="L1783" s="7" t="s">
        <v>54</v>
      </c>
      <c r="M1783" s="34">
        <v>46161</v>
      </c>
      <c r="N1783" s="7" t="s">
        <v>46</v>
      </c>
    </row>
    <row r="1784" spans="1:15" x14ac:dyDescent="0.25">
      <c r="A1784" s="41" t="s">
        <v>236</v>
      </c>
      <c r="B1784" s="1">
        <v>1</v>
      </c>
      <c r="C1784" s="8">
        <v>46155</v>
      </c>
      <c r="D1784" s="1" t="s">
        <v>2393</v>
      </c>
      <c r="E1784" s="7" t="s">
        <v>13</v>
      </c>
      <c r="F1784" s="1" t="s">
        <v>27</v>
      </c>
      <c r="G1784" s="9" t="s">
        <v>35</v>
      </c>
      <c r="H1784" s="7">
        <v>194737</v>
      </c>
      <c r="I1784" s="18">
        <v>16210000</v>
      </c>
      <c r="J1784" s="10">
        <v>1488</v>
      </c>
      <c r="K1784" s="7" t="s">
        <v>13</v>
      </c>
      <c r="L1784" s="7" t="s">
        <v>54</v>
      </c>
      <c r="M1784" s="34">
        <v>46161</v>
      </c>
      <c r="N1784" s="7" t="s">
        <v>46</v>
      </c>
    </row>
    <row r="1785" spans="1:15" x14ac:dyDescent="0.25">
      <c r="A1785" s="41" t="s">
        <v>236</v>
      </c>
      <c r="B1785" s="1">
        <v>1</v>
      </c>
      <c r="C1785" s="8">
        <v>46155</v>
      </c>
      <c r="D1785" s="1" t="s">
        <v>2394</v>
      </c>
      <c r="E1785" s="7" t="s">
        <v>13</v>
      </c>
      <c r="F1785" s="1" t="s">
        <v>27</v>
      </c>
      <c r="G1785" s="9" t="s">
        <v>35</v>
      </c>
      <c r="H1785" s="7" t="s">
        <v>2401</v>
      </c>
      <c r="I1785" s="18" t="s">
        <v>2395</v>
      </c>
      <c r="J1785" s="10">
        <v>4792</v>
      </c>
      <c r="K1785" s="7" t="s">
        <v>13</v>
      </c>
      <c r="L1785" s="7" t="s">
        <v>54</v>
      </c>
      <c r="M1785" s="34">
        <v>46161</v>
      </c>
      <c r="N1785" s="7" t="s">
        <v>91</v>
      </c>
    </row>
    <row r="1786" spans="1:15" x14ac:dyDescent="0.25">
      <c r="A1786" s="41" t="s">
        <v>2396</v>
      </c>
      <c r="B1786" s="1">
        <v>2</v>
      </c>
      <c r="C1786" s="8">
        <v>46156</v>
      </c>
      <c r="D1786" s="1" t="s">
        <v>2397</v>
      </c>
      <c r="E1786" s="7" t="s">
        <v>17</v>
      </c>
      <c r="F1786" s="1" t="s">
        <v>27</v>
      </c>
      <c r="G1786" s="9" t="s">
        <v>35</v>
      </c>
      <c r="H1786" s="7" t="s">
        <v>74</v>
      </c>
      <c r="I1786" s="18" t="s">
        <v>0</v>
      </c>
      <c r="J1786" s="10" t="s">
        <v>61</v>
      </c>
      <c r="K1786" s="7" t="s">
        <v>12</v>
      </c>
      <c r="L1786" s="7" t="s">
        <v>53</v>
      </c>
      <c r="M1786" s="34">
        <v>46156</v>
      </c>
      <c r="N1786" s="7" t="s">
        <v>41</v>
      </c>
    </row>
    <row r="1787" spans="1:15" x14ac:dyDescent="0.25">
      <c r="A1787" s="41" t="s">
        <v>563</v>
      </c>
      <c r="B1787" s="1">
        <v>2</v>
      </c>
      <c r="C1787" s="8">
        <v>46161</v>
      </c>
      <c r="D1787" s="1" t="s">
        <v>2398</v>
      </c>
      <c r="E1787" s="7" t="s">
        <v>16</v>
      </c>
      <c r="F1787" s="1" t="s">
        <v>27</v>
      </c>
      <c r="G1787" s="9" t="s">
        <v>35</v>
      </c>
      <c r="H1787" s="7" t="s">
        <v>74</v>
      </c>
      <c r="I1787" s="18">
        <v>16600000</v>
      </c>
      <c r="J1787" s="10">
        <v>2638.75</v>
      </c>
      <c r="K1787" s="7" t="s">
        <v>16</v>
      </c>
      <c r="L1787" s="7" t="s">
        <v>40</v>
      </c>
      <c r="M1787" s="34">
        <v>46162</v>
      </c>
      <c r="N1787" s="7" t="s">
        <v>2525</v>
      </c>
    </row>
    <row r="1788" spans="1:15" x14ac:dyDescent="0.25">
      <c r="A1788" s="41" t="s">
        <v>2190</v>
      </c>
      <c r="B1788" s="1">
        <v>1</v>
      </c>
      <c r="C1788" s="8">
        <v>46155</v>
      </c>
      <c r="D1788" s="1" t="s">
        <v>2399</v>
      </c>
      <c r="E1788" s="7" t="s">
        <v>2</v>
      </c>
      <c r="F1788" s="1" t="s">
        <v>27</v>
      </c>
      <c r="G1788" s="9" t="s">
        <v>35</v>
      </c>
      <c r="H1788" s="7" t="s">
        <v>74</v>
      </c>
      <c r="I1788" s="18">
        <v>15000000</v>
      </c>
      <c r="J1788" s="10">
        <v>1017.72</v>
      </c>
      <c r="K1788" s="7" t="s">
        <v>12</v>
      </c>
      <c r="L1788" s="7" t="s">
        <v>53</v>
      </c>
      <c r="M1788" s="34">
        <v>46157</v>
      </c>
      <c r="N1788" s="7" t="s">
        <v>41</v>
      </c>
    </row>
    <row r="1789" spans="1:15" x14ac:dyDescent="0.25">
      <c r="A1789" s="41" t="s">
        <v>205</v>
      </c>
      <c r="B1789" s="1">
        <v>1</v>
      </c>
      <c r="C1789" s="8">
        <v>46155</v>
      </c>
      <c r="D1789" s="1" t="s">
        <v>2400</v>
      </c>
      <c r="E1789" s="7" t="s">
        <v>13</v>
      </c>
      <c r="F1789" s="1" t="s">
        <v>27</v>
      </c>
      <c r="G1789" s="9" t="s">
        <v>35</v>
      </c>
      <c r="H1789" s="7">
        <v>37043</v>
      </c>
      <c r="I1789" s="18">
        <v>15001002</v>
      </c>
      <c r="J1789" s="10">
        <v>15273.08</v>
      </c>
      <c r="K1789" s="7" t="s">
        <v>13</v>
      </c>
      <c r="L1789" s="7" t="s">
        <v>54</v>
      </c>
      <c r="M1789" s="34">
        <v>46161</v>
      </c>
      <c r="N1789" s="7" t="s">
        <v>2525</v>
      </c>
    </row>
    <row r="1790" spans="1:15" x14ac:dyDescent="0.25">
      <c r="A1790" s="41" t="s">
        <v>2402</v>
      </c>
      <c r="B1790" s="1">
        <v>3</v>
      </c>
      <c r="C1790" s="8">
        <v>46157</v>
      </c>
      <c r="D1790" s="1" t="s">
        <v>2432</v>
      </c>
      <c r="E1790" s="7" t="s">
        <v>83</v>
      </c>
      <c r="F1790" s="1" t="s">
        <v>27</v>
      </c>
      <c r="G1790" s="9" t="s">
        <v>35</v>
      </c>
      <c r="H1790" s="7" t="s">
        <v>74</v>
      </c>
      <c r="I1790" s="18">
        <v>15000000</v>
      </c>
      <c r="J1790" s="10">
        <v>136747.48000000001</v>
      </c>
      <c r="K1790" s="7" t="s">
        <v>12</v>
      </c>
      <c r="L1790" s="7" t="s">
        <v>53</v>
      </c>
      <c r="M1790" s="34">
        <v>46157</v>
      </c>
      <c r="N1790" s="7" t="s">
        <v>41</v>
      </c>
      <c r="O1790" s="7" t="s">
        <v>2433</v>
      </c>
    </row>
    <row r="1791" spans="1:15" x14ac:dyDescent="0.25">
      <c r="A1791" s="41" t="s">
        <v>2403</v>
      </c>
      <c r="B1791" s="1">
        <v>1</v>
      </c>
      <c r="C1791" s="8">
        <v>46156</v>
      </c>
      <c r="D1791" s="1" t="s">
        <v>2404</v>
      </c>
      <c r="E1791" s="7" t="s">
        <v>2</v>
      </c>
      <c r="F1791" s="1" t="s">
        <v>27</v>
      </c>
      <c r="G1791" s="9" t="s">
        <v>35</v>
      </c>
      <c r="H1791" s="7">
        <v>374</v>
      </c>
      <c r="I1791" s="18">
        <v>25520000</v>
      </c>
      <c r="J1791" s="10">
        <v>10668</v>
      </c>
      <c r="K1791" s="7" t="s">
        <v>12</v>
      </c>
      <c r="L1791" s="7" t="s">
        <v>53</v>
      </c>
      <c r="M1791" s="34">
        <v>46161</v>
      </c>
      <c r="N1791" s="7" t="s">
        <v>91</v>
      </c>
    </row>
    <row r="1792" spans="1:15" x14ac:dyDescent="0.25">
      <c r="A1792" s="41" t="s">
        <v>2405</v>
      </c>
      <c r="B1792" s="1">
        <v>1</v>
      </c>
      <c r="C1792" s="8">
        <v>46156</v>
      </c>
      <c r="D1792" s="1" t="s">
        <v>2406</v>
      </c>
      <c r="E1792" s="7" t="s">
        <v>83</v>
      </c>
      <c r="F1792" s="1" t="s">
        <v>27</v>
      </c>
      <c r="G1792" s="9" t="s">
        <v>35</v>
      </c>
      <c r="H1792" s="7" t="s">
        <v>74</v>
      </c>
      <c r="I1792" s="18">
        <v>15000000</v>
      </c>
      <c r="J1792" s="10">
        <v>67672</v>
      </c>
      <c r="K1792" s="7" t="s">
        <v>83</v>
      </c>
      <c r="L1792" s="7" t="s">
        <v>40</v>
      </c>
      <c r="M1792" s="34">
        <v>46162</v>
      </c>
      <c r="N1792" s="7" t="s">
        <v>41</v>
      </c>
    </row>
    <row r="1793" spans="1:14" x14ac:dyDescent="0.25">
      <c r="A1793" s="41" t="s">
        <v>2407</v>
      </c>
      <c r="B1793" s="1">
        <v>1</v>
      </c>
      <c r="C1793" s="8">
        <v>46156</v>
      </c>
      <c r="D1793" s="1" t="s">
        <v>2408</v>
      </c>
      <c r="E1793" s="7" t="s">
        <v>13</v>
      </c>
      <c r="F1793" s="1" t="s">
        <v>27</v>
      </c>
      <c r="G1793" s="9" t="s">
        <v>35</v>
      </c>
      <c r="H1793" s="7" t="s">
        <v>2409</v>
      </c>
      <c r="I1793" s="18">
        <v>15001002</v>
      </c>
      <c r="J1793" s="10">
        <v>17775.75</v>
      </c>
      <c r="K1793" s="7" t="s">
        <v>13</v>
      </c>
      <c r="L1793" s="7" t="s">
        <v>40</v>
      </c>
      <c r="M1793" s="34">
        <v>46162</v>
      </c>
      <c r="N1793" s="7" t="s">
        <v>41</v>
      </c>
    </row>
    <row r="1794" spans="1:14" x14ac:dyDescent="0.25">
      <c r="A1794" s="41" t="s">
        <v>2410</v>
      </c>
      <c r="B1794" s="1">
        <v>1</v>
      </c>
      <c r="C1794" s="8">
        <v>46156</v>
      </c>
      <c r="D1794" s="1" t="s">
        <v>2411</v>
      </c>
      <c r="E1794" s="7" t="s">
        <v>13</v>
      </c>
      <c r="F1794" s="1" t="s">
        <v>27</v>
      </c>
      <c r="G1794" s="9" t="s">
        <v>35</v>
      </c>
      <c r="H1794" s="7" t="s">
        <v>2412</v>
      </c>
      <c r="I1794" s="18">
        <v>15001002</v>
      </c>
      <c r="J1794" s="10">
        <v>17249.77</v>
      </c>
      <c r="K1794" s="7" t="s">
        <v>13</v>
      </c>
      <c r="L1794" s="7" t="s">
        <v>54</v>
      </c>
      <c r="M1794" s="34">
        <v>46161</v>
      </c>
      <c r="N1794" s="7" t="s">
        <v>91</v>
      </c>
    </row>
    <row r="1795" spans="1:14" x14ac:dyDescent="0.25">
      <c r="A1795" s="41" t="s">
        <v>1112</v>
      </c>
      <c r="B1795" s="1">
        <v>2</v>
      </c>
      <c r="C1795" s="8">
        <v>46160</v>
      </c>
      <c r="D1795" s="1" t="s">
        <v>2413</v>
      </c>
      <c r="E1795" s="7" t="s">
        <v>13</v>
      </c>
      <c r="F1795" s="1" t="s">
        <v>27</v>
      </c>
      <c r="G1795" s="9" t="s">
        <v>35</v>
      </c>
      <c r="H1795" s="7">
        <v>2866</v>
      </c>
      <c r="I1795" s="18">
        <v>16210000</v>
      </c>
      <c r="J1795" s="10">
        <v>41969.45</v>
      </c>
      <c r="K1795" s="7" t="s">
        <v>13</v>
      </c>
      <c r="L1795" s="7" t="s">
        <v>54</v>
      </c>
      <c r="M1795" s="34">
        <v>46160</v>
      </c>
      <c r="N1795" s="7" t="s">
        <v>41</v>
      </c>
    </row>
    <row r="1796" spans="1:14" x14ac:dyDescent="0.25">
      <c r="A1796" s="41" t="s">
        <v>1078</v>
      </c>
      <c r="B1796" s="1">
        <v>1</v>
      </c>
      <c r="C1796" s="8">
        <v>46156</v>
      </c>
      <c r="D1796" s="1" t="s">
        <v>2414</v>
      </c>
      <c r="E1796" s="7" t="s">
        <v>2</v>
      </c>
      <c r="F1796" s="1" t="s">
        <v>27</v>
      </c>
      <c r="G1796" s="9" t="s">
        <v>35</v>
      </c>
      <c r="H1796" s="7">
        <v>80</v>
      </c>
      <c r="I1796" s="18">
        <v>15001001</v>
      </c>
      <c r="J1796" s="10">
        <v>43117.599999999999</v>
      </c>
      <c r="K1796" s="7" t="s">
        <v>12</v>
      </c>
      <c r="L1796" s="7" t="s">
        <v>53</v>
      </c>
      <c r="M1796" s="34">
        <v>46161</v>
      </c>
      <c r="N1796" s="7" t="s">
        <v>91</v>
      </c>
    </row>
    <row r="1797" spans="1:14" x14ac:dyDescent="0.25">
      <c r="A1797" s="41" t="s">
        <v>2415</v>
      </c>
      <c r="B1797" s="1">
        <v>1</v>
      </c>
      <c r="C1797" s="8">
        <v>46156</v>
      </c>
      <c r="D1797" s="1" t="s">
        <v>2416</v>
      </c>
      <c r="E1797" s="7" t="s">
        <v>14</v>
      </c>
      <c r="F1797" s="1" t="s">
        <v>27</v>
      </c>
      <c r="G1797" s="9" t="s">
        <v>35</v>
      </c>
      <c r="H1797" s="7" t="s">
        <v>74</v>
      </c>
      <c r="I1797" s="18" t="s">
        <v>0</v>
      </c>
      <c r="J1797" s="10" t="s">
        <v>61</v>
      </c>
      <c r="K1797" s="7" t="s">
        <v>14</v>
      </c>
      <c r="L1797" s="7" t="s">
        <v>40</v>
      </c>
      <c r="M1797" s="34">
        <v>46160</v>
      </c>
      <c r="N1797" s="7" t="s">
        <v>41</v>
      </c>
    </row>
    <row r="1798" spans="1:14" x14ac:dyDescent="0.25">
      <c r="A1798" s="41" t="s">
        <v>1761</v>
      </c>
      <c r="B1798" s="1">
        <v>1</v>
      </c>
      <c r="C1798" s="8">
        <v>46156</v>
      </c>
      <c r="D1798" s="1" t="s">
        <v>2417</v>
      </c>
      <c r="E1798" s="7" t="s">
        <v>13</v>
      </c>
      <c r="F1798" s="1" t="s">
        <v>27</v>
      </c>
      <c r="G1798" s="9" t="s">
        <v>35</v>
      </c>
      <c r="H1798" s="7">
        <v>426</v>
      </c>
      <c r="I1798" s="18">
        <v>15001002</v>
      </c>
      <c r="J1798" s="10">
        <v>10450.799999999999</v>
      </c>
      <c r="K1798" s="7" t="s">
        <v>13</v>
      </c>
      <c r="L1798" s="7" t="s">
        <v>40</v>
      </c>
      <c r="M1798" s="34">
        <v>46162</v>
      </c>
      <c r="N1798" s="7" t="s">
        <v>41</v>
      </c>
    </row>
    <row r="1799" spans="1:14" x14ac:dyDescent="0.25">
      <c r="A1799" s="41" t="s">
        <v>886</v>
      </c>
      <c r="B1799" s="1">
        <v>1</v>
      </c>
      <c r="C1799" s="8">
        <v>46157</v>
      </c>
      <c r="D1799" s="1" t="s">
        <v>2420</v>
      </c>
      <c r="E1799" s="7" t="s">
        <v>13</v>
      </c>
      <c r="F1799" s="1" t="s">
        <v>27</v>
      </c>
      <c r="G1799" s="9" t="s">
        <v>35</v>
      </c>
      <c r="H1799" s="7">
        <v>33261</v>
      </c>
      <c r="I1799" s="18">
        <v>15001002</v>
      </c>
      <c r="J1799" s="10">
        <v>1272</v>
      </c>
      <c r="K1799" s="7" t="s">
        <v>13</v>
      </c>
      <c r="L1799" s="7" t="s">
        <v>54</v>
      </c>
      <c r="M1799" s="34">
        <v>46161</v>
      </c>
      <c r="N1799" s="7" t="s">
        <v>46</v>
      </c>
    </row>
    <row r="1800" spans="1:14" x14ac:dyDescent="0.25">
      <c r="A1800" s="41" t="s">
        <v>886</v>
      </c>
      <c r="B1800" s="1">
        <v>1</v>
      </c>
      <c r="C1800" s="8">
        <v>46157</v>
      </c>
      <c r="D1800" s="1" t="s">
        <v>2421</v>
      </c>
      <c r="E1800" s="7" t="s">
        <v>13</v>
      </c>
      <c r="F1800" s="1" t="s">
        <v>27</v>
      </c>
      <c r="G1800" s="9" t="s">
        <v>35</v>
      </c>
      <c r="H1800" s="7" t="s">
        <v>2422</v>
      </c>
      <c r="I1800" s="18">
        <v>15001002</v>
      </c>
      <c r="J1800" s="10">
        <v>402</v>
      </c>
      <c r="K1800" s="7" t="s">
        <v>13</v>
      </c>
      <c r="L1800" s="7" t="s">
        <v>54</v>
      </c>
      <c r="M1800" s="34">
        <v>46161</v>
      </c>
      <c r="N1800" s="7" t="s">
        <v>46</v>
      </c>
    </row>
    <row r="1801" spans="1:14" x14ac:dyDescent="0.25">
      <c r="A1801" s="41" t="s">
        <v>2423</v>
      </c>
      <c r="B1801" s="1">
        <v>1</v>
      </c>
      <c r="C1801" s="8">
        <v>46157</v>
      </c>
      <c r="D1801" s="1" t="s">
        <v>2424</v>
      </c>
      <c r="E1801" s="7" t="s">
        <v>13</v>
      </c>
      <c r="F1801" s="1" t="s">
        <v>27</v>
      </c>
      <c r="G1801" s="9" t="s">
        <v>35</v>
      </c>
      <c r="H1801" s="7">
        <v>333</v>
      </c>
      <c r="I1801" s="18">
        <v>16000000</v>
      </c>
      <c r="J1801" s="10">
        <v>1680</v>
      </c>
      <c r="K1801" s="7" t="s">
        <v>13</v>
      </c>
      <c r="L1801" s="7" t="s">
        <v>54</v>
      </c>
      <c r="M1801" s="34">
        <v>46161</v>
      </c>
      <c r="N1801" s="7" t="s">
        <v>46</v>
      </c>
    </row>
    <row r="1802" spans="1:14" x14ac:dyDescent="0.25">
      <c r="A1802" s="41" t="s">
        <v>265</v>
      </c>
      <c r="B1802" s="1">
        <v>1</v>
      </c>
      <c r="C1802" s="8">
        <v>46157</v>
      </c>
      <c r="D1802" s="1" t="s">
        <v>2425</v>
      </c>
      <c r="E1802" s="7" t="s">
        <v>13</v>
      </c>
      <c r="F1802" s="1" t="s">
        <v>27</v>
      </c>
      <c r="G1802" s="9" t="s">
        <v>35</v>
      </c>
      <c r="H1802" s="7">
        <v>182082</v>
      </c>
      <c r="I1802" s="18">
        <v>16000000</v>
      </c>
      <c r="J1802" s="10">
        <v>3000</v>
      </c>
      <c r="K1802" s="7" t="s">
        <v>13</v>
      </c>
      <c r="L1802" s="7" t="s">
        <v>54</v>
      </c>
      <c r="M1802" s="34">
        <v>46161</v>
      </c>
      <c r="N1802" s="7" t="s">
        <v>91</v>
      </c>
    </row>
    <row r="1803" spans="1:14" x14ac:dyDescent="0.25">
      <c r="A1803" s="41" t="s">
        <v>236</v>
      </c>
      <c r="B1803" s="1">
        <v>1</v>
      </c>
      <c r="C1803" s="8">
        <v>46157</v>
      </c>
      <c r="D1803" s="1" t="s">
        <v>2426</v>
      </c>
      <c r="E1803" s="7" t="s">
        <v>13</v>
      </c>
      <c r="F1803" s="1" t="s">
        <v>27</v>
      </c>
      <c r="G1803" s="9" t="s">
        <v>35</v>
      </c>
      <c r="H1803" s="7" t="s">
        <v>2427</v>
      </c>
      <c r="I1803" s="18">
        <v>15001002</v>
      </c>
      <c r="J1803" s="10">
        <v>12139</v>
      </c>
      <c r="K1803" s="7" t="s">
        <v>13</v>
      </c>
      <c r="L1803" s="7" t="s">
        <v>54</v>
      </c>
      <c r="M1803" s="34">
        <v>46162</v>
      </c>
      <c r="N1803" s="7" t="s">
        <v>41</v>
      </c>
    </row>
    <row r="1804" spans="1:14" x14ac:dyDescent="0.25">
      <c r="A1804" s="41" t="s">
        <v>375</v>
      </c>
      <c r="B1804" s="1">
        <v>1</v>
      </c>
      <c r="C1804" s="8">
        <v>46157</v>
      </c>
      <c r="D1804" s="1" t="s">
        <v>2428</v>
      </c>
      <c r="E1804" s="7" t="s">
        <v>13</v>
      </c>
      <c r="F1804" s="1" t="s">
        <v>27</v>
      </c>
      <c r="G1804" s="9" t="s">
        <v>35</v>
      </c>
      <c r="H1804" s="7">
        <v>1874626</v>
      </c>
      <c r="I1804" s="18">
        <v>16210000</v>
      </c>
      <c r="J1804" s="10">
        <v>16800</v>
      </c>
      <c r="K1804" s="7" t="s">
        <v>13</v>
      </c>
      <c r="L1804" s="7" t="s">
        <v>40</v>
      </c>
      <c r="M1804" s="34">
        <v>46161</v>
      </c>
      <c r="N1804" s="7" t="s">
        <v>91</v>
      </c>
    </row>
    <row r="1805" spans="1:14" x14ac:dyDescent="0.25">
      <c r="A1805" s="41" t="s">
        <v>2429</v>
      </c>
      <c r="B1805" s="1">
        <v>1</v>
      </c>
      <c r="C1805" s="8">
        <v>46157</v>
      </c>
      <c r="D1805" s="1" t="s">
        <v>2430</v>
      </c>
      <c r="E1805" s="7" t="s">
        <v>13</v>
      </c>
      <c r="F1805" s="1" t="s">
        <v>27</v>
      </c>
      <c r="G1805" s="9" t="s">
        <v>35</v>
      </c>
      <c r="H1805" s="7" t="s">
        <v>2431</v>
      </c>
      <c r="I1805" s="18">
        <v>16000000</v>
      </c>
      <c r="J1805" s="10">
        <v>4842.97</v>
      </c>
      <c r="K1805" s="7" t="s">
        <v>13</v>
      </c>
      <c r="L1805" s="7" t="s">
        <v>54</v>
      </c>
      <c r="M1805" s="34">
        <v>46161</v>
      </c>
      <c r="N1805" s="7" t="s">
        <v>46</v>
      </c>
    </row>
    <row r="1806" spans="1:14" x14ac:dyDescent="0.25">
      <c r="A1806" s="41" t="s">
        <v>1516</v>
      </c>
      <c r="B1806" s="1">
        <v>1</v>
      </c>
      <c r="C1806" s="8">
        <v>46157</v>
      </c>
      <c r="D1806" s="1" t="s">
        <v>2434</v>
      </c>
      <c r="E1806" s="7" t="s">
        <v>16</v>
      </c>
      <c r="F1806" s="1" t="s">
        <v>27</v>
      </c>
      <c r="G1806" s="9" t="s">
        <v>63</v>
      </c>
      <c r="H1806" s="7" t="s">
        <v>74</v>
      </c>
      <c r="I1806" s="18">
        <v>15000000</v>
      </c>
      <c r="J1806" s="10">
        <v>11960</v>
      </c>
      <c r="K1806" s="7" t="s">
        <v>17</v>
      </c>
      <c r="L1806" s="7" t="s">
        <v>40</v>
      </c>
      <c r="M1806" s="34">
        <v>46157</v>
      </c>
      <c r="N1806" s="7" t="s">
        <v>46</v>
      </c>
    </row>
    <row r="1807" spans="1:14" x14ac:dyDescent="0.25">
      <c r="A1807" s="41" t="s">
        <v>2231</v>
      </c>
      <c r="B1807" s="1">
        <v>1</v>
      </c>
      <c r="C1807" s="8">
        <v>46157</v>
      </c>
      <c r="D1807" s="1" t="s">
        <v>2435</v>
      </c>
      <c r="E1807" s="7" t="s">
        <v>13</v>
      </c>
      <c r="F1807" s="1" t="s">
        <v>27</v>
      </c>
      <c r="G1807" s="9" t="s">
        <v>63</v>
      </c>
      <c r="H1807" s="7" t="s">
        <v>74</v>
      </c>
      <c r="I1807" s="18" t="s">
        <v>0</v>
      </c>
      <c r="J1807" s="10">
        <v>347055.2</v>
      </c>
      <c r="K1807" s="7" t="s">
        <v>17</v>
      </c>
      <c r="L1807" s="7" t="s">
        <v>40</v>
      </c>
      <c r="M1807" s="34">
        <v>46160</v>
      </c>
      <c r="N1807" s="7" t="s">
        <v>46</v>
      </c>
    </row>
    <row r="1808" spans="1:14" x14ac:dyDescent="0.25">
      <c r="A1808" s="41" t="s">
        <v>577</v>
      </c>
      <c r="B1808" s="1">
        <v>1</v>
      </c>
      <c r="C1808" s="8">
        <v>46157</v>
      </c>
      <c r="D1808" s="1" t="s">
        <v>2436</v>
      </c>
      <c r="E1808" s="7" t="s">
        <v>14</v>
      </c>
      <c r="F1808" s="1" t="s">
        <v>27</v>
      </c>
      <c r="G1808" s="9" t="s">
        <v>35</v>
      </c>
      <c r="H1808" s="7">
        <v>43506</v>
      </c>
      <c r="I1808" s="18">
        <v>15000000</v>
      </c>
      <c r="J1808" s="10">
        <v>308</v>
      </c>
      <c r="K1808" s="7" t="s">
        <v>12</v>
      </c>
      <c r="L1808" s="7" t="s">
        <v>53</v>
      </c>
      <c r="M1808" s="34">
        <v>46161</v>
      </c>
      <c r="N1808" s="7" t="s">
        <v>2525</v>
      </c>
    </row>
    <row r="1809" spans="1:14" x14ac:dyDescent="0.25">
      <c r="A1809" s="41" t="s">
        <v>457</v>
      </c>
      <c r="B1809" s="1">
        <v>1</v>
      </c>
      <c r="C1809" s="8">
        <v>46157</v>
      </c>
      <c r="D1809" s="1" t="s">
        <v>2437</v>
      </c>
      <c r="E1809" s="7" t="s">
        <v>16</v>
      </c>
      <c r="F1809" s="1" t="s">
        <v>27</v>
      </c>
      <c r="G1809" s="9" t="s">
        <v>35</v>
      </c>
      <c r="H1809" s="7" t="s">
        <v>2438</v>
      </c>
      <c r="I1809" s="18">
        <v>15000000</v>
      </c>
      <c r="J1809" s="10">
        <v>23848.57</v>
      </c>
      <c r="K1809" s="7" t="s">
        <v>16</v>
      </c>
      <c r="L1809" s="7" t="s">
        <v>40</v>
      </c>
      <c r="M1809" s="34">
        <v>46162</v>
      </c>
      <c r="N1809" s="7" t="s">
        <v>46</v>
      </c>
    </row>
    <row r="1810" spans="1:14" x14ac:dyDescent="0.25">
      <c r="A1810" s="41" t="s">
        <v>1413</v>
      </c>
      <c r="B1810" s="1">
        <v>1</v>
      </c>
      <c r="C1810" s="8">
        <v>46157</v>
      </c>
      <c r="D1810" s="1" t="s">
        <v>2439</v>
      </c>
      <c r="E1810" s="7" t="s">
        <v>11</v>
      </c>
      <c r="F1810" s="1" t="s">
        <v>27</v>
      </c>
      <c r="G1810" s="9" t="s">
        <v>35</v>
      </c>
      <c r="H1810" s="7">
        <v>2661</v>
      </c>
      <c r="I1810" s="18">
        <v>15000000</v>
      </c>
      <c r="J1810" s="10">
        <v>4000</v>
      </c>
      <c r="K1810" s="7" t="s">
        <v>12</v>
      </c>
      <c r="L1810" s="7" t="s">
        <v>53</v>
      </c>
      <c r="M1810" s="34">
        <v>46161</v>
      </c>
      <c r="N1810" s="7" t="s">
        <v>46</v>
      </c>
    </row>
    <row r="1811" spans="1:14" x14ac:dyDescent="0.25">
      <c r="A1811" s="41" t="s">
        <v>381</v>
      </c>
      <c r="B1811" s="1">
        <v>1</v>
      </c>
      <c r="C1811" s="8">
        <v>46157</v>
      </c>
      <c r="D1811" s="1" t="s">
        <v>2440</v>
      </c>
      <c r="E1811" s="7" t="s">
        <v>2</v>
      </c>
      <c r="F1811" s="1" t="s">
        <v>27</v>
      </c>
      <c r="G1811" s="9" t="s">
        <v>35</v>
      </c>
      <c r="H1811" s="7">
        <v>21216</v>
      </c>
      <c r="I1811" s="18">
        <v>25500000</v>
      </c>
      <c r="J1811" s="10">
        <v>135837</v>
      </c>
      <c r="K1811" s="7" t="s">
        <v>2</v>
      </c>
      <c r="L1811" s="7" t="s">
        <v>40</v>
      </c>
      <c r="M1811" s="34">
        <v>46161</v>
      </c>
      <c r="N1811" s="7" t="s">
        <v>41</v>
      </c>
    </row>
    <row r="1812" spans="1:14" x14ac:dyDescent="0.25">
      <c r="A1812" s="41" t="s">
        <v>381</v>
      </c>
      <c r="B1812" s="1">
        <v>1</v>
      </c>
      <c r="C1812" s="8">
        <v>46157</v>
      </c>
      <c r="D1812" s="1" t="s">
        <v>2441</v>
      </c>
      <c r="E1812" s="7" t="s">
        <v>2</v>
      </c>
      <c r="F1812" s="1" t="s">
        <v>27</v>
      </c>
      <c r="G1812" s="9" t="s">
        <v>35</v>
      </c>
      <c r="H1812" s="7">
        <v>21207</v>
      </c>
      <c r="I1812" s="18">
        <v>15500000</v>
      </c>
      <c r="J1812" s="10">
        <v>725094.36</v>
      </c>
      <c r="K1812" s="7" t="s">
        <v>2</v>
      </c>
      <c r="L1812" s="7" t="s">
        <v>40</v>
      </c>
      <c r="M1812" s="34">
        <v>46161</v>
      </c>
      <c r="N1812" s="7" t="s">
        <v>41</v>
      </c>
    </row>
    <row r="1813" spans="1:14" x14ac:dyDescent="0.25">
      <c r="A1813" s="41" t="s">
        <v>2371</v>
      </c>
      <c r="B1813" s="1">
        <v>1</v>
      </c>
      <c r="C1813" s="8">
        <v>46157</v>
      </c>
      <c r="D1813" s="1" t="s">
        <v>2442</v>
      </c>
      <c r="E1813" s="7" t="s">
        <v>13</v>
      </c>
      <c r="F1813" s="1" t="s">
        <v>27</v>
      </c>
      <c r="G1813" s="9" t="s">
        <v>35</v>
      </c>
      <c r="H1813" s="7" t="s">
        <v>2443</v>
      </c>
      <c r="I1813" s="18">
        <v>15001002</v>
      </c>
      <c r="J1813" s="10">
        <v>4300</v>
      </c>
      <c r="K1813" s="7" t="s">
        <v>58</v>
      </c>
      <c r="L1813" s="7" t="s">
        <v>59</v>
      </c>
    </row>
    <row r="1814" spans="1:14" x14ac:dyDescent="0.25">
      <c r="A1814" s="41" t="s">
        <v>271</v>
      </c>
      <c r="B1814" s="1">
        <v>1</v>
      </c>
      <c r="C1814" s="8">
        <v>46157</v>
      </c>
      <c r="D1814" s="1" t="s">
        <v>2444</v>
      </c>
      <c r="E1814" s="7" t="s">
        <v>13</v>
      </c>
      <c r="F1814" s="1" t="s">
        <v>27</v>
      </c>
      <c r="G1814" s="9" t="s">
        <v>35</v>
      </c>
      <c r="H1814" s="7">
        <v>1520613</v>
      </c>
      <c r="I1814" s="18">
        <v>15001002</v>
      </c>
      <c r="J1814" s="10">
        <v>4005</v>
      </c>
      <c r="K1814" s="7" t="s">
        <v>13</v>
      </c>
      <c r="L1814" s="7" t="s">
        <v>54</v>
      </c>
      <c r="M1814" s="34">
        <v>46161</v>
      </c>
      <c r="N1814" s="7" t="s">
        <v>91</v>
      </c>
    </row>
    <row r="1815" spans="1:14" x14ac:dyDescent="0.25">
      <c r="A1815" s="41" t="s">
        <v>271</v>
      </c>
      <c r="B1815" s="1">
        <v>1</v>
      </c>
      <c r="C1815" s="8">
        <v>46157</v>
      </c>
      <c r="D1815" s="1" t="s">
        <v>2445</v>
      </c>
      <c r="E1815" s="7" t="s">
        <v>13</v>
      </c>
      <c r="F1815" s="1" t="s">
        <v>27</v>
      </c>
      <c r="G1815" s="9" t="s">
        <v>35</v>
      </c>
      <c r="H1815" s="7">
        <v>1520612</v>
      </c>
      <c r="I1815" s="18">
        <v>15001002</v>
      </c>
      <c r="J1815" s="10">
        <v>4400</v>
      </c>
      <c r="K1815" s="7" t="s">
        <v>13</v>
      </c>
      <c r="L1815" s="7" t="s">
        <v>54</v>
      </c>
      <c r="M1815" s="34">
        <v>46161</v>
      </c>
      <c r="N1815" s="7" t="s">
        <v>91</v>
      </c>
    </row>
    <row r="1816" spans="1:14" x14ac:dyDescent="0.25">
      <c r="A1816" s="41" t="s">
        <v>271</v>
      </c>
      <c r="B1816" s="1">
        <v>1</v>
      </c>
      <c r="C1816" s="8">
        <v>46157</v>
      </c>
      <c r="D1816" s="1" t="s">
        <v>2446</v>
      </c>
      <c r="E1816" s="7" t="s">
        <v>13</v>
      </c>
      <c r="F1816" s="1" t="s">
        <v>27</v>
      </c>
      <c r="G1816" s="9" t="s">
        <v>35</v>
      </c>
      <c r="H1816" s="7" t="s">
        <v>2447</v>
      </c>
      <c r="I1816" s="18">
        <v>16000000</v>
      </c>
      <c r="J1816" s="10">
        <v>2898</v>
      </c>
      <c r="K1816" s="7" t="s">
        <v>13</v>
      </c>
      <c r="L1816" s="7" t="s">
        <v>54</v>
      </c>
      <c r="M1816" s="34">
        <v>46161</v>
      </c>
      <c r="N1816" s="7" t="s">
        <v>91</v>
      </c>
    </row>
    <row r="1817" spans="1:14" x14ac:dyDescent="0.25">
      <c r="A1817" s="41" t="s">
        <v>79</v>
      </c>
      <c r="B1817" s="1">
        <v>1</v>
      </c>
      <c r="C1817" s="8">
        <v>46160</v>
      </c>
      <c r="D1817" s="1" t="s">
        <v>2448</v>
      </c>
      <c r="E1817" s="7" t="s">
        <v>13</v>
      </c>
      <c r="F1817" s="1" t="s">
        <v>27</v>
      </c>
      <c r="G1817" s="9" t="s">
        <v>35</v>
      </c>
      <c r="H1817" s="7">
        <v>120</v>
      </c>
      <c r="I1817" s="18">
        <v>15001002</v>
      </c>
      <c r="J1817" s="10">
        <v>5960</v>
      </c>
      <c r="K1817" s="7" t="s">
        <v>58</v>
      </c>
      <c r="L1817" s="7" t="s">
        <v>59</v>
      </c>
    </row>
    <row r="1818" spans="1:14" x14ac:dyDescent="0.25">
      <c r="A1818" s="41" t="s">
        <v>2449</v>
      </c>
      <c r="B1818" s="1">
        <v>1</v>
      </c>
      <c r="C1818" s="8">
        <v>46160</v>
      </c>
      <c r="D1818" s="1" t="s">
        <v>2450</v>
      </c>
      <c r="E1818" s="7" t="s">
        <v>13</v>
      </c>
      <c r="F1818" s="1" t="s">
        <v>27</v>
      </c>
      <c r="G1818" s="9" t="s">
        <v>35</v>
      </c>
      <c r="H1818" s="7">
        <v>600</v>
      </c>
      <c r="I1818" s="18">
        <v>15001002</v>
      </c>
      <c r="J1818" s="10">
        <v>28857.15</v>
      </c>
      <c r="K1818" s="7" t="s">
        <v>13</v>
      </c>
      <c r="L1818" s="7" t="s">
        <v>54</v>
      </c>
      <c r="M1818" s="34">
        <v>46162</v>
      </c>
      <c r="N1818" s="7" t="s">
        <v>91</v>
      </c>
    </row>
    <row r="1819" spans="1:14" x14ac:dyDescent="0.25">
      <c r="A1819" s="41" t="s">
        <v>2449</v>
      </c>
      <c r="B1819" s="1">
        <v>1</v>
      </c>
      <c r="C1819" s="8">
        <v>46160</v>
      </c>
      <c r="D1819" s="1" t="s">
        <v>2451</v>
      </c>
      <c r="E1819" s="7" t="s">
        <v>13</v>
      </c>
      <c r="F1819" s="1" t="s">
        <v>27</v>
      </c>
      <c r="G1819" s="9" t="s">
        <v>35</v>
      </c>
      <c r="H1819" s="7">
        <v>603</v>
      </c>
      <c r="I1819" s="18">
        <v>26003130</v>
      </c>
      <c r="J1819" s="10">
        <v>141.1</v>
      </c>
      <c r="K1819" s="7" t="s">
        <v>13</v>
      </c>
      <c r="L1819" s="7" t="s">
        <v>54</v>
      </c>
      <c r="M1819" s="34">
        <v>46162</v>
      </c>
      <c r="N1819" s="7" t="s">
        <v>91</v>
      </c>
    </row>
    <row r="1820" spans="1:14" x14ac:dyDescent="0.25">
      <c r="A1820" s="41" t="s">
        <v>2449</v>
      </c>
      <c r="B1820" s="1">
        <v>1</v>
      </c>
      <c r="C1820" s="8">
        <v>46160</v>
      </c>
      <c r="D1820" s="1" t="s">
        <v>2452</v>
      </c>
      <c r="E1820" s="7" t="s">
        <v>13</v>
      </c>
      <c r="F1820" s="1" t="s">
        <v>27</v>
      </c>
      <c r="G1820" s="9" t="s">
        <v>35</v>
      </c>
      <c r="H1820" s="7">
        <v>597</v>
      </c>
      <c r="I1820" s="18">
        <v>16000000</v>
      </c>
      <c r="J1820" s="10">
        <v>15950.24</v>
      </c>
      <c r="K1820" s="7" t="s">
        <v>13</v>
      </c>
      <c r="L1820" s="7" t="s">
        <v>54</v>
      </c>
      <c r="M1820" s="34">
        <v>46162</v>
      </c>
      <c r="N1820" s="7" t="s">
        <v>91</v>
      </c>
    </row>
    <row r="1821" spans="1:14" x14ac:dyDescent="0.25">
      <c r="A1821" s="41" t="s">
        <v>2449</v>
      </c>
      <c r="B1821" s="1">
        <v>1</v>
      </c>
      <c r="C1821" s="8">
        <v>46160</v>
      </c>
      <c r="D1821" s="1" t="s">
        <v>2453</v>
      </c>
      <c r="E1821" s="7" t="s">
        <v>13</v>
      </c>
      <c r="F1821" s="1" t="s">
        <v>27</v>
      </c>
      <c r="G1821" s="9" t="s">
        <v>35</v>
      </c>
      <c r="H1821" s="7">
        <v>602</v>
      </c>
      <c r="I1821" s="18">
        <v>26000000</v>
      </c>
      <c r="J1821" s="10">
        <v>1643.25</v>
      </c>
      <c r="K1821" s="7" t="s">
        <v>13</v>
      </c>
      <c r="L1821" s="7" t="s">
        <v>54</v>
      </c>
      <c r="M1821" s="34">
        <v>46162</v>
      </c>
      <c r="N1821" s="7" t="s">
        <v>91</v>
      </c>
    </row>
    <row r="1822" spans="1:14" x14ac:dyDescent="0.25">
      <c r="A1822" s="41" t="s">
        <v>390</v>
      </c>
      <c r="B1822" s="1">
        <v>1</v>
      </c>
      <c r="C1822" s="8">
        <v>46160</v>
      </c>
      <c r="D1822" s="1" t="s">
        <v>2454</v>
      </c>
      <c r="E1822" s="7" t="s">
        <v>13</v>
      </c>
      <c r="F1822" s="1" t="s">
        <v>27</v>
      </c>
      <c r="G1822" s="9" t="s">
        <v>35</v>
      </c>
      <c r="H1822" s="7">
        <v>43369</v>
      </c>
      <c r="I1822" s="18">
        <v>16210000</v>
      </c>
      <c r="J1822" s="10">
        <v>196</v>
      </c>
      <c r="K1822" s="7" t="s">
        <v>58</v>
      </c>
      <c r="L1822" s="7" t="s">
        <v>59</v>
      </c>
    </row>
    <row r="1823" spans="1:14" x14ac:dyDescent="0.25">
      <c r="A1823" s="41" t="s">
        <v>2449</v>
      </c>
      <c r="B1823" s="1">
        <v>1</v>
      </c>
      <c r="C1823" s="8">
        <v>46160</v>
      </c>
      <c r="D1823" s="1" t="s">
        <v>2455</v>
      </c>
      <c r="E1823" s="7" t="s">
        <v>13</v>
      </c>
      <c r="F1823" s="1" t="s">
        <v>27</v>
      </c>
      <c r="G1823" s="9" t="s">
        <v>35</v>
      </c>
      <c r="H1823" s="7">
        <v>601</v>
      </c>
      <c r="I1823" s="18">
        <v>15001002</v>
      </c>
      <c r="J1823" s="10">
        <v>15664.02</v>
      </c>
      <c r="K1823" s="7" t="s">
        <v>58</v>
      </c>
      <c r="L1823" s="7" t="s">
        <v>59</v>
      </c>
    </row>
    <row r="1824" spans="1:14" x14ac:dyDescent="0.25">
      <c r="A1824" s="41" t="s">
        <v>193</v>
      </c>
      <c r="B1824" s="1">
        <v>1</v>
      </c>
      <c r="C1824" s="8">
        <v>46160</v>
      </c>
      <c r="D1824" s="1" t="s">
        <v>2456</v>
      </c>
      <c r="E1824" s="7" t="s">
        <v>13</v>
      </c>
      <c r="F1824" s="1" t="s">
        <v>27</v>
      </c>
      <c r="G1824" s="9" t="s">
        <v>35</v>
      </c>
      <c r="H1824" s="7" t="s">
        <v>74</v>
      </c>
      <c r="I1824" s="18">
        <v>16000000</v>
      </c>
      <c r="J1824" s="10">
        <v>1520</v>
      </c>
      <c r="K1824" s="7" t="s">
        <v>58</v>
      </c>
      <c r="L1824" s="7" t="s">
        <v>59</v>
      </c>
    </row>
    <row r="1825" spans="1:14" x14ac:dyDescent="0.25">
      <c r="A1825" s="41" t="s">
        <v>536</v>
      </c>
      <c r="B1825" s="1">
        <v>1</v>
      </c>
      <c r="C1825" s="8">
        <v>46160</v>
      </c>
      <c r="D1825" s="1" t="s">
        <v>2457</v>
      </c>
      <c r="E1825" s="7" t="s">
        <v>13</v>
      </c>
      <c r="F1825" s="1" t="s">
        <v>27</v>
      </c>
      <c r="G1825" s="9" t="s">
        <v>35</v>
      </c>
      <c r="H1825" s="7">
        <v>1287</v>
      </c>
      <c r="I1825" s="18">
        <v>15001002</v>
      </c>
      <c r="J1825" s="10">
        <v>3150</v>
      </c>
      <c r="K1825" s="7" t="s">
        <v>58</v>
      </c>
      <c r="L1825" s="7" t="s">
        <v>59</v>
      </c>
    </row>
    <row r="1826" spans="1:14" x14ac:dyDescent="0.25">
      <c r="A1826" s="41" t="s">
        <v>513</v>
      </c>
      <c r="B1826" s="1">
        <v>1</v>
      </c>
      <c r="C1826" s="8">
        <v>46160</v>
      </c>
      <c r="D1826" s="1" t="s">
        <v>2458</v>
      </c>
      <c r="E1826" s="7" t="s">
        <v>12</v>
      </c>
      <c r="F1826" s="1" t="s">
        <v>27</v>
      </c>
      <c r="G1826" s="9" t="s">
        <v>35</v>
      </c>
      <c r="H1826" s="7">
        <v>5835</v>
      </c>
      <c r="I1826" s="18">
        <v>15000000</v>
      </c>
      <c r="J1826" s="10">
        <v>7800</v>
      </c>
      <c r="K1826" s="7" t="s">
        <v>58</v>
      </c>
      <c r="L1826" s="7" t="s">
        <v>59</v>
      </c>
    </row>
    <row r="1827" spans="1:14" x14ac:dyDescent="0.25">
      <c r="A1827" s="41" t="s">
        <v>2449</v>
      </c>
      <c r="B1827" s="1">
        <v>1</v>
      </c>
      <c r="C1827" s="8">
        <v>46160</v>
      </c>
      <c r="D1827" s="1" t="s">
        <v>2459</v>
      </c>
      <c r="E1827" s="7" t="s">
        <v>13</v>
      </c>
      <c r="F1827" s="1" t="s">
        <v>27</v>
      </c>
      <c r="G1827" s="9" t="s">
        <v>35</v>
      </c>
      <c r="H1827" s="7">
        <v>604</v>
      </c>
      <c r="I1827" s="18">
        <v>16000000</v>
      </c>
      <c r="J1827" s="10">
        <v>31.3</v>
      </c>
      <c r="K1827" s="7" t="s">
        <v>58</v>
      </c>
      <c r="L1827" s="7" t="s">
        <v>59</v>
      </c>
    </row>
    <row r="1828" spans="1:14" x14ac:dyDescent="0.25">
      <c r="A1828" s="41" t="s">
        <v>2449</v>
      </c>
      <c r="B1828" s="1">
        <v>1</v>
      </c>
      <c r="C1828" s="8">
        <v>46160</v>
      </c>
      <c r="D1828" s="1" t="s">
        <v>2460</v>
      </c>
      <c r="E1828" s="7" t="s">
        <v>13</v>
      </c>
      <c r="F1828" s="1" t="s">
        <v>27</v>
      </c>
      <c r="G1828" s="9" t="s">
        <v>35</v>
      </c>
      <c r="H1828" s="7">
        <v>599</v>
      </c>
      <c r="I1828" s="18">
        <v>16000000</v>
      </c>
      <c r="J1828" s="10">
        <v>3987.6</v>
      </c>
      <c r="K1828" s="7" t="s">
        <v>58</v>
      </c>
      <c r="L1828" s="7" t="s">
        <v>59</v>
      </c>
    </row>
    <row r="1829" spans="1:14" x14ac:dyDescent="0.25">
      <c r="A1829" s="41" t="s">
        <v>1021</v>
      </c>
      <c r="B1829" s="1">
        <v>1</v>
      </c>
      <c r="C1829" s="8">
        <v>46160</v>
      </c>
      <c r="D1829" s="1" t="s">
        <v>2461</v>
      </c>
      <c r="E1829" s="7" t="s">
        <v>13</v>
      </c>
      <c r="F1829" s="1" t="s">
        <v>27</v>
      </c>
      <c r="G1829" s="9" t="s">
        <v>35</v>
      </c>
      <c r="H1829" s="7">
        <v>2087</v>
      </c>
      <c r="I1829" s="18">
        <v>26003130</v>
      </c>
      <c r="J1829" s="10">
        <v>17455</v>
      </c>
      <c r="K1829" s="7" t="s">
        <v>58</v>
      </c>
      <c r="L1829" s="7" t="s">
        <v>59</v>
      </c>
    </row>
    <row r="1830" spans="1:14" x14ac:dyDescent="0.25">
      <c r="A1830" s="41" t="s">
        <v>315</v>
      </c>
      <c r="B1830" s="1">
        <v>1</v>
      </c>
      <c r="C1830" s="8">
        <v>46160</v>
      </c>
      <c r="D1830" s="1" t="s">
        <v>2462</v>
      </c>
      <c r="E1830" s="7" t="s">
        <v>13</v>
      </c>
      <c r="F1830" s="1" t="s">
        <v>27</v>
      </c>
      <c r="G1830" s="9" t="s">
        <v>35</v>
      </c>
      <c r="H1830" s="7">
        <v>199551</v>
      </c>
      <c r="I1830" s="18">
        <v>26010000</v>
      </c>
      <c r="J1830" s="10">
        <v>2942.9</v>
      </c>
      <c r="K1830" s="7" t="s">
        <v>58</v>
      </c>
      <c r="L1830" s="7" t="s">
        <v>59</v>
      </c>
    </row>
    <row r="1831" spans="1:14" x14ac:dyDescent="0.25">
      <c r="A1831" s="41" t="s">
        <v>232</v>
      </c>
      <c r="B1831" s="1">
        <v>1</v>
      </c>
      <c r="C1831" s="8">
        <v>46160</v>
      </c>
      <c r="D1831" s="1" t="s">
        <v>2463</v>
      </c>
      <c r="E1831" s="7" t="s">
        <v>13</v>
      </c>
      <c r="F1831" s="1" t="s">
        <v>27</v>
      </c>
      <c r="G1831" s="9" t="s">
        <v>35</v>
      </c>
      <c r="H1831" s="7" t="s">
        <v>2464</v>
      </c>
      <c r="I1831" s="18">
        <v>15001002</v>
      </c>
      <c r="J1831" s="10">
        <v>7705.8</v>
      </c>
      <c r="K1831" s="7" t="s">
        <v>58</v>
      </c>
      <c r="L1831" s="7" t="s">
        <v>59</v>
      </c>
    </row>
    <row r="1832" spans="1:14" x14ac:dyDescent="0.25">
      <c r="A1832" s="41" t="s">
        <v>2465</v>
      </c>
      <c r="B1832" s="1">
        <v>1</v>
      </c>
      <c r="C1832" s="8">
        <v>46160</v>
      </c>
      <c r="D1832" s="1" t="s">
        <v>2466</v>
      </c>
      <c r="E1832" s="7" t="s">
        <v>13</v>
      </c>
      <c r="F1832" s="1" t="s">
        <v>27</v>
      </c>
      <c r="G1832" s="9" t="s">
        <v>35</v>
      </c>
      <c r="H1832" s="7">
        <v>6118</v>
      </c>
      <c r="I1832" s="18">
        <v>26003110</v>
      </c>
      <c r="J1832" s="10">
        <v>24970</v>
      </c>
      <c r="K1832" s="7" t="s">
        <v>58</v>
      </c>
      <c r="L1832" s="7" t="s">
        <v>59</v>
      </c>
    </row>
    <row r="1833" spans="1:14" x14ac:dyDescent="0.25">
      <c r="A1833" s="41" t="s">
        <v>664</v>
      </c>
      <c r="B1833" s="1">
        <v>1</v>
      </c>
      <c r="C1833" s="8">
        <v>46160</v>
      </c>
      <c r="D1833" s="1" t="s">
        <v>2467</v>
      </c>
      <c r="E1833" s="7" t="s">
        <v>13</v>
      </c>
      <c r="F1833" s="1" t="s">
        <v>27</v>
      </c>
      <c r="G1833" s="9" t="s">
        <v>35</v>
      </c>
      <c r="H1833" s="7">
        <v>70</v>
      </c>
      <c r="I1833" s="18">
        <v>26003130</v>
      </c>
      <c r="J1833" s="10">
        <v>3400</v>
      </c>
      <c r="K1833" s="7" t="s">
        <v>58</v>
      </c>
      <c r="L1833" s="7" t="s">
        <v>59</v>
      </c>
    </row>
    <row r="1834" spans="1:14" x14ac:dyDescent="0.25">
      <c r="A1834" s="41" t="s">
        <v>664</v>
      </c>
      <c r="B1834" s="1">
        <v>1</v>
      </c>
      <c r="C1834" s="8">
        <v>46160</v>
      </c>
      <c r="D1834" s="1" t="s">
        <v>2468</v>
      </c>
      <c r="E1834" s="7" t="s">
        <v>13</v>
      </c>
      <c r="F1834" s="1" t="s">
        <v>27</v>
      </c>
      <c r="G1834" s="9" t="s">
        <v>35</v>
      </c>
      <c r="H1834" s="7">
        <v>71</v>
      </c>
      <c r="I1834" s="18">
        <v>16000000</v>
      </c>
      <c r="J1834" s="10">
        <v>6800</v>
      </c>
      <c r="K1834" s="7" t="s">
        <v>58</v>
      </c>
      <c r="L1834" s="7" t="s">
        <v>59</v>
      </c>
    </row>
    <row r="1835" spans="1:14" x14ac:dyDescent="0.25">
      <c r="A1835" s="41" t="s">
        <v>664</v>
      </c>
      <c r="B1835" s="1">
        <v>1</v>
      </c>
      <c r="C1835" s="8">
        <v>46160</v>
      </c>
      <c r="D1835" s="1" t="s">
        <v>2469</v>
      </c>
      <c r="E1835" s="7" t="s">
        <v>13</v>
      </c>
      <c r="F1835" s="1" t="s">
        <v>27</v>
      </c>
      <c r="G1835" s="9" t="s">
        <v>35</v>
      </c>
      <c r="H1835" s="7">
        <v>75</v>
      </c>
      <c r="I1835" s="18">
        <v>26010000</v>
      </c>
      <c r="J1835" s="10">
        <v>1161.75</v>
      </c>
      <c r="K1835" s="7" t="s">
        <v>58</v>
      </c>
      <c r="L1835" s="7" t="s">
        <v>59</v>
      </c>
    </row>
    <row r="1836" spans="1:14" x14ac:dyDescent="0.25">
      <c r="A1836" s="41" t="s">
        <v>664</v>
      </c>
      <c r="B1836" s="1">
        <v>1</v>
      </c>
      <c r="C1836" s="8">
        <v>46160</v>
      </c>
      <c r="D1836" s="1" t="s">
        <v>2470</v>
      </c>
      <c r="E1836" s="7" t="s">
        <v>13</v>
      </c>
      <c r="F1836" s="1" t="s">
        <v>27</v>
      </c>
      <c r="G1836" s="9" t="s">
        <v>35</v>
      </c>
      <c r="H1836" s="7">
        <v>74</v>
      </c>
      <c r="I1836" s="18">
        <v>16590000</v>
      </c>
      <c r="J1836" s="10">
        <v>1044.5999999999999</v>
      </c>
      <c r="K1836" s="7" t="s">
        <v>58</v>
      </c>
      <c r="L1836" s="7" t="s">
        <v>59</v>
      </c>
    </row>
    <row r="1837" spans="1:14" x14ac:dyDescent="0.25">
      <c r="A1837" s="41" t="s">
        <v>664</v>
      </c>
      <c r="B1837" s="1">
        <v>1</v>
      </c>
      <c r="C1837" s="8">
        <v>46160</v>
      </c>
      <c r="D1837" s="1" t="s">
        <v>2471</v>
      </c>
      <c r="E1837" s="7" t="s">
        <v>13</v>
      </c>
      <c r="F1837" s="1" t="s">
        <v>27</v>
      </c>
      <c r="G1837" s="9" t="s">
        <v>35</v>
      </c>
      <c r="H1837" s="7">
        <v>76</v>
      </c>
      <c r="I1837" s="18">
        <v>16590000</v>
      </c>
      <c r="J1837" s="10">
        <v>1811.5</v>
      </c>
      <c r="K1837" s="7" t="s">
        <v>58</v>
      </c>
      <c r="L1837" s="7" t="s">
        <v>59</v>
      </c>
    </row>
    <row r="1838" spans="1:14" x14ac:dyDescent="0.25">
      <c r="A1838" s="41" t="s">
        <v>664</v>
      </c>
      <c r="B1838" s="1">
        <v>1</v>
      </c>
      <c r="C1838" s="8">
        <v>46160</v>
      </c>
      <c r="D1838" s="1" t="s">
        <v>2472</v>
      </c>
      <c r="E1838" s="7" t="s">
        <v>13</v>
      </c>
      <c r="F1838" s="1" t="s">
        <v>27</v>
      </c>
      <c r="G1838" s="9" t="s">
        <v>35</v>
      </c>
      <c r="H1838" s="7">
        <v>73</v>
      </c>
      <c r="I1838" s="18">
        <v>15001002</v>
      </c>
      <c r="J1838" s="10">
        <v>128</v>
      </c>
      <c r="K1838" s="7" t="s">
        <v>58</v>
      </c>
      <c r="L1838" s="7" t="s">
        <v>59</v>
      </c>
    </row>
    <row r="1839" spans="1:14" x14ac:dyDescent="0.25">
      <c r="A1839" s="41" t="s">
        <v>315</v>
      </c>
      <c r="B1839" s="1">
        <v>1</v>
      </c>
      <c r="C1839" s="8">
        <v>46160</v>
      </c>
      <c r="D1839" s="1" t="s">
        <v>2473</v>
      </c>
      <c r="E1839" s="7" t="s">
        <v>13</v>
      </c>
      <c r="F1839" s="1" t="s">
        <v>27</v>
      </c>
      <c r="G1839" s="9" t="s">
        <v>35</v>
      </c>
      <c r="H1839" s="7">
        <v>201944</v>
      </c>
      <c r="I1839" s="18">
        <v>26010000</v>
      </c>
      <c r="J1839" s="10">
        <v>17811.599999999999</v>
      </c>
      <c r="K1839" s="7" t="s">
        <v>13</v>
      </c>
      <c r="L1839" s="7" t="s">
        <v>40</v>
      </c>
      <c r="M1839" s="34">
        <v>46162</v>
      </c>
      <c r="N1839" s="7" t="s">
        <v>91</v>
      </c>
    </row>
    <row r="1840" spans="1:14" x14ac:dyDescent="0.25">
      <c r="A1840" s="41" t="s">
        <v>1021</v>
      </c>
      <c r="B1840" s="1">
        <v>1</v>
      </c>
      <c r="C1840" s="8">
        <v>46160</v>
      </c>
      <c r="D1840" s="1" t="s">
        <v>2474</v>
      </c>
      <c r="E1840" s="7" t="s">
        <v>13</v>
      </c>
      <c r="F1840" s="1" t="s">
        <v>27</v>
      </c>
      <c r="G1840" s="9" t="s">
        <v>35</v>
      </c>
      <c r="H1840" s="7">
        <v>2086</v>
      </c>
      <c r="I1840" s="18">
        <v>16000000</v>
      </c>
      <c r="J1840" s="10">
        <v>16435</v>
      </c>
      <c r="K1840" s="7" t="s">
        <v>13</v>
      </c>
      <c r="L1840" s="7" t="s">
        <v>54</v>
      </c>
      <c r="M1840" s="34">
        <v>46162</v>
      </c>
      <c r="N1840" s="7" t="s">
        <v>91</v>
      </c>
    </row>
    <row r="1841" spans="1:14" x14ac:dyDescent="0.25">
      <c r="A1841" s="41" t="s">
        <v>315</v>
      </c>
      <c r="B1841" s="1">
        <v>1</v>
      </c>
      <c r="C1841" s="8">
        <v>46160</v>
      </c>
      <c r="D1841" s="1" t="s">
        <v>2475</v>
      </c>
      <c r="E1841" s="7" t="s">
        <v>13</v>
      </c>
      <c r="F1841" s="1" t="s">
        <v>27</v>
      </c>
      <c r="G1841" s="9" t="s">
        <v>35</v>
      </c>
      <c r="H1841" s="7">
        <v>199553</v>
      </c>
      <c r="I1841" s="18">
        <v>16590000</v>
      </c>
      <c r="J1841" s="10">
        <v>2754.9</v>
      </c>
      <c r="K1841" s="7" t="s">
        <v>13</v>
      </c>
      <c r="L1841" s="7" t="s">
        <v>40</v>
      </c>
      <c r="M1841" s="34">
        <v>46162</v>
      </c>
      <c r="N1841" s="7" t="s">
        <v>46</v>
      </c>
    </row>
    <row r="1842" spans="1:14" x14ac:dyDescent="0.25">
      <c r="A1842" s="41" t="s">
        <v>2476</v>
      </c>
      <c r="B1842" s="1">
        <v>1</v>
      </c>
      <c r="C1842" s="8">
        <v>46160</v>
      </c>
      <c r="D1842" s="1" t="s">
        <v>2477</v>
      </c>
      <c r="E1842" s="7" t="s">
        <v>83</v>
      </c>
      <c r="F1842" s="1" t="s">
        <v>27</v>
      </c>
      <c r="G1842" s="9" t="s">
        <v>35</v>
      </c>
      <c r="H1842" s="7">
        <v>36777</v>
      </c>
      <c r="I1842" s="18">
        <v>15000000</v>
      </c>
      <c r="J1842" s="10">
        <v>2902.4</v>
      </c>
      <c r="K1842" s="7" t="s">
        <v>58</v>
      </c>
      <c r="L1842" s="7" t="s">
        <v>59</v>
      </c>
    </row>
    <row r="1843" spans="1:14" x14ac:dyDescent="0.25">
      <c r="A1843" s="41" t="s">
        <v>2478</v>
      </c>
      <c r="B1843" s="1">
        <v>1</v>
      </c>
      <c r="C1843" s="8">
        <v>46160</v>
      </c>
      <c r="D1843" s="1" t="s">
        <v>2479</v>
      </c>
      <c r="E1843" s="7" t="s">
        <v>13</v>
      </c>
      <c r="F1843" s="1" t="s">
        <v>27</v>
      </c>
      <c r="G1843" s="9" t="s">
        <v>35</v>
      </c>
      <c r="H1843" s="7">
        <v>7946</v>
      </c>
      <c r="I1843" s="18">
        <v>26003130</v>
      </c>
      <c r="J1843" s="10">
        <v>207.46</v>
      </c>
      <c r="K1843" s="7" t="s">
        <v>13</v>
      </c>
      <c r="L1843" s="7" t="s">
        <v>40</v>
      </c>
      <c r="M1843" s="34">
        <v>46162</v>
      </c>
      <c r="N1843" s="7" t="s">
        <v>46</v>
      </c>
    </row>
    <row r="1844" spans="1:14" x14ac:dyDescent="0.25">
      <c r="A1844" s="41" t="s">
        <v>2478</v>
      </c>
      <c r="B1844" s="1">
        <v>1</v>
      </c>
      <c r="C1844" s="8">
        <v>46160</v>
      </c>
      <c r="D1844" s="1" t="s">
        <v>2480</v>
      </c>
      <c r="E1844" s="7" t="s">
        <v>13</v>
      </c>
      <c r="F1844" s="1" t="s">
        <v>27</v>
      </c>
      <c r="G1844" s="9" t="s">
        <v>35</v>
      </c>
      <c r="H1844" s="7">
        <v>7954</v>
      </c>
      <c r="I1844" s="18">
        <v>16000000</v>
      </c>
      <c r="J1844" s="10">
        <v>2117.8000000000002</v>
      </c>
      <c r="K1844" s="7" t="s">
        <v>13</v>
      </c>
      <c r="L1844" s="7" t="s">
        <v>40</v>
      </c>
      <c r="M1844" s="34">
        <v>46162</v>
      </c>
      <c r="N1844" s="7" t="s">
        <v>46</v>
      </c>
    </row>
    <row r="1845" spans="1:14" x14ac:dyDescent="0.25">
      <c r="A1845" s="41" t="s">
        <v>2478</v>
      </c>
      <c r="B1845" s="1">
        <v>1</v>
      </c>
      <c r="C1845" s="8">
        <v>46160</v>
      </c>
      <c r="D1845" s="1" t="s">
        <v>2481</v>
      </c>
      <c r="E1845" s="7" t="s">
        <v>13</v>
      </c>
      <c r="F1845" s="1" t="s">
        <v>27</v>
      </c>
      <c r="G1845" s="9" t="s">
        <v>35</v>
      </c>
      <c r="H1845" s="7">
        <v>7955</v>
      </c>
      <c r="I1845" s="18">
        <v>26003130</v>
      </c>
      <c r="J1845" s="10">
        <v>1735.6</v>
      </c>
      <c r="K1845" s="7" t="s">
        <v>13</v>
      </c>
      <c r="L1845" s="7" t="s">
        <v>40</v>
      </c>
      <c r="M1845" s="34">
        <v>46162</v>
      </c>
      <c r="N1845" s="7" t="s">
        <v>46</v>
      </c>
    </row>
    <row r="1846" spans="1:14" x14ac:dyDescent="0.25">
      <c r="A1846" s="41" t="s">
        <v>2465</v>
      </c>
      <c r="B1846" s="1">
        <v>1</v>
      </c>
      <c r="C1846" s="8">
        <v>46160</v>
      </c>
      <c r="D1846" s="1" t="s">
        <v>2482</v>
      </c>
      <c r="E1846" s="7" t="s">
        <v>13</v>
      </c>
      <c r="F1846" s="1" t="s">
        <v>27</v>
      </c>
      <c r="G1846" s="9" t="s">
        <v>35</v>
      </c>
      <c r="H1846" s="7">
        <v>6119</v>
      </c>
      <c r="I1846" s="18">
        <v>26003130</v>
      </c>
      <c r="J1846" s="10">
        <v>22030</v>
      </c>
      <c r="K1846" s="7" t="s">
        <v>58</v>
      </c>
      <c r="L1846" s="7" t="s">
        <v>59</v>
      </c>
    </row>
    <row r="1847" spans="1:14" x14ac:dyDescent="0.25">
      <c r="A1847" s="41" t="s">
        <v>271</v>
      </c>
      <c r="B1847" s="1">
        <v>1</v>
      </c>
      <c r="C1847" s="8">
        <v>46160</v>
      </c>
      <c r="D1847" s="1" t="s">
        <v>2483</v>
      </c>
      <c r="E1847" s="7" t="s">
        <v>13</v>
      </c>
      <c r="F1847" s="1" t="s">
        <v>27</v>
      </c>
      <c r="G1847" s="9" t="s">
        <v>35</v>
      </c>
      <c r="H1847" s="7">
        <v>1520539</v>
      </c>
      <c r="I1847" s="18">
        <v>16000000</v>
      </c>
      <c r="J1847" s="10">
        <v>2250</v>
      </c>
      <c r="K1847" s="7" t="s">
        <v>58</v>
      </c>
      <c r="L1847" s="7" t="s">
        <v>59</v>
      </c>
    </row>
    <row r="1848" spans="1:14" x14ac:dyDescent="0.25">
      <c r="A1848" s="41" t="s">
        <v>2231</v>
      </c>
      <c r="B1848" s="1">
        <v>1</v>
      </c>
      <c r="C1848" s="80">
        <v>46160</v>
      </c>
      <c r="D1848" s="1" t="s">
        <v>2484</v>
      </c>
      <c r="E1848" s="7" t="s">
        <v>13</v>
      </c>
      <c r="F1848" s="1" t="s">
        <v>27</v>
      </c>
      <c r="G1848" s="9" t="s">
        <v>35</v>
      </c>
      <c r="H1848" s="7">
        <v>1873</v>
      </c>
      <c r="I1848" s="18">
        <v>15001002</v>
      </c>
      <c r="J1848" s="10">
        <v>45445</v>
      </c>
      <c r="K1848" s="7" t="s">
        <v>58</v>
      </c>
      <c r="L1848" s="7" t="s">
        <v>59</v>
      </c>
    </row>
    <row r="1849" spans="1:14" x14ac:dyDescent="0.25">
      <c r="A1849" s="41" t="s">
        <v>2231</v>
      </c>
      <c r="B1849" s="1">
        <v>1</v>
      </c>
      <c r="C1849" s="8">
        <v>46160</v>
      </c>
      <c r="D1849" s="1" t="s">
        <v>2485</v>
      </c>
      <c r="E1849" s="7" t="s">
        <v>13</v>
      </c>
      <c r="F1849" s="1" t="s">
        <v>27</v>
      </c>
      <c r="G1849" s="9" t="s">
        <v>35</v>
      </c>
      <c r="H1849" s="7">
        <v>3359</v>
      </c>
      <c r="I1849" s="18">
        <v>16000000</v>
      </c>
      <c r="J1849" s="10">
        <v>1636.64</v>
      </c>
      <c r="K1849" s="7" t="s">
        <v>58</v>
      </c>
      <c r="L1849" s="7" t="s">
        <v>59</v>
      </c>
    </row>
    <row r="1850" spans="1:14" x14ac:dyDescent="0.25">
      <c r="A1850" s="41" t="s">
        <v>2486</v>
      </c>
      <c r="B1850" s="1">
        <v>1</v>
      </c>
      <c r="C1850" s="8">
        <v>46160</v>
      </c>
      <c r="D1850" s="1" t="s">
        <v>2487</v>
      </c>
      <c r="E1850" s="7" t="s">
        <v>13</v>
      </c>
      <c r="F1850" s="1" t="s">
        <v>27</v>
      </c>
      <c r="G1850" s="9" t="s">
        <v>35</v>
      </c>
      <c r="H1850" s="7">
        <v>4401</v>
      </c>
      <c r="I1850" s="18">
        <v>15001002</v>
      </c>
      <c r="J1850" s="10">
        <v>2100</v>
      </c>
      <c r="K1850" s="7" t="s">
        <v>58</v>
      </c>
      <c r="L1850" s="7" t="s">
        <v>59</v>
      </c>
    </row>
    <row r="1851" spans="1:14" x14ac:dyDescent="0.25">
      <c r="A1851" s="41" t="s">
        <v>2488</v>
      </c>
      <c r="B1851" s="1">
        <v>1</v>
      </c>
      <c r="C1851" s="8">
        <v>46160</v>
      </c>
      <c r="D1851" s="1" t="s">
        <v>2489</v>
      </c>
      <c r="E1851" s="7" t="s">
        <v>13</v>
      </c>
      <c r="F1851" s="1" t="s">
        <v>27</v>
      </c>
      <c r="G1851" s="9" t="s">
        <v>35</v>
      </c>
      <c r="H1851" s="7">
        <v>9958</v>
      </c>
      <c r="I1851" s="18">
        <v>15001002</v>
      </c>
      <c r="J1851" s="10">
        <v>6790</v>
      </c>
      <c r="K1851" s="7" t="s">
        <v>58</v>
      </c>
      <c r="L1851" s="7" t="s">
        <v>59</v>
      </c>
    </row>
    <row r="1852" spans="1:14" x14ac:dyDescent="0.25">
      <c r="A1852" s="41" t="s">
        <v>1021</v>
      </c>
      <c r="B1852" s="1">
        <v>1</v>
      </c>
      <c r="C1852" s="8">
        <v>46160</v>
      </c>
      <c r="D1852" s="1" t="s">
        <v>2490</v>
      </c>
      <c r="E1852" s="7" t="s">
        <v>13</v>
      </c>
      <c r="F1852" s="1" t="s">
        <v>27</v>
      </c>
      <c r="G1852" s="9" t="s">
        <v>35</v>
      </c>
      <c r="H1852" s="7">
        <v>2070</v>
      </c>
      <c r="I1852" s="18">
        <v>26003130</v>
      </c>
      <c r="J1852" s="10">
        <v>4195.71</v>
      </c>
      <c r="K1852" s="7" t="s">
        <v>58</v>
      </c>
      <c r="L1852" s="7" t="s">
        <v>59</v>
      </c>
    </row>
    <row r="1853" spans="1:14" x14ac:dyDescent="0.25">
      <c r="A1853" s="41" t="s">
        <v>2491</v>
      </c>
      <c r="B1853" s="1">
        <v>1</v>
      </c>
      <c r="C1853" s="8">
        <v>46160</v>
      </c>
      <c r="D1853" s="1" t="s">
        <v>2492</v>
      </c>
      <c r="E1853" s="7" t="s">
        <v>13</v>
      </c>
      <c r="F1853" s="1" t="s">
        <v>27</v>
      </c>
      <c r="G1853" s="9" t="s">
        <v>35</v>
      </c>
      <c r="H1853" s="7">
        <v>1873</v>
      </c>
      <c r="I1853" s="18">
        <v>16000000</v>
      </c>
      <c r="J1853" s="10">
        <v>3093</v>
      </c>
      <c r="K1853" s="7" t="s">
        <v>58</v>
      </c>
      <c r="L1853" s="7" t="s">
        <v>59</v>
      </c>
    </row>
    <row r="1854" spans="1:14" x14ac:dyDescent="0.25">
      <c r="A1854" s="41" t="s">
        <v>252</v>
      </c>
      <c r="B1854" s="1">
        <v>1</v>
      </c>
      <c r="C1854" s="8">
        <v>46160</v>
      </c>
      <c r="D1854" s="1" t="s">
        <v>2493</v>
      </c>
      <c r="E1854" s="7" t="s">
        <v>13</v>
      </c>
      <c r="F1854" s="1" t="s">
        <v>27</v>
      </c>
      <c r="G1854" s="9" t="s">
        <v>35</v>
      </c>
      <c r="H1854" s="7" t="s">
        <v>74</v>
      </c>
      <c r="I1854" s="18">
        <v>15001002</v>
      </c>
      <c r="J1854" s="10">
        <v>5000</v>
      </c>
      <c r="K1854" s="7" t="s">
        <v>58</v>
      </c>
      <c r="L1854" s="7" t="s">
        <v>59</v>
      </c>
    </row>
    <row r="1855" spans="1:14" x14ac:dyDescent="0.25">
      <c r="A1855" s="41" t="s">
        <v>2491</v>
      </c>
      <c r="B1855" s="1">
        <v>1</v>
      </c>
      <c r="C1855" s="8">
        <v>46160</v>
      </c>
      <c r="D1855" s="1" t="s">
        <v>2494</v>
      </c>
      <c r="E1855" s="7" t="s">
        <v>13</v>
      </c>
      <c r="F1855" s="1" t="s">
        <v>27</v>
      </c>
      <c r="G1855" s="9" t="s">
        <v>35</v>
      </c>
      <c r="H1855" s="7">
        <v>3359</v>
      </c>
      <c r="I1855" s="18">
        <v>15001002</v>
      </c>
      <c r="J1855" s="10">
        <v>35584.629999999997</v>
      </c>
      <c r="K1855" s="7" t="s">
        <v>58</v>
      </c>
      <c r="L1855" s="7" t="s">
        <v>59</v>
      </c>
    </row>
    <row r="1856" spans="1:14" x14ac:dyDescent="0.25">
      <c r="A1856" s="41" t="s">
        <v>2495</v>
      </c>
      <c r="B1856" s="1">
        <v>1</v>
      </c>
      <c r="C1856" s="8">
        <v>46160</v>
      </c>
      <c r="D1856" s="1" t="s">
        <v>2496</v>
      </c>
      <c r="E1856" s="7" t="s">
        <v>13</v>
      </c>
      <c r="F1856" s="1" t="s">
        <v>27</v>
      </c>
      <c r="G1856" s="9" t="s">
        <v>35</v>
      </c>
      <c r="H1856" s="7">
        <v>246199</v>
      </c>
      <c r="I1856" s="18">
        <v>16210000</v>
      </c>
      <c r="J1856" s="10">
        <v>1535.7</v>
      </c>
      <c r="K1856" s="7" t="s">
        <v>58</v>
      </c>
      <c r="L1856" s="7" t="s">
        <v>59</v>
      </c>
    </row>
    <row r="1857" spans="1:14" x14ac:dyDescent="0.25">
      <c r="A1857" s="41" t="s">
        <v>2410</v>
      </c>
      <c r="B1857" s="1">
        <v>1</v>
      </c>
      <c r="C1857" s="8">
        <v>46160</v>
      </c>
      <c r="D1857" s="1" t="s">
        <v>2497</v>
      </c>
      <c r="E1857" s="7" t="s">
        <v>13</v>
      </c>
      <c r="F1857" s="1" t="s">
        <v>27</v>
      </c>
      <c r="G1857" s="9" t="s">
        <v>35</v>
      </c>
      <c r="H1857" s="7">
        <v>1923</v>
      </c>
      <c r="I1857" s="18">
        <v>15001002</v>
      </c>
      <c r="J1857" s="10">
        <v>80</v>
      </c>
      <c r="K1857" s="7" t="s">
        <v>58</v>
      </c>
      <c r="L1857" s="7" t="s">
        <v>59</v>
      </c>
    </row>
    <row r="1858" spans="1:14" x14ac:dyDescent="0.25">
      <c r="A1858" s="41" t="s">
        <v>971</v>
      </c>
      <c r="B1858" s="1">
        <v>1</v>
      </c>
      <c r="C1858" s="8">
        <v>46160</v>
      </c>
      <c r="D1858" s="1" t="s">
        <v>2498</v>
      </c>
      <c r="E1858" s="7" t="s">
        <v>13</v>
      </c>
      <c r="F1858" s="1" t="s">
        <v>27</v>
      </c>
      <c r="G1858" s="9" t="s">
        <v>35</v>
      </c>
      <c r="H1858" s="7">
        <v>4438</v>
      </c>
      <c r="I1858" s="18">
        <v>26003130</v>
      </c>
      <c r="J1858" s="10">
        <v>1954.22</v>
      </c>
      <c r="K1858" s="7" t="s">
        <v>58</v>
      </c>
      <c r="L1858" s="7" t="s">
        <v>59</v>
      </c>
    </row>
    <row r="1859" spans="1:14" x14ac:dyDescent="0.25">
      <c r="A1859" s="41" t="s">
        <v>2495</v>
      </c>
      <c r="B1859" s="1">
        <v>1</v>
      </c>
      <c r="C1859" s="8">
        <v>46161</v>
      </c>
      <c r="D1859" s="1" t="s">
        <v>2499</v>
      </c>
      <c r="E1859" s="7" t="s">
        <v>82</v>
      </c>
      <c r="F1859" s="1" t="s">
        <v>27</v>
      </c>
      <c r="G1859" s="9" t="s">
        <v>35</v>
      </c>
      <c r="H1859" s="7">
        <v>247178</v>
      </c>
      <c r="I1859" s="18">
        <v>15000000</v>
      </c>
      <c r="J1859" s="10">
        <v>1827.18</v>
      </c>
      <c r="K1859" s="7" t="s">
        <v>58</v>
      </c>
      <c r="L1859" s="7" t="s">
        <v>59</v>
      </c>
    </row>
    <row r="1860" spans="1:14" x14ac:dyDescent="0.25">
      <c r="A1860" s="41" t="s">
        <v>2500</v>
      </c>
      <c r="B1860" s="1">
        <v>1</v>
      </c>
      <c r="C1860" s="8">
        <v>46161</v>
      </c>
      <c r="D1860" s="1" t="s">
        <v>2501</v>
      </c>
      <c r="E1860" s="7" t="s">
        <v>82</v>
      </c>
      <c r="F1860" s="1" t="s">
        <v>27</v>
      </c>
      <c r="G1860" s="9" t="s">
        <v>35</v>
      </c>
      <c r="H1860" s="7">
        <v>139</v>
      </c>
      <c r="I1860" s="18">
        <v>15000000</v>
      </c>
      <c r="J1860" s="10">
        <v>18768</v>
      </c>
      <c r="K1860" s="7" t="s">
        <v>58</v>
      </c>
      <c r="L1860" s="7" t="s">
        <v>59</v>
      </c>
    </row>
    <row r="1861" spans="1:14" x14ac:dyDescent="0.25">
      <c r="A1861" s="41" t="s">
        <v>435</v>
      </c>
      <c r="B1861" s="1">
        <v>1</v>
      </c>
      <c r="C1861" s="8">
        <v>46161</v>
      </c>
      <c r="D1861" s="1" t="s">
        <v>2502</v>
      </c>
      <c r="E1861" s="7" t="s">
        <v>13</v>
      </c>
      <c r="F1861" s="1" t="s">
        <v>27</v>
      </c>
      <c r="G1861" s="9" t="s">
        <v>35</v>
      </c>
      <c r="H1861" s="7">
        <v>2890023</v>
      </c>
      <c r="I1861" s="18">
        <v>15001002</v>
      </c>
      <c r="J1861" s="10">
        <v>28752.44</v>
      </c>
      <c r="K1861" s="7" t="s">
        <v>58</v>
      </c>
      <c r="L1861" s="7" t="s">
        <v>59</v>
      </c>
    </row>
    <row r="1862" spans="1:14" x14ac:dyDescent="0.25">
      <c r="A1862" s="41" t="s">
        <v>435</v>
      </c>
      <c r="B1862" s="1">
        <v>1</v>
      </c>
      <c r="C1862" s="8">
        <v>46161</v>
      </c>
      <c r="D1862" s="1" t="s">
        <v>2503</v>
      </c>
      <c r="E1862" s="7" t="s">
        <v>13</v>
      </c>
      <c r="F1862" s="1" t="s">
        <v>27</v>
      </c>
      <c r="G1862" s="9" t="s">
        <v>35</v>
      </c>
      <c r="H1862" s="7">
        <v>2890025</v>
      </c>
      <c r="I1862" s="18">
        <v>16000000</v>
      </c>
      <c r="J1862" s="10">
        <v>4416.28</v>
      </c>
      <c r="K1862" s="7" t="s">
        <v>58</v>
      </c>
      <c r="L1862" s="7" t="s">
        <v>59</v>
      </c>
    </row>
    <row r="1863" spans="1:14" x14ac:dyDescent="0.25">
      <c r="A1863" s="41" t="s">
        <v>435</v>
      </c>
      <c r="B1863" s="1">
        <v>1</v>
      </c>
      <c r="C1863" s="8">
        <v>46161</v>
      </c>
      <c r="D1863" s="1" t="s">
        <v>2504</v>
      </c>
      <c r="E1863" s="7" t="s">
        <v>13</v>
      </c>
      <c r="F1863" s="1" t="s">
        <v>27</v>
      </c>
      <c r="G1863" s="9" t="s">
        <v>35</v>
      </c>
      <c r="H1863" s="7">
        <v>2891639</v>
      </c>
      <c r="I1863" s="18">
        <v>16000000</v>
      </c>
      <c r="J1863" s="10">
        <v>5183.97</v>
      </c>
      <c r="K1863" s="7" t="s">
        <v>58</v>
      </c>
      <c r="L1863" s="7" t="s">
        <v>59</v>
      </c>
    </row>
    <row r="1864" spans="1:14" x14ac:dyDescent="0.25">
      <c r="A1864" s="41" t="s">
        <v>435</v>
      </c>
      <c r="B1864" s="1">
        <v>1</v>
      </c>
      <c r="C1864" s="8">
        <v>46161</v>
      </c>
      <c r="D1864" s="1" t="s">
        <v>2505</v>
      </c>
      <c r="E1864" s="7" t="s">
        <v>13</v>
      </c>
      <c r="F1864" s="1" t="s">
        <v>27</v>
      </c>
      <c r="G1864" s="9" t="s">
        <v>35</v>
      </c>
      <c r="H1864" s="7">
        <v>2890022</v>
      </c>
      <c r="I1864" s="18">
        <v>15001002</v>
      </c>
      <c r="J1864" s="10">
        <v>2096.63</v>
      </c>
      <c r="K1864" s="7" t="s">
        <v>58</v>
      </c>
      <c r="L1864" s="7" t="s">
        <v>59</v>
      </c>
    </row>
    <row r="1865" spans="1:14" x14ac:dyDescent="0.25">
      <c r="A1865" s="41" t="s">
        <v>435</v>
      </c>
      <c r="B1865" s="1">
        <v>1</v>
      </c>
      <c r="C1865" s="8">
        <v>46161</v>
      </c>
      <c r="D1865" s="1" t="s">
        <v>2506</v>
      </c>
      <c r="E1865" s="7" t="s">
        <v>13</v>
      </c>
      <c r="F1865" s="1" t="s">
        <v>27</v>
      </c>
      <c r="G1865" s="9" t="s">
        <v>35</v>
      </c>
      <c r="H1865" s="7">
        <v>2890021</v>
      </c>
      <c r="I1865" s="18">
        <v>15001002</v>
      </c>
      <c r="J1865" s="10">
        <v>13209.09</v>
      </c>
      <c r="K1865" s="7" t="s">
        <v>58</v>
      </c>
      <c r="L1865" s="7" t="s">
        <v>59</v>
      </c>
    </row>
    <row r="1866" spans="1:14" x14ac:dyDescent="0.25">
      <c r="A1866" s="41" t="s">
        <v>2410</v>
      </c>
      <c r="B1866" s="1">
        <v>1</v>
      </c>
      <c r="C1866" s="8">
        <v>46161</v>
      </c>
      <c r="D1866" s="1" t="s">
        <v>2507</v>
      </c>
      <c r="E1866" s="7" t="s">
        <v>14</v>
      </c>
      <c r="F1866" s="1" t="s">
        <v>27</v>
      </c>
      <c r="G1866" s="9" t="s">
        <v>35</v>
      </c>
      <c r="H1866" s="7">
        <v>1929</v>
      </c>
      <c r="I1866" s="18">
        <v>15000000</v>
      </c>
      <c r="J1866" s="10">
        <v>5722</v>
      </c>
      <c r="K1866" s="7" t="s">
        <v>58</v>
      </c>
      <c r="L1866" s="7" t="s">
        <v>59</v>
      </c>
    </row>
    <row r="1867" spans="1:14" x14ac:dyDescent="0.25">
      <c r="A1867" s="41" t="s">
        <v>2491</v>
      </c>
      <c r="B1867" s="1">
        <v>1</v>
      </c>
      <c r="C1867" s="8">
        <v>46161</v>
      </c>
      <c r="D1867" s="1" t="s">
        <v>2508</v>
      </c>
      <c r="E1867" s="7" t="s">
        <v>13</v>
      </c>
      <c r="F1867" s="1" t="s">
        <v>27</v>
      </c>
      <c r="G1867" s="9" t="s">
        <v>35</v>
      </c>
      <c r="H1867" s="7">
        <v>1875</v>
      </c>
      <c r="I1867" s="18">
        <v>15001002</v>
      </c>
      <c r="J1867" s="10">
        <v>7730</v>
      </c>
      <c r="K1867" s="7" t="s">
        <v>58</v>
      </c>
      <c r="L1867" s="7" t="s">
        <v>59</v>
      </c>
    </row>
    <row r="1868" spans="1:14" x14ac:dyDescent="0.25">
      <c r="A1868" s="41" t="s">
        <v>315</v>
      </c>
      <c r="B1868" s="1">
        <v>1</v>
      </c>
      <c r="C1868" s="8">
        <v>46161</v>
      </c>
      <c r="D1868" s="1" t="s">
        <v>2509</v>
      </c>
      <c r="E1868" s="7" t="s">
        <v>13</v>
      </c>
      <c r="F1868" s="1" t="s">
        <v>27</v>
      </c>
      <c r="G1868" s="9" t="s">
        <v>35</v>
      </c>
      <c r="H1868" s="7">
        <v>201945</v>
      </c>
      <c r="I1868" s="18">
        <v>16590000</v>
      </c>
      <c r="J1868" s="10">
        <v>4795.8999999999996</v>
      </c>
      <c r="K1868" s="7" t="s">
        <v>58</v>
      </c>
      <c r="L1868" s="7" t="s">
        <v>59</v>
      </c>
    </row>
    <row r="1869" spans="1:14" x14ac:dyDescent="0.25">
      <c r="A1869" s="41" t="s">
        <v>2510</v>
      </c>
      <c r="B1869" s="1">
        <v>1</v>
      </c>
      <c r="C1869" s="8">
        <v>46161</v>
      </c>
      <c r="D1869" s="1" t="s">
        <v>2511</v>
      </c>
      <c r="E1869" s="7" t="s">
        <v>13</v>
      </c>
      <c r="F1869" s="1" t="s">
        <v>27</v>
      </c>
      <c r="G1869" s="9" t="s">
        <v>35</v>
      </c>
      <c r="H1869" s="7">
        <v>12</v>
      </c>
      <c r="I1869" s="18">
        <v>15001002</v>
      </c>
      <c r="J1869" s="10">
        <v>4899.84</v>
      </c>
      <c r="K1869" s="7" t="s">
        <v>58</v>
      </c>
      <c r="L1869" s="7" t="s">
        <v>59</v>
      </c>
    </row>
    <row r="1870" spans="1:14" x14ac:dyDescent="0.25">
      <c r="A1870" s="41" t="s">
        <v>2491</v>
      </c>
      <c r="B1870" s="1">
        <v>1</v>
      </c>
      <c r="C1870" s="8">
        <v>46161</v>
      </c>
      <c r="D1870" s="1" t="s">
        <v>2512</v>
      </c>
      <c r="E1870" s="7" t="s">
        <v>13</v>
      </c>
      <c r="F1870" s="1" t="s">
        <v>27</v>
      </c>
      <c r="G1870" s="9" t="s">
        <v>35</v>
      </c>
      <c r="H1870" s="7">
        <v>1875</v>
      </c>
      <c r="I1870" s="18">
        <v>16000000</v>
      </c>
      <c r="J1870" s="10">
        <v>500</v>
      </c>
      <c r="K1870" s="7" t="s">
        <v>58</v>
      </c>
      <c r="L1870" s="7" t="s">
        <v>59</v>
      </c>
    </row>
    <row r="1871" spans="1:14" x14ac:dyDescent="0.25">
      <c r="A1871" s="41" t="s">
        <v>435</v>
      </c>
      <c r="B1871" s="1">
        <v>1</v>
      </c>
      <c r="C1871" s="8">
        <v>46161</v>
      </c>
      <c r="D1871" s="1" t="s">
        <v>2513</v>
      </c>
      <c r="E1871" s="7" t="s">
        <v>13</v>
      </c>
      <c r="F1871" s="1" t="s">
        <v>27</v>
      </c>
      <c r="G1871" s="9" t="s">
        <v>35</v>
      </c>
      <c r="H1871" s="7">
        <v>2891637</v>
      </c>
      <c r="I1871" s="18">
        <v>15001002</v>
      </c>
      <c r="J1871" s="10">
        <v>976.25</v>
      </c>
      <c r="K1871" s="7" t="s">
        <v>58</v>
      </c>
      <c r="L1871" s="7" t="s">
        <v>59</v>
      </c>
      <c r="N1871" s="17"/>
    </row>
    <row r="1872" spans="1:14" x14ac:dyDescent="0.25">
      <c r="A1872" s="41" t="s">
        <v>435</v>
      </c>
      <c r="B1872" s="1">
        <v>1</v>
      </c>
      <c r="C1872" s="8">
        <v>46161</v>
      </c>
      <c r="D1872" s="1" t="s">
        <v>2514</v>
      </c>
      <c r="E1872" s="7" t="s">
        <v>13</v>
      </c>
      <c r="F1872" s="1" t="s">
        <v>27</v>
      </c>
      <c r="G1872" s="9" t="s">
        <v>35</v>
      </c>
      <c r="H1872" s="7">
        <v>2890024</v>
      </c>
      <c r="I1872" s="18">
        <v>15001002</v>
      </c>
      <c r="J1872" s="10">
        <v>7226.39</v>
      </c>
      <c r="K1872" s="7" t="s">
        <v>58</v>
      </c>
      <c r="L1872" s="7" t="s">
        <v>59</v>
      </c>
    </row>
    <row r="1873" spans="1:12" x14ac:dyDescent="0.25">
      <c r="A1873" s="41" t="s">
        <v>435</v>
      </c>
      <c r="B1873" s="1">
        <v>1</v>
      </c>
      <c r="C1873" s="8">
        <v>46161</v>
      </c>
      <c r="D1873" s="1" t="s">
        <v>2515</v>
      </c>
      <c r="E1873" s="7" t="s">
        <v>13</v>
      </c>
      <c r="F1873" s="1" t="s">
        <v>27</v>
      </c>
      <c r="G1873" s="9" t="s">
        <v>35</v>
      </c>
      <c r="H1873" s="7">
        <v>2890027</v>
      </c>
      <c r="I1873" s="18">
        <v>16000000</v>
      </c>
      <c r="J1873" s="10">
        <v>5754.15</v>
      </c>
      <c r="K1873" s="7" t="s">
        <v>58</v>
      </c>
      <c r="L1873" s="7" t="s">
        <v>59</v>
      </c>
    </row>
    <row r="1874" spans="1:12" x14ac:dyDescent="0.25">
      <c r="A1874" s="41" t="s">
        <v>435</v>
      </c>
      <c r="B1874" s="1">
        <v>1</v>
      </c>
      <c r="C1874" s="8">
        <v>46161</v>
      </c>
      <c r="D1874" s="1" t="s">
        <v>2516</v>
      </c>
      <c r="E1874" s="7" t="s">
        <v>13</v>
      </c>
      <c r="F1874" s="1" t="s">
        <v>27</v>
      </c>
      <c r="G1874" s="9" t="s">
        <v>35</v>
      </c>
      <c r="H1874" s="7">
        <v>2891638</v>
      </c>
      <c r="I1874" s="18">
        <v>15001002</v>
      </c>
      <c r="J1874" s="10">
        <v>18680.29</v>
      </c>
      <c r="K1874" s="7" t="s">
        <v>58</v>
      </c>
      <c r="L1874" s="7" t="s">
        <v>59</v>
      </c>
    </row>
    <row r="1875" spans="1:12" x14ac:dyDescent="0.25">
      <c r="A1875" s="41" t="s">
        <v>435</v>
      </c>
      <c r="B1875" s="1">
        <v>1</v>
      </c>
      <c r="C1875" s="8">
        <v>46161</v>
      </c>
      <c r="D1875" s="1" t="s">
        <v>2517</v>
      </c>
      <c r="E1875" s="7" t="s">
        <v>13</v>
      </c>
      <c r="F1875" s="1" t="s">
        <v>27</v>
      </c>
      <c r="G1875" s="9" t="s">
        <v>35</v>
      </c>
      <c r="H1875" s="7">
        <v>2891636</v>
      </c>
      <c r="I1875" s="18">
        <v>16000000</v>
      </c>
      <c r="J1875" s="10">
        <v>6984.84</v>
      </c>
      <c r="K1875" s="7" t="s">
        <v>58</v>
      </c>
      <c r="L1875" s="7" t="s">
        <v>59</v>
      </c>
    </row>
    <row r="1876" spans="1:12" x14ac:dyDescent="0.25">
      <c r="A1876" s="41" t="s">
        <v>435</v>
      </c>
      <c r="B1876" s="1">
        <v>1</v>
      </c>
      <c r="C1876" s="8">
        <v>46161</v>
      </c>
      <c r="D1876" s="1" t="s">
        <v>2518</v>
      </c>
      <c r="E1876" s="7" t="s">
        <v>13</v>
      </c>
      <c r="F1876" s="1" t="s">
        <v>27</v>
      </c>
      <c r="G1876" s="9" t="s">
        <v>35</v>
      </c>
      <c r="H1876" s="7">
        <v>2891234</v>
      </c>
      <c r="I1876" s="18">
        <v>15001002</v>
      </c>
      <c r="J1876" s="10">
        <v>3121.87</v>
      </c>
      <c r="K1876" s="7" t="s">
        <v>58</v>
      </c>
      <c r="L1876" s="7" t="s">
        <v>59</v>
      </c>
    </row>
    <row r="1877" spans="1:12" x14ac:dyDescent="0.25">
      <c r="A1877" s="41" t="s">
        <v>435</v>
      </c>
      <c r="B1877" s="1">
        <v>1</v>
      </c>
      <c r="C1877" s="8">
        <v>46161</v>
      </c>
      <c r="D1877" s="1" t="s">
        <v>2519</v>
      </c>
      <c r="E1877" s="7" t="s">
        <v>13</v>
      </c>
      <c r="F1877" s="1" t="s">
        <v>27</v>
      </c>
      <c r="G1877" s="9" t="s">
        <v>35</v>
      </c>
      <c r="H1877" s="7">
        <v>2890026</v>
      </c>
      <c r="I1877" s="18">
        <v>16000000</v>
      </c>
      <c r="J1877" s="10">
        <v>2765.72</v>
      </c>
      <c r="K1877" s="7" t="s">
        <v>58</v>
      </c>
      <c r="L1877" s="7" t="s">
        <v>59</v>
      </c>
    </row>
    <row r="1878" spans="1:12" x14ac:dyDescent="0.25">
      <c r="A1878" s="41" t="s">
        <v>1472</v>
      </c>
      <c r="B1878" s="1">
        <v>1</v>
      </c>
      <c r="C1878" s="8">
        <v>46161</v>
      </c>
      <c r="D1878" s="1" t="s">
        <v>2520</v>
      </c>
      <c r="E1878" s="7" t="s">
        <v>2</v>
      </c>
      <c r="F1878" s="1" t="s">
        <v>27</v>
      </c>
      <c r="G1878" s="9" t="s">
        <v>35</v>
      </c>
      <c r="H1878" s="7">
        <v>234503</v>
      </c>
      <c r="I1878" s="18">
        <v>15500000</v>
      </c>
      <c r="J1878" s="10">
        <v>33884.400000000001</v>
      </c>
      <c r="K1878" s="7" t="s">
        <v>58</v>
      </c>
      <c r="L1878" s="7" t="s">
        <v>59</v>
      </c>
    </row>
    <row r="1879" spans="1:12" x14ac:dyDescent="0.25">
      <c r="A1879" s="41" t="s">
        <v>236</v>
      </c>
      <c r="B1879" s="1">
        <v>1</v>
      </c>
      <c r="C1879" s="8">
        <v>46161</v>
      </c>
      <c r="D1879" s="1" t="s">
        <v>2521</v>
      </c>
      <c r="E1879" s="7" t="s">
        <v>13</v>
      </c>
      <c r="F1879" s="1" t="s">
        <v>27</v>
      </c>
      <c r="G1879" s="9" t="s">
        <v>35</v>
      </c>
      <c r="H1879" s="7">
        <v>194762</v>
      </c>
      <c r="I1879" s="18">
        <v>16000000</v>
      </c>
      <c r="J1879" s="10">
        <v>2295</v>
      </c>
      <c r="K1879" s="7" t="s">
        <v>58</v>
      </c>
      <c r="L1879" s="7" t="s">
        <v>59</v>
      </c>
    </row>
    <row r="1880" spans="1:12" x14ac:dyDescent="0.25">
      <c r="A1880" s="41" t="s">
        <v>1413</v>
      </c>
      <c r="B1880" s="1">
        <v>1</v>
      </c>
      <c r="C1880" s="8">
        <v>46161</v>
      </c>
      <c r="D1880" s="1" t="s">
        <v>2522</v>
      </c>
      <c r="E1880" s="7" t="s">
        <v>11</v>
      </c>
      <c r="F1880" s="1" t="s">
        <v>27</v>
      </c>
      <c r="G1880" s="9" t="s">
        <v>35</v>
      </c>
      <c r="H1880" s="7">
        <v>2669</v>
      </c>
      <c r="I1880" s="18">
        <v>15000000</v>
      </c>
      <c r="J1880" s="10">
        <v>5000</v>
      </c>
      <c r="K1880" s="7" t="s">
        <v>58</v>
      </c>
      <c r="L1880" s="7" t="s">
        <v>59</v>
      </c>
    </row>
    <row r="1881" spans="1:12" x14ac:dyDescent="0.25">
      <c r="A1881" s="41" t="s">
        <v>1516</v>
      </c>
      <c r="B1881" s="1">
        <v>1</v>
      </c>
      <c r="C1881" s="8">
        <v>46161</v>
      </c>
      <c r="D1881" s="1" t="s">
        <v>2523</v>
      </c>
      <c r="E1881" s="7" t="s">
        <v>16</v>
      </c>
      <c r="F1881" s="1" t="s">
        <v>27</v>
      </c>
      <c r="G1881" s="9" t="s">
        <v>35</v>
      </c>
      <c r="H1881" s="7">
        <v>2559</v>
      </c>
      <c r="I1881" s="18">
        <v>15000000</v>
      </c>
      <c r="J1881" s="10">
        <v>11960</v>
      </c>
      <c r="K1881" s="7" t="s">
        <v>58</v>
      </c>
      <c r="L1881" s="7" t="s">
        <v>59</v>
      </c>
    </row>
    <row r="1882" spans="1:12" x14ac:dyDescent="0.25">
      <c r="A1882" s="41" t="s">
        <v>1866</v>
      </c>
      <c r="B1882" s="1">
        <v>1</v>
      </c>
      <c r="C1882" s="8">
        <v>46161</v>
      </c>
      <c r="D1882" s="1" t="s">
        <v>2524</v>
      </c>
      <c r="E1882" s="7" t="s">
        <v>82</v>
      </c>
      <c r="F1882" s="1" t="s">
        <v>27</v>
      </c>
      <c r="G1882" s="9" t="s">
        <v>68</v>
      </c>
      <c r="H1882" s="7" t="s">
        <v>74</v>
      </c>
      <c r="I1882" s="18" t="s">
        <v>0</v>
      </c>
      <c r="J1882" s="10" t="s">
        <v>61</v>
      </c>
      <c r="K1882" s="7" t="s">
        <v>58</v>
      </c>
      <c r="L1882" s="7" t="s">
        <v>59</v>
      </c>
    </row>
    <row r="1883" spans="1:12" x14ac:dyDescent="0.25">
      <c r="A1883" s="41" t="s">
        <v>2526</v>
      </c>
      <c r="B1883" s="1">
        <v>1</v>
      </c>
      <c r="C1883" s="8">
        <v>46161</v>
      </c>
      <c r="D1883" s="1" t="s">
        <v>2527</v>
      </c>
      <c r="E1883" s="7" t="s">
        <v>83</v>
      </c>
      <c r="F1883" s="1" t="s">
        <v>27</v>
      </c>
      <c r="G1883" s="9" t="s">
        <v>68</v>
      </c>
      <c r="H1883" s="7" t="s">
        <v>74</v>
      </c>
      <c r="I1883" s="18" t="s">
        <v>0</v>
      </c>
      <c r="J1883" s="10" t="s">
        <v>61</v>
      </c>
      <c r="K1883" s="7" t="s">
        <v>58</v>
      </c>
      <c r="L1883" s="7" t="s">
        <v>59</v>
      </c>
    </row>
    <row r="1884" spans="1:12" x14ac:dyDescent="0.25">
      <c r="A1884" s="41" t="s">
        <v>2528</v>
      </c>
      <c r="B1884" s="1">
        <v>1</v>
      </c>
      <c r="C1884" s="8">
        <v>46161</v>
      </c>
      <c r="D1884" s="1" t="s">
        <v>2529</v>
      </c>
      <c r="E1884" s="7" t="s">
        <v>83</v>
      </c>
      <c r="F1884" s="1" t="s">
        <v>27</v>
      </c>
      <c r="G1884" s="9" t="s">
        <v>68</v>
      </c>
      <c r="H1884" s="7" t="s">
        <v>74</v>
      </c>
      <c r="I1884" s="18" t="s">
        <v>0</v>
      </c>
      <c r="J1884" s="10" t="s">
        <v>61</v>
      </c>
      <c r="K1884" s="7" t="s">
        <v>58</v>
      </c>
      <c r="L1884" s="7" t="s">
        <v>59</v>
      </c>
    </row>
    <row r="1885" spans="1:12" x14ac:dyDescent="0.25">
      <c r="A1885" s="41" t="s">
        <v>2500</v>
      </c>
      <c r="B1885" s="1">
        <v>1</v>
      </c>
      <c r="C1885" s="8">
        <v>46161</v>
      </c>
      <c r="D1885" s="1" t="s">
        <v>2530</v>
      </c>
      <c r="E1885" s="7" t="s">
        <v>16</v>
      </c>
      <c r="F1885" s="1" t="s">
        <v>27</v>
      </c>
      <c r="G1885" s="9" t="s">
        <v>35</v>
      </c>
      <c r="H1885" s="7">
        <v>140</v>
      </c>
      <c r="I1885" s="18">
        <v>16610000</v>
      </c>
      <c r="J1885" s="10">
        <v>300</v>
      </c>
      <c r="K1885" s="7" t="s">
        <v>58</v>
      </c>
      <c r="L1885" s="7" t="s">
        <v>59</v>
      </c>
    </row>
    <row r="1886" spans="1:12" x14ac:dyDescent="0.25">
      <c r="A1886" s="41" t="s">
        <v>569</v>
      </c>
      <c r="B1886" s="1">
        <v>1</v>
      </c>
      <c r="C1886" s="8">
        <v>46161</v>
      </c>
      <c r="D1886" s="1" t="s">
        <v>2531</v>
      </c>
      <c r="E1886" s="7" t="s">
        <v>82</v>
      </c>
      <c r="F1886" s="1" t="s">
        <v>27</v>
      </c>
      <c r="G1886" s="9" t="s">
        <v>35</v>
      </c>
      <c r="H1886" s="7" t="s">
        <v>581</v>
      </c>
      <c r="I1886" s="18">
        <v>15000000</v>
      </c>
      <c r="J1886" s="10">
        <v>832.81</v>
      </c>
      <c r="K1886" s="7" t="s">
        <v>58</v>
      </c>
      <c r="L1886" s="7" t="s">
        <v>59</v>
      </c>
    </row>
    <row r="1887" spans="1:12" x14ac:dyDescent="0.25">
      <c r="A1887" s="41" t="s">
        <v>569</v>
      </c>
      <c r="B1887" s="1">
        <v>1</v>
      </c>
      <c r="C1887" s="8">
        <v>46161</v>
      </c>
      <c r="D1887" s="1" t="s">
        <v>2532</v>
      </c>
      <c r="E1887" s="7" t="s">
        <v>83</v>
      </c>
      <c r="F1887" s="1" t="s">
        <v>27</v>
      </c>
      <c r="G1887" s="9" t="s">
        <v>35</v>
      </c>
      <c r="H1887" s="7">
        <v>16111109</v>
      </c>
      <c r="I1887" s="18">
        <v>15000000</v>
      </c>
      <c r="J1887" s="10">
        <v>2241.75</v>
      </c>
      <c r="K1887" s="7" t="s">
        <v>58</v>
      </c>
      <c r="L1887" s="7" t="s">
        <v>59</v>
      </c>
    </row>
    <row r="1888" spans="1:12" x14ac:dyDescent="0.25">
      <c r="A1888" s="41" t="s">
        <v>569</v>
      </c>
      <c r="B1888" s="1">
        <v>1</v>
      </c>
      <c r="C1888" s="8">
        <v>46161</v>
      </c>
      <c r="D1888" s="1" t="s">
        <v>2533</v>
      </c>
      <c r="E1888" s="7" t="s">
        <v>14</v>
      </c>
      <c r="F1888" s="1" t="s">
        <v>27</v>
      </c>
      <c r="G1888" s="9" t="s">
        <v>35</v>
      </c>
      <c r="H1888" s="7" t="s">
        <v>581</v>
      </c>
      <c r="I1888" s="18">
        <v>15000000</v>
      </c>
      <c r="J1888" s="10">
        <v>12597.37</v>
      </c>
      <c r="K1888" s="7" t="s">
        <v>58</v>
      </c>
      <c r="L1888" s="7" t="s">
        <v>59</v>
      </c>
    </row>
    <row r="1889" spans="1:12" x14ac:dyDescent="0.25">
      <c r="A1889" s="41" t="s">
        <v>1717</v>
      </c>
      <c r="B1889" s="1">
        <v>1</v>
      </c>
      <c r="C1889" s="8">
        <v>46161</v>
      </c>
      <c r="D1889" s="1" t="s">
        <v>2534</v>
      </c>
      <c r="E1889" s="7" t="s">
        <v>17</v>
      </c>
      <c r="F1889" s="1" t="s">
        <v>27</v>
      </c>
      <c r="G1889" s="9" t="s">
        <v>68</v>
      </c>
      <c r="H1889" s="7" t="s">
        <v>74</v>
      </c>
      <c r="I1889" s="18" t="s">
        <v>0</v>
      </c>
      <c r="J1889" s="10" t="s">
        <v>61</v>
      </c>
      <c r="K1889" s="7" t="s">
        <v>58</v>
      </c>
      <c r="L1889" s="7" t="s">
        <v>59</v>
      </c>
    </row>
    <row r="1890" spans="1:12" x14ac:dyDescent="0.25">
      <c r="A1890" s="41" t="s">
        <v>497</v>
      </c>
      <c r="B1890" s="1">
        <v>1</v>
      </c>
      <c r="C1890" s="8">
        <v>46162</v>
      </c>
      <c r="D1890" s="1" t="s">
        <v>2535</v>
      </c>
      <c r="E1890" s="7" t="s">
        <v>16</v>
      </c>
      <c r="F1890" s="1" t="s">
        <v>27</v>
      </c>
      <c r="G1890" s="9" t="s">
        <v>68</v>
      </c>
      <c r="H1890" s="7" t="s">
        <v>74</v>
      </c>
      <c r="I1890" s="18" t="s">
        <v>0</v>
      </c>
      <c r="J1890" s="10" t="s">
        <v>61</v>
      </c>
      <c r="K1890" s="7" t="s">
        <v>58</v>
      </c>
      <c r="L1890" s="7" t="s">
        <v>59</v>
      </c>
    </row>
    <row r="1891" spans="1:12" x14ac:dyDescent="0.25">
      <c r="A1891" s="41" t="s">
        <v>1550</v>
      </c>
      <c r="B1891" s="1">
        <v>1</v>
      </c>
      <c r="C1891" s="8">
        <v>46162</v>
      </c>
      <c r="D1891" s="1" t="s">
        <v>2536</v>
      </c>
      <c r="E1891" s="7" t="s">
        <v>13</v>
      </c>
      <c r="F1891" s="1" t="s">
        <v>27</v>
      </c>
      <c r="G1891" s="9" t="s">
        <v>35</v>
      </c>
      <c r="H1891" s="7">
        <v>19489</v>
      </c>
      <c r="I1891" s="18">
        <v>16000000</v>
      </c>
      <c r="J1891" s="10">
        <v>2100.1799999999998</v>
      </c>
      <c r="K1891" s="7" t="s">
        <v>58</v>
      </c>
      <c r="L1891" s="7" t="s">
        <v>59</v>
      </c>
    </row>
    <row r="1892" spans="1:12" x14ac:dyDescent="0.25">
      <c r="A1892" s="41" t="s">
        <v>497</v>
      </c>
      <c r="B1892" s="1">
        <v>1</v>
      </c>
      <c r="C1892" s="8">
        <v>46162</v>
      </c>
      <c r="D1892" s="1" t="s">
        <v>2537</v>
      </c>
      <c r="E1892" s="7" t="s">
        <v>16</v>
      </c>
      <c r="F1892" s="1" t="s">
        <v>27</v>
      </c>
      <c r="G1892" s="9" t="s">
        <v>35</v>
      </c>
      <c r="H1892" s="7" t="s">
        <v>74</v>
      </c>
      <c r="I1892" s="18">
        <v>15000000</v>
      </c>
      <c r="J1892" s="10">
        <v>35000</v>
      </c>
      <c r="K1892" s="7" t="s">
        <v>58</v>
      </c>
      <c r="L1892" s="7" t="s">
        <v>59</v>
      </c>
    </row>
    <row r="1893" spans="1:12" x14ac:dyDescent="0.25">
      <c r="A1893" s="41" t="s">
        <v>2538</v>
      </c>
      <c r="B1893" s="1">
        <v>1</v>
      </c>
      <c r="C1893" s="8">
        <v>46162</v>
      </c>
      <c r="D1893" s="1" t="s">
        <v>2539</v>
      </c>
      <c r="E1893" s="7" t="s">
        <v>13</v>
      </c>
      <c r="F1893" s="1" t="s">
        <v>27</v>
      </c>
      <c r="G1893" s="9" t="s">
        <v>35</v>
      </c>
      <c r="H1893" s="7">
        <v>343919</v>
      </c>
      <c r="I1893" s="18">
        <v>16000000</v>
      </c>
      <c r="J1893" s="10">
        <v>3100</v>
      </c>
      <c r="K1893" s="7" t="s">
        <v>58</v>
      </c>
      <c r="L1893" s="7" t="s">
        <v>59</v>
      </c>
    </row>
    <row r="1894" spans="1:12" x14ac:dyDescent="0.25">
      <c r="A1894" s="41" t="s">
        <v>236</v>
      </c>
      <c r="B1894" s="1">
        <v>1</v>
      </c>
      <c r="C1894" s="8">
        <v>46162</v>
      </c>
      <c r="D1894" s="1" t="s">
        <v>2540</v>
      </c>
      <c r="E1894" s="7" t="s">
        <v>13</v>
      </c>
      <c r="F1894" s="1" t="s">
        <v>27</v>
      </c>
      <c r="G1894" s="9" t="s">
        <v>35</v>
      </c>
      <c r="H1894" s="7">
        <v>195565</v>
      </c>
      <c r="I1894" s="18">
        <v>15001002</v>
      </c>
      <c r="J1894" s="10">
        <v>1410</v>
      </c>
      <c r="K1894" s="7" t="s">
        <v>58</v>
      </c>
      <c r="L1894" s="7" t="s">
        <v>59</v>
      </c>
    </row>
    <row r="1895" spans="1:12" x14ac:dyDescent="0.25">
      <c r="A1895" s="41" t="s">
        <v>271</v>
      </c>
      <c r="B1895" s="1">
        <v>1</v>
      </c>
      <c r="C1895" s="8">
        <v>46162</v>
      </c>
      <c r="D1895" s="1" t="s">
        <v>2541</v>
      </c>
      <c r="E1895" s="7" t="s">
        <v>13</v>
      </c>
      <c r="F1895" s="1" t="s">
        <v>27</v>
      </c>
      <c r="G1895" s="9" t="s">
        <v>35</v>
      </c>
      <c r="H1895" s="7">
        <v>1520442</v>
      </c>
      <c r="I1895" s="18">
        <v>16000000</v>
      </c>
      <c r="J1895" s="10">
        <v>1536</v>
      </c>
      <c r="K1895" s="7" t="s">
        <v>58</v>
      </c>
      <c r="L1895" s="7" t="s">
        <v>59</v>
      </c>
    </row>
    <row r="1896" spans="1:12" x14ac:dyDescent="0.25">
      <c r="A1896" s="41" t="s">
        <v>236</v>
      </c>
      <c r="B1896" s="1">
        <v>1</v>
      </c>
      <c r="C1896" s="8">
        <v>46162</v>
      </c>
      <c r="D1896" s="1" t="s">
        <v>2542</v>
      </c>
      <c r="E1896" s="7" t="s">
        <v>13</v>
      </c>
      <c r="F1896" s="1" t="s">
        <v>27</v>
      </c>
      <c r="G1896" s="9" t="s">
        <v>35</v>
      </c>
      <c r="H1896" s="7">
        <v>195138</v>
      </c>
      <c r="I1896" s="18">
        <v>16000000</v>
      </c>
      <c r="J1896" s="10">
        <v>1700</v>
      </c>
      <c r="K1896" s="7" t="s">
        <v>58</v>
      </c>
      <c r="L1896" s="7" t="s">
        <v>59</v>
      </c>
    </row>
    <row r="1897" spans="1:12" x14ac:dyDescent="0.25">
      <c r="A1897" s="41" t="s">
        <v>236</v>
      </c>
      <c r="B1897" s="1">
        <v>1</v>
      </c>
      <c r="C1897" s="8">
        <v>46162</v>
      </c>
      <c r="D1897" s="1" t="s">
        <v>2543</v>
      </c>
      <c r="E1897" s="7" t="s">
        <v>13</v>
      </c>
      <c r="F1897" s="1" t="s">
        <v>27</v>
      </c>
      <c r="G1897" s="9" t="s">
        <v>35</v>
      </c>
      <c r="H1897" s="7">
        <v>194213</v>
      </c>
      <c r="I1897" s="18">
        <v>16000000</v>
      </c>
      <c r="J1897" s="10">
        <v>21600</v>
      </c>
      <c r="K1897" s="7" t="s">
        <v>58</v>
      </c>
      <c r="L1897" s="7" t="s">
        <v>59</v>
      </c>
    </row>
    <row r="1898" spans="1:12" x14ac:dyDescent="0.25">
      <c r="A1898" s="41" t="s">
        <v>236</v>
      </c>
      <c r="B1898" s="1">
        <v>1</v>
      </c>
      <c r="C1898" s="8">
        <v>46162</v>
      </c>
      <c r="D1898" s="1" t="s">
        <v>2544</v>
      </c>
      <c r="E1898" s="7" t="s">
        <v>13</v>
      </c>
      <c r="F1898" s="1" t="s">
        <v>27</v>
      </c>
      <c r="G1898" s="9" t="s">
        <v>35</v>
      </c>
      <c r="H1898" s="7">
        <v>194254</v>
      </c>
      <c r="I1898" s="18">
        <v>16000000</v>
      </c>
      <c r="J1898" s="10">
        <v>9870</v>
      </c>
      <c r="K1898" s="7" t="s">
        <v>58</v>
      </c>
      <c r="L1898" s="7" t="s">
        <v>59</v>
      </c>
    </row>
    <row r="1899" spans="1:12" x14ac:dyDescent="0.25">
      <c r="A1899" s="41" t="s">
        <v>2371</v>
      </c>
      <c r="B1899" s="1">
        <v>1</v>
      </c>
      <c r="C1899" s="8">
        <v>46162</v>
      </c>
      <c r="D1899" s="1" t="s">
        <v>2545</v>
      </c>
      <c r="E1899" s="7" t="s">
        <v>13</v>
      </c>
      <c r="F1899" s="1" t="s">
        <v>27</v>
      </c>
      <c r="G1899" s="9" t="s">
        <v>35</v>
      </c>
      <c r="H1899" s="7">
        <v>289904</v>
      </c>
      <c r="I1899" s="18">
        <v>16000000</v>
      </c>
      <c r="J1899" s="10">
        <v>1500</v>
      </c>
      <c r="K1899" s="7" t="s">
        <v>58</v>
      </c>
      <c r="L1899" s="7" t="s">
        <v>59</v>
      </c>
    </row>
    <row r="1900" spans="1:12" x14ac:dyDescent="0.25">
      <c r="A1900" s="41" t="s">
        <v>1413</v>
      </c>
      <c r="B1900" s="1">
        <v>1</v>
      </c>
      <c r="C1900" s="8">
        <v>46162</v>
      </c>
      <c r="D1900" s="1" t="s">
        <v>2546</v>
      </c>
      <c r="E1900" s="7" t="s">
        <v>11</v>
      </c>
      <c r="F1900" s="1" t="s">
        <v>27</v>
      </c>
      <c r="G1900" s="9" t="s">
        <v>35</v>
      </c>
      <c r="H1900" s="7">
        <v>2674</v>
      </c>
      <c r="I1900" s="18">
        <v>15000000</v>
      </c>
      <c r="J1900" s="10">
        <v>4728.6000000000004</v>
      </c>
      <c r="K1900" s="7" t="s">
        <v>58</v>
      </c>
      <c r="L1900" s="7" t="s">
        <v>59</v>
      </c>
    </row>
    <row r="1901" spans="1:12" x14ac:dyDescent="0.25">
      <c r="A1901" s="41" t="s">
        <v>236</v>
      </c>
      <c r="B1901" s="1">
        <v>1</v>
      </c>
      <c r="C1901" s="8">
        <v>46162</v>
      </c>
      <c r="D1901" s="1" t="s">
        <v>2547</v>
      </c>
      <c r="E1901" s="7" t="s">
        <v>13</v>
      </c>
      <c r="F1901" s="1" t="s">
        <v>27</v>
      </c>
      <c r="G1901" s="9" t="s">
        <v>35</v>
      </c>
      <c r="H1901" s="7">
        <v>194250</v>
      </c>
      <c r="I1901" s="18">
        <v>16000000</v>
      </c>
      <c r="J1901" s="10">
        <v>13200</v>
      </c>
      <c r="K1901" s="7" t="s">
        <v>58</v>
      </c>
      <c r="L1901" s="7" t="s">
        <v>59</v>
      </c>
    </row>
    <row r="1902" spans="1:12" x14ac:dyDescent="0.25">
      <c r="A1902" s="41" t="s">
        <v>236</v>
      </c>
      <c r="B1902" s="1">
        <v>1</v>
      </c>
      <c r="C1902" s="8">
        <v>46162</v>
      </c>
      <c r="D1902" s="1" t="s">
        <v>2548</v>
      </c>
      <c r="E1902" s="7" t="s">
        <v>13</v>
      </c>
      <c r="F1902" s="1" t="s">
        <v>27</v>
      </c>
      <c r="G1902" s="9" t="s">
        <v>35</v>
      </c>
      <c r="H1902" s="7">
        <v>195017</v>
      </c>
      <c r="I1902" s="18">
        <v>15001002</v>
      </c>
      <c r="J1902" s="10">
        <v>1554</v>
      </c>
      <c r="K1902" s="7" t="s">
        <v>58</v>
      </c>
      <c r="L1902" s="7" t="s">
        <v>59</v>
      </c>
    </row>
    <row r="1903" spans="1:12" x14ac:dyDescent="0.25">
      <c r="A1903" s="41" t="s">
        <v>1413</v>
      </c>
      <c r="B1903" s="1">
        <v>1</v>
      </c>
      <c r="C1903" s="8">
        <v>46162</v>
      </c>
      <c r="D1903" s="1" t="s">
        <v>2549</v>
      </c>
      <c r="E1903" s="7" t="s">
        <v>11</v>
      </c>
      <c r="F1903" s="1" t="s">
        <v>27</v>
      </c>
      <c r="G1903" s="9" t="s">
        <v>35</v>
      </c>
      <c r="H1903" s="7">
        <v>2675</v>
      </c>
      <c r="I1903" s="18">
        <v>15000000</v>
      </c>
      <c r="J1903" s="10">
        <v>4833.68</v>
      </c>
      <c r="K1903" s="7" t="s">
        <v>58</v>
      </c>
      <c r="L1903" s="7" t="s">
        <v>59</v>
      </c>
    </row>
    <row r="1904" spans="1:12" x14ac:dyDescent="0.25">
      <c r="A1904" s="41" t="s">
        <v>2550</v>
      </c>
      <c r="B1904" s="1">
        <v>1</v>
      </c>
      <c r="C1904" s="8">
        <v>46162</v>
      </c>
      <c r="D1904" s="1" t="s">
        <v>2551</v>
      </c>
      <c r="E1904" s="7" t="s">
        <v>83</v>
      </c>
      <c r="F1904" s="1" t="s">
        <v>27</v>
      </c>
      <c r="G1904" s="9" t="s">
        <v>36</v>
      </c>
      <c r="H1904" s="7" t="s">
        <v>74</v>
      </c>
      <c r="I1904" s="18" t="s">
        <v>0</v>
      </c>
      <c r="J1904" s="10">
        <v>532005.91</v>
      </c>
      <c r="K1904" s="7" t="s">
        <v>58</v>
      </c>
      <c r="L1904" s="7" t="s">
        <v>59</v>
      </c>
    </row>
    <row r="1905" spans="1:12" x14ac:dyDescent="0.25">
      <c r="A1905" s="41" t="s">
        <v>183</v>
      </c>
      <c r="B1905" s="1">
        <v>1</v>
      </c>
      <c r="C1905" s="8">
        <v>46162</v>
      </c>
      <c r="D1905" s="1" t="s">
        <v>2552</v>
      </c>
      <c r="E1905" s="7" t="s">
        <v>12</v>
      </c>
      <c r="F1905" s="1" t="s">
        <v>27</v>
      </c>
      <c r="G1905" s="9" t="s">
        <v>63</v>
      </c>
      <c r="H1905" s="7" t="s">
        <v>74</v>
      </c>
      <c r="I1905" s="18" t="s">
        <v>0</v>
      </c>
      <c r="J1905" s="10" t="s">
        <v>61</v>
      </c>
      <c r="K1905" s="7" t="s">
        <v>58</v>
      </c>
      <c r="L1905" s="7" t="s">
        <v>59</v>
      </c>
    </row>
    <row r="1906" spans="1:12" x14ac:dyDescent="0.25">
      <c r="A1906" s="41" t="s">
        <v>632</v>
      </c>
      <c r="B1906" s="1">
        <v>1</v>
      </c>
      <c r="C1906" s="8">
        <v>46162</v>
      </c>
      <c r="D1906" s="1" t="s">
        <v>2553</v>
      </c>
      <c r="E1906" s="7" t="s">
        <v>2</v>
      </c>
      <c r="F1906" s="1" t="s">
        <v>27</v>
      </c>
      <c r="G1906" s="9" t="s">
        <v>63</v>
      </c>
      <c r="H1906" s="7" t="s">
        <v>74</v>
      </c>
      <c r="I1906" s="18" t="s">
        <v>0</v>
      </c>
      <c r="J1906" s="10" t="s">
        <v>61</v>
      </c>
      <c r="K1906" s="7" t="s">
        <v>58</v>
      </c>
      <c r="L1906" s="7" t="s">
        <v>59</v>
      </c>
    </row>
    <row r="1907" spans="1:12" x14ac:dyDescent="0.25">
      <c r="A1907" s="41" t="s">
        <v>205</v>
      </c>
      <c r="B1907" s="1">
        <v>1</v>
      </c>
      <c r="C1907" s="8">
        <v>46162</v>
      </c>
      <c r="D1907" s="1" t="s">
        <v>2554</v>
      </c>
      <c r="E1907" s="7" t="s">
        <v>13</v>
      </c>
      <c r="F1907" s="1" t="s">
        <v>27</v>
      </c>
      <c r="G1907" s="9" t="s">
        <v>63</v>
      </c>
      <c r="H1907" s="7" t="s">
        <v>74</v>
      </c>
      <c r="I1907" s="18" t="s">
        <v>0</v>
      </c>
      <c r="J1907" s="10" t="s">
        <v>61</v>
      </c>
      <c r="K1907" s="7" t="s">
        <v>58</v>
      </c>
      <c r="L1907" s="7" t="s">
        <v>59</v>
      </c>
    </row>
    <row r="1908" spans="1:12" x14ac:dyDescent="0.25">
      <c r="B1908" s="1">
        <v>1</v>
      </c>
      <c r="C1908" s="8">
        <v>46162</v>
      </c>
      <c r="D1908" s="1" t="s">
        <v>2555</v>
      </c>
      <c r="F1908" s="1" t="s">
        <v>27</v>
      </c>
      <c r="K1908" s="7" t="s">
        <v>58</v>
      </c>
      <c r="L1908" s="7" t="s">
        <v>59</v>
      </c>
    </row>
    <row r="1909" spans="1:12" x14ac:dyDescent="0.25">
      <c r="B1909" s="1">
        <v>1</v>
      </c>
      <c r="C1909" s="8">
        <v>46162</v>
      </c>
      <c r="F1909" s="1" t="s">
        <v>27</v>
      </c>
      <c r="K1909" s="7" t="s">
        <v>58</v>
      </c>
      <c r="L1909" s="7" t="s">
        <v>59</v>
      </c>
    </row>
    <row r="1910" spans="1:12" x14ac:dyDescent="0.25">
      <c r="B1910" s="1">
        <v>1</v>
      </c>
      <c r="C1910" s="8">
        <v>46162</v>
      </c>
      <c r="F1910" s="1" t="s">
        <v>27</v>
      </c>
      <c r="K1910" s="7" t="s">
        <v>58</v>
      </c>
      <c r="L1910" s="7" t="s">
        <v>59</v>
      </c>
    </row>
    <row r="1911" spans="1:12" x14ac:dyDescent="0.25">
      <c r="B1911" s="1">
        <v>1</v>
      </c>
      <c r="C1911" s="8">
        <v>46162</v>
      </c>
      <c r="F1911" s="1" t="s">
        <v>27</v>
      </c>
      <c r="K1911" s="7" t="s">
        <v>58</v>
      </c>
      <c r="L1911" s="7" t="s">
        <v>59</v>
      </c>
    </row>
    <row r="1912" spans="1:12" x14ac:dyDescent="0.25">
      <c r="B1912" s="1">
        <v>1</v>
      </c>
      <c r="C1912" s="8">
        <v>46162</v>
      </c>
      <c r="F1912" s="1" t="s">
        <v>27</v>
      </c>
      <c r="K1912" s="7" t="s">
        <v>58</v>
      </c>
      <c r="L1912" s="7" t="s">
        <v>59</v>
      </c>
    </row>
    <row r="1913" spans="1:12" x14ac:dyDescent="0.25">
      <c r="B1913" s="1">
        <v>1</v>
      </c>
      <c r="C1913" s="8">
        <v>46162</v>
      </c>
      <c r="F1913" s="1" t="s">
        <v>27</v>
      </c>
      <c r="K1913" s="7" t="s">
        <v>58</v>
      </c>
      <c r="L1913" s="7" t="s">
        <v>59</v>
      </c>
    </row>
    <row r="1914" spans="1:12" x14ac:dyDescent="0.25">
      <c r="B1914" s="1">
        <v>1</v>
      </c>
      <c r="C1914" s="8">
        <v>46162</v>
      </c>
      <c r="F1914" s="1" t="s">
        <v>27</v>
      </c>
      <c r="K1914" s="7" t="s">
        <v>58</v>
      </c>
      <c r="L1914" s="7" t="s">
        <v>59</v>
      </c>
    </row>
    <row r="1915" spans="1:12" x14ac:dyDescent="0.25">
      <c r="B1915" s="1">
        <v>1</v>
      </c>
      <c r="C1915" s="8">
        <v>46162</v>
      </c>
      <c r="F1915" s="1" t="s">
        <v>27</v>
      </c>
      <c r="K1915" s="7" t="s">
        <v>58</v>
      </c>
      <c r="L1915" s="7" t="s">
        <v>59</v>
      </c>
    </row>
    <row r="1916" spans="1:12" x14ac:dyDescent="0.25">
      <c r="B1916" s="1">
        <v>1</v>
      </c>
      <c r="C1916" s="8"/>
      <c r="F1916" s="1" t="s">
        <v>27</v>
      </c>
      <c r="K1916" s="7" t="s">
        <v>58</v>
      </c>
      <c r="L1916" s="7" t="s">
        <v>59</v>
      </c>
    </row>
    <row r="1917" spans="1:12" x14ac:dyDescent="0.25">
      <c r="B1917" s="1">
        <v>1</v>
      </c>
      <c r="C1917" s="8"/>
      <c r="F1917" s="1" t="s">
        <v>27</v>
      </c>
      <c r="K1917" s="7" t="s">
        <v>58</v>
      </c>
      <c r="L1917" s="7" t="s">
        <v>59</v>
      </c>
    </row>
    <row r="1918" spans="1:12" x14ac:dyDescent="0.25">
      <c r="B1918" s="1">
        <v>1</v>
      </c>
      <c r="C1918" s="8"/>
      <c r="F1918" s="1" t="s">
        <v>27</v>
      </c>
      <c r="K1918" s="7" t="s">
        <v>58</v>
      </c>
      <c r="L1918" s="7" t="s">
        <v>59</v>
      </c>
    </row>
    <row r="1919" spans="1:12" x14ac:dyDescent="0.25">
      <c r="B1919" s="1">
        <v>1</v>
      </c>
      <c r="C1919" s="8"/>
      <c r="F1919" s="1" t="s">
        <v>27</v>
      </c>
      <c r="K1919" s="7" t="s">
        <v>58</v>
      </c>
      <c r="L1919" s="7" t="s">
        <v>59</v>
      </c>
    </row>
    <row r="1920" spans="1:12" x14ac:dyDescent="0.25">
      <c r="B1920" s="1">
        <v>1</v>
      </c>
      <c r="C1920" s="8"/>
      <c r="F1920" s="1" t="s">
        <v>27</v>
      </c>
      <c r="K1920" s="7" t="s">
        <v>58</v>
      </c>
      <c r="L1920" s="7" t="s">
        <v>59</v>
      </c>
    </row>
    <row r="1921" spans="2:12" x14ac:dyDescent="0.25">
      <c r="B1921" s="1">
        <v>1</v>
      </c>
      <c r="C1921" s="8"/>
      <c r="F1921" s="1" t="s">
        <v>27</v>
      </c>
      <c r="K1921" s="7" t="s">
        <v>58</v>
      </c>
      <c r="L1921" s="7" t="s">
        <v>59</v>
      </c>
    </row>
    <row r="1922" spans="2:12" x14ac:dyDescent="0.25">
      <c r="B1922" s="1">
        <v>1</v>
      </c>
      <c r="C1922" s="8"/>
      <c r="F1922" s="1" t="s">
        <v>27</v>
      </c>
      <c r="K1922" s="7" t="s">
        <v>58</v>
      </c>
      <c r="L1922" s="7" t="s">
        <v>59</v>
      </c>
    </row>
    <row r="1923" spans="2:12" x14ac:dyDescent="0.25">
      <c r="B1923" s="1">
        <v>1</v>
      </c>
      <c r="C1923" s="8"/>
      <c r="F1923" s="1" t="s">
        <v>27</v>
      </c>
      <c r="K1923" s="7" t="s">
        <v>58</v>
      </c>
      <c r="L1923" s="7" t="s">
        <v>59</v>
      </c>
    </row>
    <row r="1924" spans="2:12" x14ac:dyDescent="0.25">
      <c r="B1924" s="1">
        <v>1</v>
      </c>
      <c r="C1924" s="8"/>
      <c r="F1924" s="1" t="s">
        <v>27</v>
      </c>
      <c r="K1924" s="7" t="s">
        <v>58</v>
      </c>
      <c r="L1924" s="7" t="s">
        <v>59</v>
      </c>
    </row>
    <row r="1925" spans="2:12" x14ac:dyDescent="0.25">
      <c r="B1925" s="1">
        <v>1</v>
      </c>
      <c r="C1925" s="8"/>
      <c r="F1925" s="1" t="s">
        <v>27</v>
      </c>
      <c r="K1925" s="7" t="s">
        <v>58</v>
      </c>
      <c r="L1925" s="7" t="s">
        <v>59</v>
      </c>
    </row>
    <row r="1926" spans="2:12" x14ac:dyDescent="0.25">
      <c r="B1926" s="1">
        <v>1</v>
      </c>
      <c r="C1926" s="8"/>
      <c r="F1926" s="1" t="s">
        <v>27</v>
      </c>
      <c r="K1926" s="7" t="s">
        <v>58</v>
      </c>
      <c r="L1926" s="7" t="s">
        <v>59</v>
      </c>
    </row>
    <row r="1927" spans="2:12" x14ac:dyDescent="0.25">
      <c r="B1927" s="1">
        <v>1</v>
      </c>
      <c r="C1927" s="8"/>
      <c r="F1927" s="1" t="s">
        <v>27</v>
      </c>
      <c r="K1927" s="7" t="s">
        <v>58</v>
      </c>
      <c r="L1927" s="7" t="s">
        <v>59</v>
      </c>
    </row>
    <row r="1928" spans="2:12" x14ac:dyDescent="0.25">
      <c r="B1928" s="1">
        <v>1</v>
      </c>
      <c r="C1928" s="8"/>
      <c r="F1928" s="1" t="s">
        <v>27</v>
      </c>
      <c r="K1928" s="7" t="s">
        <v>58</v>
      </c>
      <c r="L1928" s="7" t="s">
        <v>59</v>
      </c>
    </row>
    <row r="1929" spans="2:12" x14ac:dyDescent="0.25">
      <c r="B1929" s="1">
        <v>1</v>
      </c>
      <c r="C1929" s="8"/>
      <c r="F1929" s="1" t="s">
        <v>27</v>
      </c>
      <c r="K1929" s="7" t="s">
        <v>58</v>
      </c>
      <c r="L1929" s="7" t="s">
        <v>59</v>
      </c>
    </row>
    <row r="1930" spans="2:12" x14ac:dyDescent="0.25">
      <c r="B1930" s="1">
        <v>1</v>
      </c>
      <c r="C1930" s="8"/>
      <c r="F1930" s="1" t="s">
        <v>27</v>
      </c>
      <c r="K1930" s="7" t="s">
        <v>58</v>
      </c>
      <c r="L1930" s="7" t="s">
        <v>59</v>
      </c>
    </row>
    <row r="1931" spans="2:12" x14ac:dyDescent="0.25">
      <c r="B1931" s="1">
        <v>1</v>
      </c>
      <c r="C1931" s="8"/>
      <c r="F1931" s="1" t="s">
        <v>27</v>
      </c>
      <c r="K1931" s="7" t="s">
        <v>58</v>
      </c>
      <c r="L1931" s="7" t="s">
        <v>59</v>
      </c>
    </row>
    <row r="1932" spans="2:12" x14ac:dyDescent="0.25">
      <c r="B1932" s="1">
        <v>1</v>
      </c>
      <c r="C1932" s="8"/>
      <c r="F1932" s="1" t="s">
        <v>27</v>
      </c>
      <c r="K1932" s="7" t="s">
        <v>58</v>
      </c>
      <c r="L1932" s="7" t="s">
        <v>59</v>
      </c>
    </row>
    <row r="1933" spans="2:12" x14ac:dyDescent="0.25">
      <c r="B1933" s="1">
        <v>1</v>
      </c>
      <c r="C1933" s="8"/>
      <c r="F1933" s="1" t="s">
        <v>27</v>
      </c>
      <c r="K1933" s="7" t="s">
        <v>58</v>
      </c>
      <c r="L1933" s="7" t="s">
        <v>59</v>
      </c>
    </row>
    <row r="1934" spans="2:12" x14ac:dyDescent="0.25">
      <c r="B1934" s="1">
        <v>1</v>
      </c>
      <c r="C1934" s="8"/>
      <c r="F1934" s="1" t="s">
        <v>27</v>
      </c>
      <c r="K1934" s="7" t="s">
        <v>58</v>
      </c>
      <c r="L1934" s="7" t="s">
        <v>59</v>
      </c>
    </row>
    <row r="1935" spans="2:12" x14ac:dyDescent="0.25">
      <c r="B1935" s="1">
        <v>1</v>
      </c>
      <c r="C1935" s="8"/>
      <c r="F1935" s="1" t="s">
        <v>27</v>
      </c>
      <c r="K1935" s="7" t="s">
        <v>58</v>
      </c>
      <c r="L1935" s="7" t="s">
        <v>59</v>
      </c>
    </row>
    <row r="1936" spans="2:12" x14ac:dyDescent="0.25">
      <c r="B1936" s="1">
        <v>1</v>
      </c>
      <c r="C1936" s="8"/>
      <c r="F1936" s="1" t="s">
        <v>27</v>
      </c>
      <c r="K1936" s="7" t="s">
        <v>58</v>
      </c>
      <c r="L1936" s="7" t="s">
        <v>59</v>
      </c>
    </row>
    <row r="1937" spans="2:14" x14ac:dyDescent="0.25">
      <c r="B1937" s="1">
        <v>1</v>
      </c>
      <c r="C1937" s="8"/>
      <c r="F1937" s="1" t="s">
        <v>27</v>
      </c>
      <c r="K1937" s="7" t="s">
        <v>58</v>
      </c>
      <c r="L1937" s="7" t="s">
        <v>59</v>
      </c>
    </row>
    <row r="1938" spans="2:14" x14ac:dyDescent="0.25">
      <c r="B1938" s="1">
        <v>1</v>
      </c>
      <c r="C1938" s="8"/>
      <c r="F1938" s="1" t="s">
        <v>27</v>
      </c>
      <c r="K1938" s="7" t="s">
        <v>58</v>
      </c>
      <c r="L1938" s="7" t="s">
        <v>59</v>
      </c>
    </row>
    <row r="1939" spans="2:14" x14ac:dyDescent="0.25">
      <c r="B1939" s="1">
        <v>1</v>
      </c>
      <c r="C1939" s="8"/>
      <c r="F1939" s="1" t="s">
        <v>27</v>
      </c>
      <c r="K1939" s="7" t="s">
        <v>58</v>
      </c>
      <c r="L1939" s="7" t="s">
        <v>59</v>
      </c>
    </row>
    <row r="1940" spans="2:14" x14ac:dyDescent="0.25">
      <c r="B1940" s="1">
        <v>1</v>
      </c>
      <c r="C1940" s="8"/>
      <c r="F1940" s="1" t="s">
        <v>27</v>
      </c>
      <c r="K1940" s="7" t="s">
        <v>58</v>
      </c>
      <c r="L1940" s="7" t="s">
        <v>59</v>
      </c>
    </row>
    <row r="1941" spans="2:14" x14ac:dyDescent="0.25">
      <c r="B1941" s="1">
        <v>1</v>
      </c>
      <c r="C1941" s="8"/>
      <c r="F1941" s="1" t="s">
        <v>27</v>
      </c>
      <c r="K1941" s="7" t="s">
        <v>58</v>
      </c>
      <c r="L1941" s="7" t="s">
        <v>59</v>
      </c>
    </row>
    <row r="1942" spans="2:14" x14ac:dyDescent="0.25">
      <c r="B1942" s="1">
        <v>1</v>
      </c>
      <c r="C1942" s="8"/>
      <c r="F1942" s="1" t="s">
        <v>27</v>
      </c>
      <c r="K1942" s="7" t="s">
        <v>58</v>
      </c>
      <c r="L1942" s="7" t="s">
        <v>59</v>
      </c>
      <c r="N1942" s="17"/>
    </row>
    <row r="1943" spans="2:14" x14ac:dyDescent="0.25">
      <c r="B1943" s="1">
        <v>1</v>
      </c>
      <c r="C1943" s="8"/>
      <c r="F1943" s="1" t="s">
        <v>27</v>
      </c>
      <c r="K1943" s="7" t="s">
        <v>58</v>
      </c>
      <c r="L1943" s="7" t="s">
        <v>59</v>
      </c>
    </row>
    <row r="1944" spans="2:14" x14ac:dyDescent="0.25">
      <c r="B1944" s="1">
        <v>1</v>
      </c>
      <c r="C1944" s="8"/>
      <c r="F1944" s="1" t="s">
        <v>27</v>
      </c>
      <c r="K1944" s="7" t="s">
        <v>58</v>
      </c>
      <c r="L1944" s="7" t="s">
        <v>59</v>
      </c>
    </row>
    <row r="1945" spans="2:14" x14ac:dyDescent="0.25">
      <c r="B1945" s="1">
        <v>1</v>
      </c>
      <c r="C1945" s="8"/>
      <c r="F1945" s="1" t="s">
        <v>27</v>
      </c>
      <c r="K1945" s="7" t="s">
        <v>58</v>
      </c>
      <c r="L1945" s="7" t="s">
        <v>59</v>
      </c>
    </row>
    <row r="1946" spans="2:14" x14ac:dyDescent="0.25">
      <c r="B1946" s="1">
        <v>1</v>
      </c>
      <c r="C1946" s="8"/>
      <c r="F1946" s="1" t="s">
        <v>27</v>
      </c>
      <c r="K1946" s="7" t="s">
        <v>58</v>
      </c>
      <c r="L1946" s="7" t="s">
        <v>59</v>
      </c>
    </row>
    <row r="1947" spans="2:14" x14ac:dyDescent="0.25">
      <c r="B1947" s="1">
        <v>1</v>
      </c>
      <c r="C1947" s="8"/>
      <c r="F1947" s="1" t="s">
        <v>27</v>
      </c>
      <c r="K1947" s="7" t="s">
        <v>58</v>
      </c>
      <c r="L1947" s="7" t="s">
        <v>59</v>
      </c>
    </row>
    <row r="1948" spans="2:14" x14ac:dyDescent="0.25">
      <c r="B1948" s="1">
        <v>1</v>
      </c>
      <c r="C1948" s="8"/>
      <c r="F1948" s="1" t="s">
        <v>27</v>
      </c>
      <c r="K1948" s="7" t="s">
        <v>58</v>
      </c>
      <c r="L1948" s="7" t="s">
        <v>59</v>
      </c>
    </row>
    <row r="1949" spans="2:14" x14ac:dyDescent="0.25">
      <c r="B1949" s="1">
        <v>1</v>
      </c>
      <c r="C1949" s="8"/>
      <c r="F1949" s="1" t="s">
        <v>27</v>
      </c>
      <c r="K1949" s="7" t="s">
        <v>58</v>
      </c>
      <c r="L1949" s="7" t="s">
        <v>59</v>
      </c>
    </row>
    <row r="1950" spans="2:14" x14ac:dyDescent="0.25">
      <c r="B1950" s="1">
        <v>1</v>
      </c>
      <c r="C1950" s="8"/>
      <c r="F1950" s="1" t="s">
        <v>27</v>
      </c>
      <c r="K1950" s="7" t="s">
        <v>58</v>
      </c>
      <c r="L1950" s="7" t="s">
        <v>59</v>
      </c>
    </row>
    <row r="1951" spans="2:14" x14ac:dyDescent="0.25">
      <c r="B1951" s="1">
        <v>1</v>
      </c>
      <c r="C1951" s="8"/>
      <c r="F1951" s="1" t="s">
        <v>27</v>
      </c>
      <c r="K1951" s="7" t="s">
        <v>58</v>
      </c>
      <c r="L1951" s="7" t="s">
        <v>59</v>
      </c>
    </row>
    <row r="1952" spans="2:14" x14ac:dyDescent="0.25">
      <c r="B1952" s="1">
        <v>1</v>
      </c>
      <c r="C1952" s="8"/>
      <c r="F1952" s="1" t="s">
        <v>27</v>
      </c>
      <c r="K1952" s="7" t="s">
        <v>58</v>
      </c>
      <c r="L1952" s="7" t="s">
        <v>59</v>
      </c>
    </row>
    <row r="1953" spans="2:15" x14ac:dyDescent="0.25">
      <c r="B1953" s="1">
        <v>1</v>
      </c>
      <c r="C1953" s="8"/>
      <c r="F1953" s="1" t="s">
        <v>27</v>
      </c>
      <c r="K1953" s="7" t="s">
        <v>58</v>
      </c>
      <c r="L1953" s="7" t="s">
        <v>59</v>
      </c>
    </row>
    <row r="1954" spans="2:15" x14ac:dyDescent="0.25">
      <c r="B1954" s="1">
        <v>1</v>
      </c>
      <c r="C1954" s="8"/>
      <c r="F1954" s="1" t="s">
        <v>27</v>
      </c>
      <c r="K1954" s="7" t="s">
        <v>58</v>
      </c>
      <c r="L1954" s="7" t="s">
        <v>59</v>
      </c>
    </row>
    <row r="1955" spans="2:15" x14ac:dyDescent="0.25">
      <c r="B1955" s="1">
        <v>1</v>
      </c>
      <c r="C1955" s="8"/>
      <c r="F1955" s="1" t="s">
        <v>27</v>
      </c>
      <c r="K1955" s="7" t="s">
        <v>58</v>
      </c>
      <c r="L1955" s="7" t="s">
        <v>59</v>
      </c>
    </row>
    <row r="1956" spans="2:15" x14ac:dyDescent="0.25">
      <c r="B1956" s="1">
        <v>1</v>
      </c>
      <c r="C1956" s="8"/>
      <c r="F1956" s="1" t="s">
        <v>27</v>
      </c>
      <c r="K1956" s="7" t="s">
        <v>58</v>
      </c>
      <c r="L1956" s="7" t="s">
        <v>59</v>
      </c>
    </row>
    <row r="1957" spans="2:15" x14ac:dyDescent="0.25">
      <c r="B1957" s="1">
        <v>1</v>
      </c>
      <c r="C1957" s="8"/>
      <c r="F1957" s="1" t="s">
        <v>27</v>
      </c>
      <c r="K1957" s="7" t="s">
        <v>58</v>
      </c>
      <c r="L1957" s="7" t="s">
        <v>59</v>
      </c>
    </row>
    <row r="1958" spans="2:15" x14ac:dyDescent="0.25">
      <c r="B1958" s="1">
        <v>1</v>
      </c>
      <c r="C1958" s="8"/>
      <c r="F1958" s="1" t="s">
        <v>27</v>
      </c>
      <c r="K1958" s="7" t="s">
        <v>58</v>
      </c>
      <c r="L1958" s="7" t="s">
        <v>59</v>
      </c>
    </row>
    <row r="1959" spans="2:15" x14ac:dyDescent="0.25">
      <c r="B1959" s="1">
        <v>1</v>
      </c>
      <c r="C1959" s="8"/>
      <c r="F1959" s="1" t="s">
        <v>27</v>
      </c>
      <c r="K1959" s="7" t="s">
        <v>58</v>
      </c>
      <c r="L1959" s="7" t="s">
        <v>59</v>
      </c>
    </row>
    <row r="1960" spans="2:15" x14ac:dyDescent="0.25">
      <c r="B1960" s="1">
        <v>1</v>
      </c>
      <c r="C1960" s="8"/>
      <c r="F1960" s="1" t="s">
        <v>27</v>
      </c>
      <c r="K1960" s="7" t="s">
        <v>58</v>
      </c>
      <c r="L1960" s="7" t="s">
        <v>59</v>
      </c>
    </row>
    <row r="1961" spans="2:15" x14ac:dyDescent="0.25">
      <c r="B1961" s="1">
        <v>1</v>
      </c>
      <c r="C1961" s="8"/>
      <c r="F1961" s="1" t="s">
        <v>27</v>
      </c>
      <c r="K1961" s="7" t="s">
        <v>58</v>
      </c>
      <c r="L1961" s="7" t="s">
        <v>59</v>
      </c>
    </row>
    <row r="1962" spans="2:15" x14ac:dyDescent="0.25">
      <c r="B1962" s="1">
        <v>1</v>
      </c>
      <c r="C1962" s="8"/>
      <c r="F1962" s="1" t="s">
        <v>27</v>
      </c>
      <c r="K1962" s="7" t="s">
        <v>58</v>
      </c>
      <c r="L1962" s="7" t="s">
        <v>59</v>
      </c>
    </row>
    <row r="1963" spans="2:15" x14ac:dyDescent="0.25">
      <c r="B1963" s="1">
        <v>1</v>
      </c>
      <c r="C1963" s="8"/>
      <c r="F1963" s="1" t="s">
        <v>27</v>
      </c>
      <c r="K1963" s="7" t="s">
        <v>58</v>
      </c>
      <c r="L1963" s="7" t="s">
        <v>59</v>
      </c>
      <c r="O1963" s="8"/>
    </row>
    <row r="1964" spans="2:15" x14ac:dyDescent="0.25">
      <c r="B1964" s="1">
        <v>1</v>
      </c>
      <c r="C1964" s="8"/>
      <c r="F1964" s="1" t="s">
        <v>27</v>
      </c>
      <c r="K1964" s="7" t="s">
        <v>58</v>
      </c>
      <c r="L1964" s="7" t="s">
        <v>59</v>
      </c>
    </row>
    <row r="1965" spans="2:15" x14ac:dyDescent="0.25">
      <c r="B1965" s="1">
        <v>1</v>
      </c>
      <c r="C1965" s="8"/>
      <c r="F1965" s="1" t="s">
        <v>27</v>
      </c>
      <c r="K1965" s="7" t="s">
        <v>58</v>
      </c>
      <c r="L1965" s="7" t="s">
        <v>59</v>
      </c>
    </row>
    <row r="1966" spans="2:15" x14ac:dyDescent="0.25">
      <c r="B1966" s="1">
        <v>1</v>
      </c>
      <c r="C1966" s="8"/>
      <c r="F1966" s="1" t="s">
        <v>27</v>
      </c>
      <c r="K1966" s="7" t="s">
        <v>58</v>
      </c>
      <c r="L1966" s="7" t="s">
        <v>59</v>
      </c>
    </row>
    <row r="1967" spans="2:15" x14ac:dyDescent="0.25">
      <c r="B1967" s="1">
        <v>1</v>
      </c>
      <c r="C1967" s="8"/>
      <c r="F1967" s="1" t="s">
        <v>27</v>
      </c>
      <c r="K1967" s="7" t="s">
        <v>58</v>
      </c>
      <c r="L1967" s="7" t="s">
        <v>59</v>
      </c>
    </row>
    <row r="1968" spans="2:15" x14ac:dyDescent="0.25">
      <c r="B1968" s="1">
        <v>1</v>
      </c>
      <c r="C1968" s="8"/>
      <c r="F1968" s="1" t="s">
        <v>27</v>
      </c>
      <c r="K1968" s="7" t="s">
        <v>58</v>
      </c>
      <c r="L1968" s="7" t="s">
        <v>59</v>
      </c>
    </row>
    <row r="1969" spans="2:12" x14ac:dyDescent="0.25">
      <c r="B1969" s="1">
        <v>1</v>
      </c>
      <c r="C1969" s="8"/>
      <c r="F1969" s="1" t="s">
        <v>27</v>
      </c>
      <c r="K1969" s="7" t="s">
        <v>58</v>
      </c>
      <c r="L1969" s="7" t="s">
        <v>59</v>
      </c>
    </row>
    <row r="1970" spans="2:12" x14ac:dyDescent="0.25">
      <c r="B1970" s="1">
        <v>1</v>
      </c>
      <c r="C1970" s="8"/>
      <c r="F1970" s="1" t="s">
        <v>27</v>
      </c>
      <c r="K1970" s="7" t="s">
        <v>58</v>
      </c>
      <c r="L1970" s="7" t="s">
        <v>59</v>
      </c>
    </row>
    <row r="1971" spans="2:12" x14ac:dyDescent="0.25">
      <c r="B1971" s="1">
        <v>1</v>
      </c>
      <c r="C1971" s="8"/>
      <c r="F1971" s="1" t="s">
        <v>27</v>
      </c>
      <c r="K1971" s="7" t="s">
        <v>58</v>
      </c>
      <c r="L1971" s="7" t="s">
        <v>59</v>
      </c>
    </row>
    <row r="1972" spans="2:12" x14ac:dyDescent="0.25">
      <c r="B1972" s="1">
        <v>1</v>
      </c>
      <c r="C1972" s="8"/>
      <c r="F1972" s="1" t="s">
        <v>27</v>
      </c>
      <c r="K1972" s="7" t="s">
        <v>58</v>
      </c>
      <c r="L1972" s="7" t="s">
        <v>59</v>
      </c>
    </row>
    <row r="1973" spans="2:12" x14ac:dyDescent="0.25">
      <c r="B1973" s="1">
        <v>1</v>
      </c>
      <c r="C1973" s="8"/>
      <c r="F1973" s="1" t="s">
        <v>27</v>
      </c>
      <c r="K1973" s="7" t="s">
        <v>58</v>
      </c>
      <c r="L1973" s="7" t="s">
        <v>59</v>
      </c>
    </row>
    <row r="1974" spans="2:12" x14ac:dyDescent="0.25">
      <c r="B1974" s="1">
        <v>1</v>
      </c>
      <c r="C1974" s="8"/>
      <c r="F1974" s="1" t="s">
        <v>27</v>
      </c>
      <c r="K1974" s="7" t="s">
        <v>58</v>
      </c>
      <c r="L1974" s="7" t="s">
        <v>59</v>
      </c>
    </row>
    <row r="1975" spans="2:12" x14ac:dyDescent="0.25">
      <c r="B1975" s="1">
        <v>1</v>
      </c>
      <c r="C1975" s="8"/>
      <c r="F1975" s="1" t="s">
        <v>27</v>
      </c>
      <c r="K1975" s="7" t="s">
        <v>58</v>
      </c>
      <c r="L1975" s="7" t="s">
        <v>59</v>
      </c>
    </row>
    <row r="1976" spans="2:12" x14ac:dyDescent="0.25">
      <c r="B1976" s="1">
        <v>1</v>
      </c>
      <c r="C1976" s="8"/>
      <c r="F1976" s="1" t="s">
        <v>27</v>
      </c>
      <c r="K1976" s="7" t="s">
        <v>58</v>
      </c>
      <c r="L1976" s="7" t="s">
        <v>59</v>
      </c>
    </row>
    <row r="1977" spans="2:12" x14ac:dyDescent="0.25">
      <c r="B1977" s="1">
        <v>1</v>
      </c>
      <c r="C1977" s="8"/>
      <c r="F1977" s="1" t="s">
        <v>27</v>
      </c>
      <c r="K1977" s="7" t="s">
        <v>58</v>
      </c>
      <c r="L1977" s="7" t="s">
        <v>59</v>
      </c>
    </row>
    <row r="1978" spans="2:12" x14ac:dyDescent="0.25">
      <c r="B1978" s="1">
        <v>1</v>
      </c>
      <c r="C1978" s="8"/>
      <c r="F1978" s="1" t="s">
        <v>27</v>
      </c>
      <c r="K1978" s="7" t="s">
        <v>58</v>
      </c>
      <c r="L1978" s="7" t="s">
        <v>59</v>
      </c>
    </row>
    <row r="1979" spans="2:12" x14ac:dyDescent="0.25">
      <c r="B1979" s="1">
        <v>1</v>
      </c>
      <c r="C1979" s="8"/>
      <c r="F1979" s="1" t="s">
        <v>27</v>
      </c>
      <c r="K1979" s="7" t="s">
        <v>58</v>
      </c>
      <c r="L1979" s="7" t="s">
        <v>59</v>
      </c>
    </row>
    <row r="1980" spans="2:12" x14ac:dyDescent="0.25">
      <c r="B1980" s="1">
        <v>1</v>
      </c>
      <c r="C1980" s="8"/>
      <c r="F1980" s="1" t="s">
        <v>27</v>
      </c>
      <c r="K1980" s="7" t="s">
        <v>58</v>
      </c>
      <c r="L1980" s="7" t="s">
        <v>59</v>
      </c>
    </row>
    <row r="1981" spans="2:12" x14ac:dyDescent="0.25">
      <c r="B1981" s="1">
        <v>1</v>
      </c>
      <c r="C1981" s="8"/>
      <c r="F1981" s="1" t="s">
        <v>27</v>
      </c>
      <c r="K1981" s="7" t="s">
        <v>58</v>
      </c>
      <c r="L1981" s="7" t="s">
        <v>59</v>
      </c>
    </row>
    <row r="1982" spans="2:12" x14ac:dyDescent="0.25">
      <c r="B1982" s="1">
        <v>1</v>
      </c>
      <c r="C1982" s="8"/>
      <c r="F1982" s="1" t="s">
        <v>27</v>
      </c>
      <c r="K1982" s="7" t="s">
        <v>58</v>
      </c>
      <c r="L1982" s="7" t="s">
        <v>59</v>
      </c>
    </row>
    <row r="1983" spans="2:12" x14ac:dyDescent="0.25">
      <c r="B1983" s="1">
        <v>1</v>
      </c>
      <c r="C1983" s="8"/>
      <c r="F1983" s="1" t="s">
        <v>27</v>
      </c>
      <c r="K1983" s="7" t="s">
        <v>58</v>
      </c>
      <c r="L1983" s="7" t="s">
        <v>59</v>
      </c>
    </row>
    <row r="1984" spans="2:12" x14ac:dyDescent="0.25">
      <c r="B1984" s="1">
        <v>1</v>
      </c>
      <c r="C1984" s="8"/>
      <c r="F1984" s="1" t="s">
        <v>27</v>
      </c>
      <c r="K1984" s="7" t="s">
        <v>58</v>
      </c>
      <c r="L1984" s="7" t="s">
        <v>59</v>
      </c>
    </row>
    <row r="1985" spans="2:12" x14ac:dyDescent="0.25">
      <c r="B1985" s="1">
        <v>1</v>
      </c>
      <c r="C1985" s="8"/>
      <c r="F1985" s="1" t="s">
        <v>27</v>
      </c>
      <c r="K1985" s="7" t="s">
        <v>58</v>
      </c>
      <c r="L1985" s="7" t="s">
        <v>59</v>
      </c>
    </row>
    <row r="1986" spans="2:12" x14ac:dyDescent="0.25">
      <c r="B1986" s="1">
        <v>1</v>
      </c>
      <c r="C1986" s="8"/>
      <c r="F1986" s="1" t="s">
        <v>27</v>
      </c>
      <c r="K1986" s="7" t="s">
        <v>58</v>
      </c>
      <c r="L1986" s="7" t="s">
        <v>59</v>
      </c>
    </row>
    <row r="1987" spans="2:12" x14ac:dyDescent="0.25">
      <c r="B1987" s="1">
        <v>1</v>
      </c>
      <c r="C1987" s="8"/>
      <c r="F1987" s="1" t="s">
        <v>27</v>
      </c>
      <c r="K1987" s="7" t="s">
        <v>58</v>
      </c>
      <c r="L1987" s="7" t="s">
        <v>59</v>
      </c>
    </row>
    <row r="1988" spans="2:12" x14ac:dyDescent="0.25">
      <c r="B1988" s="1">
        <v>1</v>
      </c>
      <c r="C1988" s="8"/>
      <c r="F1988" s="1" t="s">
        <v>27</v>
      </c>
      <c r="K1988" s="7" t="s">
        <v>58</v>
      </c>
      <c r="L1988" s="7" t="s">
        <v>59</v>
      </c>
    </row>
    <row r="1989" spans="2:12" x14ac:dyDescent="0.25">
      <c r="B1989" s="1">
        <v>1</v>
      </c>
      <c r="C1989" s="8"/>
      <c r="F1989" s="1" t="s">
        <v>27</v>
      </c>
      <c r="K1989" s="7" t="s">
        <v>58</v>
      </c>
      <c r="L1989" s="7" t="s">
        <v>59</v>
      </c>
    </row>
    <row r="1990" spans="2:12" x14ac:dyDescent="0.25">
      <c r="B1990" s="1">
        <v>1</v>
      </c>
      <c r="C1990" s="8"/>
      <c r="F1990" s="1" t="s">
        <v>27</v>
      </c>
      <c r="K1990" s="7" t="s">
        <v>58</v>
      </c>
      <c r="L1990" s="7" t="s">
        <v>59</v>
      </c>
    </row>
    <row r="1991" spans="2:12" x14ac:dyDescent="0.25">
      <c r="B1991" s="1">
        <v>1</v>
      </c>
      <c r="C1991" s="8"/>
      <c r="F1991" s="1" t="s">
        <v>27</v>
      </c>
      <c r="K1991" s="7" t="s">
        <v>58</v>
      </c>
      <c r="L1991" s="7" t="s">
        <v>59</v>
      </c>
    </row>
    <row r="1992" spans="2:12" x14ac:dyDescent="0.25">
      <c r="B1992" s="1">
        <v>1</v>
      </c>
      <c r="C1992" s="8"/>
      <c r="F1992" s="1" t="s">
        <v>27</v>
      </c>
      <c r="K1992" s="7" t="s">
        <v>58</v>
      </c>
      <c r="L1992" s="7" t="s">
        <v>59</v>
      </c>
    </row>
    <row r="1993" spans="2:12" x14ac:dyDescent="0.25">
      <c r="B1993" s="1">
        <v>1</v>
      </c>
      <c r="C1993" s="8"/>
      <c r="F1993" s="1" t="s">
        <v>27</v>
      </c>
      <c r="K1993" s="7" t="s">
        <v>58</v>
      </c>
      <c r="L1993" s="7" t="s">
        <v>59</v>
      </c>
    </row>
    <row r="1994" spans="2:12" x14ac:dyDescent="0.25">
      <c r="B1994" s="1">
        <v>1</v>
      </c>
      <c r="C1994" s="8"/>
      <c r="F1994" s="1" t="s">
        <v>27</v>
      </c>
      <c r="K1994" s="7" t="s">
        <v>58</v>
      </c>
      <c r="L1994" s="7" t="s">
        <v>59</v>
      </c>
    </row>
    <row r="1995" spans="2:12" x14ac:dyDescent="0.25">
      <c r="B1995" s="1">
        <v>1</v>
      </c>
      <c r="C1995" s="8"/>
      <c r="F1995" s="1" t="s">
        <v>27</v>
      </c>
      <c r="K1995" s="7" t="s">
        <v>58</v>
      </c>
      <c r="L1995" s="7" t="s">
        <v>59</v>
      </c>
    </row>
    <row r="1996" spans="2:12" x14ac:dyDescent="0.25">
      <c r="B1996" s="1">
        <v>1</v>
      </c>
      <c r="C1996" s="8"/>
      <c r="F1996" s="1" t="s">
        <v>27</v>
      </c>
      <c r="K1996" s="7" t="s">
        <v>58</v>
      </c>
      <c r="L1996" s="7" t="s">
        <v>59</v>
      </c>
    </row>
    <row r="1997" spans="2:12" x14ac:dyDescent="0.25">
      <c r="B1997" s="1">
        <v>1</v>
      </c>
      <c r="C1997" s="8"/>
      <c r="F1997" s="1" t="s">
        <v>27</v>
      </c>
      <c r="K1997" s="7" t="s">
        <v>58</v>
      </c>
      <c r="L1997" s="7" t="s">
        <v>59</v>
      </c>
    </row>
    <row r="1998" spans="2:12" x14ac:dyDescent="0.25">
      <c r="B1998" s="1">
        <v>1</v>
      </c>
      <c r="C1998" s="8"/>
      <c r="F1998" s="1" t="s">
        <v>27</v>
      </c>
      <c r="K1998" s="7" t="s">
        <v>58</v>
      </c>
      <c r="L1998" s="7" t="s">
        <v>59</v>
      </c>
    </row>
    <row r="1999" spans="2:12" x14ac:dyDescent="0.25">
      <c r="B1999" s="1">
        <v>1</v>
      </c>
      <c r="C1999" s="8"/>
      <c r="F1999" s="1" t="s">
        <v>27</v>
      </c>
      <c r="K1999" s="7" t="s">
        <v>58</v>
      </c>
      <c r="L1999" s="7" t="s">
        <v>59</v>
      </c>
    </row>
    <row r="2000" spans="2:12" x14ac:dyDescent="0.25">
      <c r="B2000" s="1">
        <v>1</v>
      </c>
      <c r="C2000" s="8"/>
      <c r="F2000" s="1" t="s">
        <v>27</v>
      </c>
      <c r="K2000" s="7" t="s">
        <v>58</v>
      </c>
      <c r="L2000" s="7" t="s">
        <v>59</v>
      </c>
    </row>
    <row r="2001" spans="2:12" x14ac:dyDescent="0.25">
      <c r="B2001" s="1">
        <v>1</v>
      </c>
      <c r="C2001" s="8"/>
      <c r="K2001" s="7" t="s">
        <v>58</v>
      </c>
      <c r="L2001" s="7" t="s">
        <v>59</v>
      </c>
    </row>
    <row r="2002" spans="2:12" x14ac:dyDescent="0.25">
      <c r="B2002" s="1">
        <v>1</v>
      </c>
      <c r="C2002" s="8"/>
      <c r="I2002" s="55"/>
      <c r="K2002" s="7" t="s">
        <v>58</v>
      </c>
      <c r="L2002" s="7" t="s">
        <v>59</v>
      </c>
    </row>
    <row r="2003" spans="2:12" x14ac:dyDescent="0.25">
      <c r="B2003" s="1">
        <v>1</v>
      </c>
      <c r="C2003" s="8"/>
      <c r="K2003" s="7" t="s">
        <v>58</v>
      </c>
      <c r="L2003" s="7" t="s">
        <v>59</v>
      </c>
    </row>
    <row r="2004" spans="2:12" x14ac:dyDescent="0.25">
      <c r="B2004" s="1">
        <v>1</v>
      </c>
      <c r="C2004" s="8"/>
      <c r="K2004" s="7" t="s">
        <v>58</v>
      </c>
      <c r="L2004" s="7" t="s">
        <v>59</v>
      </c>
    </row>
    <row r="2005" spans="2:12" x14ac:dyDescent="0.25">
      <c r="B2005" s="1">
        <v>1</v>
      </c>
      <c r="C2005" s="8"/>
      <c r="K2005" s="7" t="s">
        <v>58</v>
      </c>
      <c r="L2005" s="7" t="s">
        <v>59</v>
      </c>
    </row>
    <row r="2006" spans="2:12" x14ac:dyDescent="0.25">
      <c r="B2006" s="1">
        <v>1</v>
      </c>
      <c r="C2006" s="8"/>
      <c r="K2006" s="7" t="s">
        <v>58</v>
      </c>
      <c r="L2006" s="7" t="s">
        <v>59</v>
      </c>
    </row>
    <row r="2007" spans="2:12" x14ac:dyDescent="0.25">
      <c r="B2007" s="1">
        <v>1</v>
      </c>
      <c r="C2007" s="8"/>
      <c r="K2007" s="7" t="s">
        <v>58</v>
      </c>
      <c r="L2007" s="7" t="s">
        <v>59</v>
      </c>
    </row>
    <row r="2008" spans="2:12" x14ac:dyDescent="0.25">
      <c r="B2008" s="1">
        <v>1</v>
      </c>
      <c r="C2008" s="8"/>
      <c r="K2008" s="7" t="s">
        <v>58</v>
      </c>
      <c r="L2008" s="7" t="s">
        <v>59</v>
      </c>
    </row>
    <row r="2009" spans="2:12" x14ac:dyDescent="0.25">
      <c r="B2009" s="1">
        <v>1</v>
      </c>
      <c r="C2009" s="8"/>
      <c r="K2009" s="7" t="s">
        <v>58</v>
      </c>
      <c r="L2009" s="7" t="s">
        <v>59</v>
      </c>
    </row>
    <row r="2010" spans="2:12" x14ac:dyDescent="0.25">
      <c r="B2010" s="1">
        <v>1</v>
      </c>
      <c r="C2010" s="8"/>
      <c r="K2010" s="7" t="s">
        <v>58</v>
      </c>
      <c r="L2010" s="7" t="s">
        <v>59</v>
      </c>
    </row>
    <row r="2011" spans="2:12" x14ac:dyDescent="0.25">
      <c r="B2011" s="1">
        <v>1</v>
      </c>
      <c r="C2011" s="8"/>
      <c r="K2011" s="7" t="s">
        <v>58</v>
      </c>
      <c r="L2011" s="7" t="s">
        <v>59</v>
      </c>
    </row>
    <row r="2012" spans="2:12" x14ac:dyDescent="0.25">
      <c r="B2012" s="1">
        <v>1</v>
      </c>
      <c r="C2012" s="8"/>
      <c r="K2012" s="7" t="s">
        <v>58</v>
      </c>
      <c r="L2012" s="7" t="s">
        <v>59</v>
      </c>
    </row>
    <row r="2013" spans="2:12" x14ac:dyDescent="0.25">
      <c r="B2013" s="1">
        <v>1</v>
      </c>
      <c r="C2013" s="8"/>
      <c r="K2013" s="7" t="s">
        <v>58</v>
      </c>
      <c r="L2013" s="7" t="s">
        <v>59</v>
      </c>
    </row>
    <row r="2014" spans="2:12" x14ac:dyDescent="0.25">
      <c r="B2014" s="1">
        <v>1</v>
      </c>
      <c r="C2014" s="8"/>
      <c r="K2014" s="7" t="s">
        <v>58</v>
      </c>
      <c r="L2014" s="7" t="s">
        <v>59</v>
      </c>
    </row>
    <row r="2015" spans="2:12" x14ac:dyDescent="0.25">
      <c r="B2015" s="1">
        <v>1</v>
      </c>
      <c r="C2015" s="8"/>
      <c r="K2015" s="7" t="s">
        <v>58</v>
      </c>
      <c r="L2015" s="7" t="s">
        <v>59</v>
      </c>
    </row>
    <row r="2016" spans="2:12" x14ac:dyDescent="0.25">
      <c r="B2016" s="1">
        <v>1</v>
      </c>
      <c r="C2016" s="8"/>
      <c r="K2016" s="7" t="s">
        <v>58</v>
      </c>
      <c r="L2016" s="7" t="s">
        <v>59</v>
      </c>
    </row>
    <row r="2017" spans="2:12" x14ac:dyDescent="0.25">
      <c r="B2017" s="1">
        <v>1</v>
      </c>
      <c r="C2017" s="8"/>
      <c r="K2017" s="7" t="s">
        <v>58</v>
      </c>
      <c r="L2017" s="7" t="s">
        <v>59</v>
      </c>
    </row>
    <row r="2018" spans="2:12" x14ac:dyDescent="0.25">
      <c r="B2018" s="1">
        <v>1</v>
      </c>
      <c r="C2018" s="8"/>
      <c r="K2018" s="7" t="s">
        <v>58</v>
      </c>
      <c r="L2018" s="7" t="s">
        <v>59</v>
      </c>
    </row>
    <row r="2019" spans="2:12" x14ac:dyDescent="0.25">
      <c r="B2019" s="1">
        <v>1</v>
      </c>
      <c r="C2019" s="8"/>
      <c r="K2019" s="7" t="s">
        <v>58</v>
      </c>
      <c r="L2019" s="7" t="s">
        <v>59</v>
      </c>
    </row>
    <row r="2020" spans="2:12" x14ac:dyDescent="0.25">
      <c r="B2020" s="1">
        <v>1</v>
      </c>
      <c r="C2020" s="8"/>
      <c r="K2020" s="7" t="s">
        <v>58</v>
      </c>
      <c r="L2020" s="7" t="s">
        <v>59</v>
      </c>
    </row>
    <row r="2021" spans="2:12" x14ac:dyDescent="0.25">
      <c r="B2021" s="1">
        <v>1</v>
      </c>
      <c r="C2021" s="8"/>
      <c r="K2021" s="7" t="s">
        <v>58</v>
      </c>
      <c r="L2021" s="7" t="s">
        <v>59</v>
      </c>
    </row>
    <row r="2022" spans="2:12" x14ac:dyDescent="0.25">
      <c r="B2022" s="1">
        <v>1</v>
      </c>
      <c r="C2022" s="8"/>
      <c r="K2022" s="7" t="s">
        <v>58</v>
      </c>
      <c r="L2022" s="7" t="s">
        <v>59</v>
      </c>
    </row>
    <row r="2023" spans="2:12" x14ac:dyDescent="0.25">
      <c r="B2023" s="1">
        <v>1</v>
      </c>
      <c r="C2023" s="8"/>
      <c r="K2023" s="7" t="s">
        <v>58</v>
      </c>
      <c r="L2023" s="7" t="s">
        <v>59</v>
      </c>
    </row>
    <row r="2024" spans="2:12" x14ac:dyDescent="0.25">
      <c r="B2024" s="1">
        <v>1</v>
      </c>
      <c r="C2024" s="8"/>
      <c r="K2024" s="7" t="s">
        <v>58</v>
      </c>
      <c r="L2024" s="7" t="s">
        <v>59</v>
      </c>
    </row>
    <row r="2025" spans="2:12" x14ac:dyDescent="0.25">
      <c r="B2025" s="1">
        <v>1</v>
      </c>
      <c r="C2025" s="8"/>
      <c r="K2025" s="7" t="s">
        <v>58</v>
      </c>
      <c r="L2025" s="7" t="s">
        <v>59</v>
      </c>
    </row>
    <row r="2026" spans="2:12" x14ac:dyDescent="0.25">
      <c r="B2026" s="1">
        <v>1</v>
      </c>
      <c r="C2026" s="8"/>
      <c r="K2026" s="7" t="s">
        <v>58</v>
      </c>
      <c r="L2026" s="7" t="s">
        <v>59</v>
      </c>
    </row>
    <row r="2027" spans="2:12" x14ac:dyDescent="0.25">
      <c r="B2027" s="1">
        <v>1</v>
      </c>
      <c r="C2027" s="8"/>
      <c r="K2027" s="7" t="s">
        <v>58</v>
      </c>
      <c r="L2027" s="7" t="s">
        <v>59</v>
      </c>
    </row>
    <row r="2028" spans="2:12" x14ac:dyDescent="0.25">
      <c r="B2028" s="1">
        <v>1</v>
      </c>
      <c r="C2028" s="8"/>
      <c r="K2028" s="7" t="s">
        <v>58</v>
      </c>
      <c r="L2028" s="7" t="s">
        <v>59</v>
      </c>
    </row>
    <row r="2029" spans="2:12" x14ac:dyDescent="0.25">
      <c r="B2029" s="1">
        <v>1</v>
      </c>
      <c r="C2029" s="8"/>
      <c r="K2029" s="7" t="s">
        <v>58</v>
      </c>
      <c r="L2029" s="7" t="s">
        <v>59</v>
      </c>
    </row>
    <row r="2030" spans="2:12" x14ac:dyDescent="0.25">
      <c r="B2030" s="1">
        <v>1</v>
      </c>
      <c r="C2030" s="8"/>
      <c r="K2030" s="7" t="s">
        <v>58</v>
      </c>
      <c r="L2030" s="7" t="s">
        <v>59</v>
      </c>
    </row>
    <row r="2031" spans="2:12" x14ac:dyDescent="0.25">
      <c r="B2031" s="1">
        <v>1</v>
      </c>
      <c r="C2031" s="8"/>
      <c r="K2031" s="7" t="s">
        <v>58</v>
      </c>
      <c r="L2031" s="7" t="s">
        <v>59</v>
      </c>
    </row>
    <row r="2032" spans="2:12" x14ac:dyDescent="0.25">
      <c r="B2032" s="1">
        <v>1</v>
      </c>
      <c r="C2032" s="8"/>
      <c r="K2032" s="7" t="s">
        <v>58</v>
      </c>
      <c r="L2032" s="7" t="s">
        <v>59</v>
      </c>
    </row>
    <row r="2033" spans="2:12" x14ac:dyDescent="0.25">
      <c r="B2033" s="1">
        <v>1</v>
      </c>
      <c r="C2033" s="8"/>
      <c r="K2033" s="7" t="s">
        <v>58</v>
      </c>
      <c r="L2033" s="7" t="s">
        <v>59</v>
      </c>
    </row>
    <row r="2034" spans="2:12" x14ac:dyDescent="0.25">
      <c r="B2034" s="1">
        <v>1</v>
      </c>
      <c r="C2034" s="8"/>
      <c r="K2034" s="7" t="s">
        <v>58</v>
      </c>
      <c r="L2034" s="7" t="s">
        <v>59</v>
      </c>
    </row>
    <row r="2035" spans="2:12" x14ac:dyDescent="0.25">
      <c r="B2035" s="1">
        <v>1</v>
      </c>
      <c r="C2035" s="8"/>
      <c r="K2035" s="7" t="s">
        <v>58</v>
      </c>
      <c r="L2035" s="7" t="s">
        <v>59</v>
      </c>
    </row>
    <row r="2036" spans="2:12" x14ac:dyDescent="0.25">
      <c r="B2036" s="1">
        <v>1</v>
      </c>
      <c r="C2036" s="8"/>
      <c r="K2036" s="7" t="s">
        <v>58</v>
      </c>
      <c r="L2036" s="7" t="s">
        <v>59</v>
      </c>
    </row>
    <row r="2037" spans="2:12" x14ac:dyDescent="0.25">
      <c r="B2037" s="1">
        <v>1</v>
      </c>
      <c r="C2037" s="8"/>
      <c r="K2037" s="7" t="s">
        <v>58</v>
      </c>
      <c r="L2037" s="7" t="s">
        <v>59</v>
      </c>
    </row>
    <row r="2038" spans="2:12" x14ac:dyDescent="0.25">
      <c r="B2038" s="1">
        <v>1</v>
      </c>
      <c r="C2038" s="8"/>
      <c r="K2038" s="7" t="s">
        <v>58</v>
      </c>
      <c r="L2038" s="7" t="s">
        <v>59</v>
      </c>
    </row>
    <row r="2039" spans="2:12" x14ac:dyDescent="0.25">
      <c r="B2039" s="1">
        <v>1</v>
      </c>
      <c r="C2039" s="8"/>
      <c r="K2039" s="7" t="s">
        <v>58</v>
      </c>
      <c r="L2039" s="7" t="s">
        <v>59</v>
      </c>
    </row>
    <row r="2040" spans="2:12" x14ac:dyDescent="0.25">
      <c r="B2040" s="1">
        <v>1</v>
      </c>
      <c r="C2040" s="8"/>
      <c r="K2040" s="7" t="s">
        <v>58</v>
      </c>
      <c r="L2040" s="7" t="s">
        <v>59</v>
      </c>
    </row>
    <row r="2041" spans="2:12" x14ac:dyDescent="0.25">
      <c r="B2041" s="1">
        <v>1</v>
      </c>
      <c r="C2041" s="8"/>
      <c r="K2041" s="7" t="s">
        <v>58</v>
      </c>
      <c r="L2041" s="7" t="s">
        <v>59</v>
      </c>
    </row>
    <row r="2042" spans="2:12" x14ac:dyDescent="0.25">
      <c r="B2042" s="1">
        <v>1</v>
      </c>
      <c r="C2042" s="8"/>
      <c r="K2042" s="7" t="s">
        <v>58</v>
      </c>
      <c r="L2042" s="7" t="s">
        <v>59</v>
      </c>
    </row>
    <row r="2043" spans="2:12" x14ac:dyDescent="0.25">
      <c r="B2043" s="1">
        <v>1</v>
      </c>
      <c r="C2043" s="8"/>
      <c r="K2043" s="7" t="s">
        <v>58</v>
      </c>
      <c r="L2043" s="7" t="s">
        <v>59</v>
      </c>
    </row>
    <row r="2044" spans="2:12" x14ac:dyDescent="0.25">
      <c r="B2044" s="1">
        <v>1</v>
      </c>
      <c r="C2044" s="8"/>
      <c r="K2044" s="7" t="s">
        <v>58</v>
      </c>
      <c r="L2044" s="7" t="s">
        <v>59</v>
      </c>
    </row>
    <row r="2045" spans="2:12" x14ac:dyDescent="0.25">
      <c r="B2045" s="1">
        <v>1</v>
      </c>
      <c r="C2045" s="8"/>
      <c r="K2045" s="7" t="s">
        <v>58</v>
      </c>
      <c r="L2045" s="7" t="s">
        <v>59</v>
      </c>
    </row>
    <row r="2046" spans="2:12" x14ac:dyDescent="0.25">
      <c r="B2046" s="1">
        <v>1</v>
      </c>
      <c r="C2046" s="8"/>
      <c r="K2046" s="7" t="s">
        <v>58</v>
      </c>
      <c r="L2046" s="7" t="s">
        <v>59</v>
      </c>
    </row>
    <row r="2047" spans="2:12" x14ac:dyDescent="0.25">
      <c r="B2047" s="1">
        <v>1</v>
      </c>
      <c r="C2047" s="8"/>
      <c r="K2047" s="7" t="s">
        <v>58</v>
      </c>
      <c r="L2047" s="7" t="s">
        <v>59</v>
      </c>
    </row>
    <row r="2048" spans="2:12" x14ac:dyDescent="0.25">
      <c r="B2048" s="1">
        <v>1</v>
      </c>
      <c r="C2048" s="8"/>
      <c r="K2048" s="7" t="s">
        <v>58</v>
      </c>
      <c r="L2048" s="7" t="s">
        <v>59</v>
      </c>
    </row>
    <row r="2049" spans="2:12" x14ac:dyDescent="0.25">
      <c r="B2049" s="1">
        <v>1</v>
      </c>
      <c r="C2049" s="8"/>
      <c r="K2049" s="7" t="s">
        <v>58</v>
      </c>
      <c r="L2049" s="7" t="s">
        <v>59</v>
      </c>
    </row>
    <row r="2050" spans="2:12" x14ac:dyDescent="0.25">
      <c r="B2050" s="1">
        <v>1</v>
      </c>
      <c r="C2050" s="8"/>
      <c r="K2050" s="7" t="s">
        <v>58</v>
      </c>
      <c r="L2050" s="7" t="s">
        <v>59</v>
      </c>
    </row>
    <row r="2051" spans="2:12" x14ac:dyDescent="0.25">
      <c r="B2051" s="1">
        <v>1</v>
      </c>
      <c r="C2051" s="8"/>
      <c r="K2051" s="7" t="s">
        <v>58</v>
      </c>
      <c r="L2051" s="7" t="s">
        <v>59</v>
      </c>
    </row>
    <row r="2052" spans="2:12" x14ac:dyDescent="0.25">
      <c r="B2052" s="1">
        <v>1</v>
      </c>
      <c r="C2052" s="8"/>
      <c r="K2052" s="7" t="s">
        <v>58</v>
      </c>
      <c r="L2052" s="7" t="s">
        <v>59</v>
      </c>
    </row>
    <row r="2053" spans="2:12" x14ac:dyDescent="0.25">
      <c r="B2053" s="1">
        <v>1</v>
      </c>
      <c r="C2053" s="8"/>
      <c r="K2053" s="7" t="s">
        <v>58</v>
      </c>
      <c r="L2053" s="7" t="s">
        <v>59</v>
      </c>
    </row>
    <row r="2054" spans="2:12" x14ac:dyDescent="0.25">
      <c r="B2054" s="1">
        <v>1</v>
      </c>
      <c r="C2054" s="8"/>
      <c r="K2054" s="7" t="s">
        <v>58</v>
      </c>
      <c r="L2054" s="7" t="s">
        <v>59</v>
      </c>
    </row>
    <row r="2055" spans="2:12" x14ac:dyDescent="0.25">
      <c r="B2055" s="1">
        <v>1</v>
      </c>
      <c r="C2055" s="8"/>
      <c r="K2055" s="7" t="s">
        <v>58</v>
      </c>
      <c r="L2055" s="7" t="s">
        <v>59</v>
      </c>
    </row>
    <row r="2056" spans="2:12" x14ac:dyDescent="0.25">
      <c r="B2056" s="1">
        <v>1</v>
      </c>
      <c r="C2056" s="8"/>
      <c r="K2056" s="7" t="s">
        <v>58</v>
      </c>
      <c r="L2056" s="7" t="s">
        <v>59</v>
      </c>
    </row>
    <row r="2057" spans="2:12" x14ac:dyDescent="0.25">
      <c r="B2057" s="1">
        <v>1</v>
      </c>
      <c r="C2057" s="8"/>
      <c r="K2057" s="7" t="s">
        <v>58</v>
      </c>
      <c r="L2057" s="7" t="s">
        <v>59</v>
      </c>
    </row>
    <row r="2058" spans="2:12" x14ac:dyDescent="0.25">
      <c r="B2058" s="1">
        <v>1</v>
      </c>
      <c r="C2058" s="8"/>
      <c r="K2058" s="7" t="s">
        <v>58</v>
      </c>
      <c r="L2058" s="7" t="s">
        <v>59</v>
      </c>
    </row>
    <row r="2059" spans="2:12" x14ac:dyDescent="0.25">
      <c r="B2059" s="1">
        <v>1</v>
      </c>
      <c r="C2059" s="8"/>
      <c r="K2059" s="7" t="s">
        <v>58</v>
      </c>
      <c r="L2059" s="7" t="s">
        <v>59</v>
      </c>
    </row>
    <row r="2060" spans="2:12" x14ac:dyDescent="0.25">
      <c r="B2060" s="1">
        <v>1</v>
      </c>
      <c r="C2060" s="8"/>
      <c r="K2060" s="7" t="s">
        <v>58</v>
      </c>
      <c r="L2060" s="7" t="s">
        <v>59</v>
      </c>
    </row>
    <row r="2061" spans="2:12" x14ac:dyDescent="0.25">
      <c r="B2061" s="1">
        <v>1</v>
      </c>
      <c r="C2061" s="8"/>
      <c r="K2061" s="7" t="s">
        <v>58</v>
      </c>
      <c r="L2061" s="7" t="s">
        <v>59</v>
      </c>
    </row>
    <row r="2062" spans="2:12" x14ac:dyDescent="0.25">
      <c r="B2062" s="1">
        <v>1</v>
      </c>
      <c r="C2062" s="8"/>
      <c r="K2062" s="7" t="s">
        <v>58</v>
      </c>
      <c r="L2062" s="7" t="s">
        <v>59</v>
      </c>
    </row>
    <row r="2063" spans="2:12" x14ac:dyDescent="0.25">
      <c r="B2063" s="1">
        <v>1</v>
      </c>
      <c r="C2063" s="8"/>
      <c r="K2063" s="7" t="s">
        <v>58</v>
      </c>
      <c r="L2063" s="7" t="s">
        <v>59</v>
      </c>
    </row>
    <row r="2064" spans="2:12" x14ac:dyDescent="0.25">
      <c r="B2064" s="1">
        <v>1</v>
      </c>
      <c r="C2064" s="8"/>
      <c r="K2064" s="7" t="s">
        <v>58</v>
      </c>
      <c r="L2064" s="7" t="s">
        <v>59</v>
      </c>
    </row>
    <row r="2065" spans="2:15" x14ac:dyDescent="0.25">
      <c r="B2065" s="1">
        <v>1</v>
      </c>
      <c r="C2065" s="8"/>
      <c r="K2065" s="7" t="s">
        <v>58</v>
      </c>
      <c r="L2065" s="7" t="s">
        <v>59</v>
      </c>
    </row>
    <row r="2066" spans="2:15" x14ac:dyDescent="0.25">
      <c r="B2066" s="1">
        <v>1</v>
      </c>
      <c r="C2066" s="8"/>
      <c r="K2066" s="7" t="s">
        <v>58</v>
      </c>
      <c r="L2066" s="7" t="s">
        <v>59</v>
      </c>
    </row>
    <row r="2067" spans="2:15" x14ac:dyDescent="0.25">
      <c r="B2067" s="1">
        <v>1</v>
      </c>
      <c r="C2067" s="8"/>
      <c r="K2067" s="7" t="s">
        <v>58</v>
      </c>
      <c r="L2067" s="7" t="s">
        <v>59</v>
      </c>
    </row>
    <row r="2068" spans="2:15" x14ac:dyDescent="0.25">
      <c r="B2068" s="1">
        <v>1</v>
      </c>
      <c r="C2068" s="8"/>
      <c r="K2068" s="7" t="s">
        <v>58</v>
      </c>
      <c r="L2068" s="7" t="s">
        <v>59</v>
      </c>
    </row>
    <row r="2069" spans="2:15" x14ac:dyDescent="0.25">
      <c r="B2069" s="1">
        <v>1</v>
      </c>
      <c r="C2069" s="8"/>
      <c r="K2069" s="7" t="s">
        <v>58</v>
      </c>
      <c r="L2069" s="7" t="s">
        <v>59</v>
      </c>
    </row>
    <row r="2070" spans="2:15" x14ac:dyDescent="0.25">
      <c r="B2070" s="1">
        <v>1</v>
      </c>
      <c r="C2070" s="8"/>
      <c r="K2070" s="7" t="s">
        <v>58</v>
      </c>
      <c r="L2070" s="7" t="s">
        <v>59</v>
      </c>
    </row>
    <row r="2071" spans="2:15" x14ac:dyDescent="0.25">
      <c r="B2071" s="1">
        <v>1</v>
      </c>
      <c r="C2071" s="8"/>
      <c r="K2071" s="7" t="s">
        <v>58</v>
      </c>
      <c r="L2071" s="7" t="s">
        <v>59</v>
      </c>
    </row>
    <row r="2072" spans="2:15" x14ac:dyDescent="0.25">
      <c r="B2072" s="1">
        <v>1</v>
      </c>
      <c r="C2072" s="8"/>
      <c r="K2072" s="7" t="s">
        <v>58</v>
      </c>
      <c r="L2072" s="7" t="s">
        <v>59</v>
      </c>
      <c r="O2072" s="16"/>
    </row>
    <row r="2073" spans="2:15" x14ac:dyDescent="0.25">
      <c r="B2073" s="1">
        <v>1</v>
      </c>
      <c r="C2073" s="8"/>
      <c r="K2073" s="7" t="s">
        <v>58</v>
      </c>
      <c r="L2073" s="7" t="s">
        <v>59</v>
      </c>
    </row>
    <row r="2074" spans="2:15" x14ac:dyDescent="0.25">
      <c r="B2074" s="1">
        <v>1</v>
      </c>
      <c r="C2074" s="8"/>
      <c r="K2074" s="7" t="s">
        <v>58</v>
      </c>
      <c r="L2074" s="7" t="s">
        <v>59</v>
      </c>
    </row>
    <row r="2075" spans="2:15" x14ac:dyDescent="0.25">
      <c r="B2075" s="1">
        <v>1</v>
      </c>
      <c r="C2075" s="8"/>
      <c r="K2075" s="7" t="s">
        <v>58</v>
      </c>
      <c r="L2075" s="7" t="s">
        <v>59</v>
      </c>
    </row>
    <row r="2076" spans="2:15" x14ac:dyDescent="0.25">
      <c r="B2076" s="1">
        <v>1</v>
      </c>
      <c r="C2076" s="8"/>
      <c r="K2076" s="7" t="s">
        <v>58</v>
      </c>
      <c r="L2076" s="7" t="s">
        <v>59</v>
      </c>
    </row>
    <row r="2077" spans="2:15" x14ac:dyDescent="0.25">
      <c r="B2077" s="1">
        <v>1</v>
      </c>
      <c r="C2077" s="8"/>
      <c r="K2077" s="7" t="s">
        <v>58</v>
      </c>
      <c r="L2077" s="7" t="s">
        <v>59</v>
      </c>
    </row>
    <row r="2078" spans="2:15" x14ac:dyDescent="0.25">
      <c r="B2078" s="1">
        <v>1</v>
      </c>
      <c r="C2078" s="8"/>
      <c r="K2078" s="7" t="s">
        <v>58</v>
      </c>
      <c r="L2078" s="7" t="s">
        <v>59</v>
      </c>
    </row>
    <row r="2079" spans="2:15" x14ac:dyDescent="0.25">
      <c r="B2079" s="1">
        <v>1</v>
      </c>
      <c r="C2079" s="8"/>
      <c r="K2079" s="7" t="s">
        <v>58</v>
      </c>
      <c r="L2079" s="7" t="s">
        <v>59</v>
      </c>
    </row>
    <row r="2080" spans="2:15" x14ac:dyDescent="0.25">
      <c r="B2080" s="1">
        <v>1</v>
      </c>
      <c r="C2080" s="8"/>
      <c r="K2080" s="7" t="s">
        <v>58</v>
      </c>
      <c r="L2080" s="7" t="s">
        <v>59</v>
      </c>
    </row>
    <row r="2081" spans="2:15" x14ac:dyDescent="0.25">
      <c r="B2081" s="1">
        <v>1</v>
      </c>
      <c r="C2081" s="8"/>
      <c r="K2081" s="7" t="s">
        <v>58</v>
      </c>
      <c r="L2081" s="7" t="s">
        <v>59</v>
      </c>
    </row>
    <row r="2082" spans="2:15" x14ac:dyDescent="0.25">
      <c r="B2082" s="1">
        <v>1</v>
      </c>
      <c r="C2082" s="8"/>
      <c r="K2082" s="7" t="s">
        <v>58</v>
      </c>
      <c r="L2082" s="7" t="s">
        <v>59</v>
      </c>
    </row>
    <row r="2083" spans="2:15" x14ac:dyDescent="0.25">
      <c r="B2083" s="1">
        <v>1</v>
      </c>
      <c r="C2083" s="8"/>
      <c r="K2083" s="7" t="s">
        <v>58</v>
      </c>
      <c r="L2083" s="7" t="s">
        <v>59</v>
      </c>
    </row>
    <row r="2084" spans="2:15" x14ac:dyDescent="0.25">
      <c r="B2084" s="1">
        <v>1</v>
      </c>
      <c r="C2084" s="8"/>
      <c r="K2084" s="7" t="s">
        <v>58</v>
      </c>
      <c r="L2084" s="7" t="s">
        <v>59</v>
      </c>
      <c r="O2084" s="16"/>
    </row>
    <row r="2085" spans="2:15" x14ac:dyDescent="0.25">
      <c r="B2085" s="1">
        <v>1</v>
      </c>
      <c r="C2085" s="8"/>
      <c r="K2085" s="7" t="s">
        <v>58</v>
      </c>
      <c r="L2085" s="7" t="s">
        <v>59</v>
      </c>
    </row>
    <row r="2086" spans="2:15" x14ac:dyDescent="0.25">
      <c r="B2086" s="1">
        <v>1</v>
      </c>
      <c r="C2086" s="8"/>
      <c r="K2086" s="7" t="s">
        <v>58</v>
      </c>
      <c r="L2086" s="7" t="s">
        <v>59</v>
      </c>
    </row>
    <row r="2087" spans="2:15" x14ac:dyDescent="0.25">
      <c r="B2087" s="1">
        <v>1</v>
      </c>
      <c r="C2087" s="8"/>
      <c r="K2087" s="7" t="s">
        <v>58</v>
      </c>
      <c r="L2087" s="7" t="s">
        <v>59</v>
      </c>
    </row>
    <row r="2088" spans="2:15" x14ac:dyDescent="0.25">
      <c r="B2088" s="1">
        <v>1</v>
      </c>
      <c r="C2088" s="8"/>
      <c r="K2088" s="7" t="s">
        <v>58</v>
      </c>
      <c r="L2088" s="7" t="s">
        <v>59</v>
      </c>
    </row>
    <row r="2089" spans="2:15" x14ac:dyDescent="0.25">
      <c r="B2089" s="1">
        <v>1</v>
      </c>
      <c r="C2089" s="8"/>
      <c r="K2089" s="7" t="s">
        <v>58</v>
      </c>
      <c r="L2089" s="7" t="s">
        <v>59</v>
      </c>
    </row>
    <row r="2090" spans="2:15" x14ac:dyDescent="0.25">
      <c r="B2090" s="1">
        <v>1</v>
      </c>
      <c r="C2090" s="8"/>
      <c r="K2090" s="7" t="s">
        <v>58</v>
      </c>
      <c r="L2090" s="7" t="s">
        <v>59</v>
      </c>
    </row>
    <row r="2091" spans="2:15" x14ac:dyDescent="0.25">
      <c r="B2091" s="1">
        <v>1</v>
      </c>
      <c r="C2091" s="8"/>
      <c r="K2091" s="7" t="s">
        <v>58</v>
      </c>
      <c r="L2091" s="7" t="s">
        <v>59</v>
      </c>
    </row>
    <row r="2092" spans="2:15" x14ac:dyDescent="0.25">
      <c r="B2092" s="1">
        <v>1</v>
      </c>
      <c r="C2092" s="8"/>
      <c r="K2092" s="7" t="s">
        <v>58</v>
      </c>
      <c r="L2092" s="7" t="s">
        <v>59</v>
      </c>
    </row>
    <row r="2093" spans="2:15" x14ac:dyDescent="0.25">
      <c r="B2093" s="1">
        <v>1</v>
      </c>
      <c r="C2093" s="8"/>
      <c r="K2093" s="7" t="s">
        <v>58</v>
      </c>
      <c r="L2093" s="7" t="s">
        <v>59</v>
      </c>
    </row>
    <row r="2094" spans="2:15" x14ac:dyDescent="0.25">
      <c r="B2094" s="1">
        <v>1</v>
      </c>
      <c r="C2094" s="8"/>
      <c r="K2094" s="7" t="s">
        <v>58</v>
      </c>
      <c r="L2094" s="7" t="s">
        <v>59</v>
      </c>
    </row>
    <row r="2095" spans="2:15" x14ac:dyDescent="0.25">
      <c r="B2095" s="1">
        <v>1</v>
      </c>
      <c r="C2095" s="8"/>
      <c r="K2095" s="7" t="s">
        <v>58</v>
      </c>
      <c r="L2095" s="7" t="s">
        <v>59</v>
      </c>
    </row>
    <row r="2096" spans="2:15" x14ac:dyDescent="0.25">
      <c r="B2096" s="1">
        <v>1</v>
      </c>
      <c r="C2096" s="8"/>
      <c r="K2096" s="7" t="s">
        <v>58</v>
      </c>
      <c r="L2096" s="7" t="s">
        <v>59</v>
      </c>
    </row>
    <row r="2097" spans="2:15" x14ac:dyDescent="0.25">
      <c r="B2097" s="1">
        <v>1</v>
      </c>
      <c r="C2097" s="8"/>
      <c r="K2097" s="7" t="s">
        <v>58</v>
      </c>
      <c r="L2097" s="7" t="s">
        <v>59</v>
      </c>
    </row>
    <row r="2098" spans="2:15" x14ac:dyDescent="0.25">
      <c r="B2098" s="1">
        <v>1</v>
      </c>
      <c r="C2098" s="8"/>
      <c r="K2098" s="7" t="s">
        <v>58</v>
      </c>
      <c r="L2098" s="7" t="s">
        <v>59</v>
      </c>
    </row>
    <row r="2099" spans="2:15" x14ac:dyDescent="0.25">
      <c r="B2099" s="1">
        <v>1</v>
      </c>
      <c r="C2099" s="8"/>
      <c r="K2099" s="7" t="s">
        <v>58</v>
      </c>
      <c r="L2099" s="7" t="s">
        <v>59</v>
      </c>
    </row>
    <row r="2100" spans="2:15" x14ac:dyDescent="0.25">
      <c r="B2100" s="1">
        <v>1</v>
      </c>
      <c r="C2100" s="8"/>
      <c r="K2100" s="7" t="s">
        <v>58</v>
      </c>
      <c r="L2100" s="7" t="s">
        <v>59</v>
      </c>
    </row>
    <row r="2101" spans="2:15" x14ac:dyDescent="0.25">
      <c r="B2101" s="1">
        <v>1</v>
      </c>
      <c r="C2101" s="8"/>
    </row>
    <row r="2102" spans="2:15" x14ac:dyDescent="0.25">
      <c r="B2102" s="1">
        <v>1</v>
      </c>
      <c r="C2102" s="8"/>
    </row>
    <row r="2103" spans="2:15" x14ac:dyDescent="0.25">
      <c r="B2103" s="1">
        <v>1</v>
      </c>
      <c r="C2103" s="8"/>
    </row>
    <row r="2104" spans="2:15" x14ac:dyDescent="0.25">
      <c r="B2104" s="1">
        <v>1</v>
      </c>
      <c r="C2104" s="8"/>
    </row>
    <row r="2105" spans="2:15" x14ac:dyDescent="0.25">
      <c r="B2105" s="1">
        <v>1</v>
      </c>
      <c r="C2105" s="8"/>
    </row>
    <row r="2106" spans="2:15" x14ac:dyDescent="0.25">
      <c r="B2106" s="1">
        <v>1</v>
      </c>
      <c r="C2106" s="8"/>
    </row>
    <row r="2107" spans="2:15" x14ac:dyDescent="0.25">
      <c r="B2107" s="1">
        <v>1</v>
      </c>
      <c r="C2107" s="8"/>
    </row>
    <row r="2108" spans="2:15" x14ac:dyDescent="0.25">
      <c r="B2108" s="1">
        <v>1</v>
      </c>
      <c r="C2108" s="8"/>
    </row>
    <row r="2109" spans="2:15" x14ac:dyDescent="0.25">
      <c r="B2109" s="1">
        <v>1</v>
      </c>
      <c r="C2109" s="8"/>
      <c r="J2109" s="15"/>
      <c r="O2109" s="16"/>
    </row>
    <row r="2110" spans="2:15" x14ac:dyDescent="0.25">
      <c r="B2110" s="1">
        <v>1</v>
      </c>
      <c r="C2110" s="8"/>
    </row>
    <row r="2111" spans="2:15" x14ac:dyDescent="0.25">
      <c r="B2111" s="1">
        <v>1</v>
      </c>
      <c r="C2111" s="8"/>
      <c r="J2111" s="15"/>
    </row>
    <row r="2112" spans="2:15" x14ac:dyDescent="0.25">
      <c r="B2112" s="1">
        <v>1</v>
      </c>
      <c r="C2112" s="8"/>
    </row>
    <row r="2113" spans="2:15" x14ac:dyDescent="0.25">
      <c r="B2113" s="1">
        <v>1</v>
      </c>
      <c r="C2113" s="8"/>
    </row>
    <row r="2114" spans="2:15" x14ac:dyDescent="0.25">
      <c r="B2114" s="1">
        <v>1</v>
      </c>
      <c r="C2114" s="8"/>
    </row>
    <row r="2115" spans="2:15" x14ac:dyDescent="0.25">
      <c r="B2115" s="1">
        <v>1</v>
      </c>
      <c r="C2115" s="8"/>
    </row>
    <row r="2116" spans="2:15" x14ac:dyDescent="0.25">
      <c r="B2116" s="1">
        <v>1</v>
      </c>
      <c r="C2116" s="8"/>
    </row>
    <row r="2117" spans="2:15" x14ac:dyDescent="0.25">
      <c r="B2117" s="1">
        <v>1</v>
      </c>
      <c r="C2117" s="8"/>
    </row>
    <row r="2118" spans="2:15" x14ac:dyDescent="0.25">
      <c r="B2118" s="1">
        <v>1</v>
      </c>
      <c r="C2118" s="8"/>
    </row>
    <row r="2119" spans="2:15" x14ac:dyDescent="0.25">
      <c r="B2119" s="1">
        <v>1</v>
      </c>
      <c r="C2119" s="8"/>
    </row>
    <row r="2120" spans="2:15" x14ac:dyDescent="0.25">
      <c r="B2120" s="1">
        <v>1</v>
      </c>
      <c r="C2120" s="8"/>
    </row>
    <row r="2121" spans="2:15" x14ac:dyDescent="0.25">
      <c r="B2121" s="1">
        <v>1</v>
      </c>
      <c r="C2121" s="8"/>
    </row>
    <row r="2122" spans="2:15" x14ac:dyDescent="0.25">
      <c r="B2122" s="1">
        <v>1</v>
      </c>
      <c r="C2122" s="8"/>
    </row>
    <row r="2123" spans="2:15" x14ac:dyDescent="0.25">
      <c r="B2123" s="1">
        <v>1</v>
      </c>
      <c r="C2123" s="8"/>
    </row>
    <row r="2124" spans="2:15" x14ac:dyDescent="0.25">
      <c r="B2124" s="1">
        <v>1</v>
      </c>
      <c r="C2124" s="8"/>
      <c r="O2124" s="8"/>
    </row>
    <row r="2125" spans="2:15" x14ac:dyDescent="0.25">
      <c r="B2125" s="1">
        <v>1</v>
      </c>
      <c r="C2125" s="8"/>
    </row>
    <row r="2126" spans="2:15" x14ac:dyDescent="0.25">
      <c r="B2126" s="1">
        <v>1</v>
      </c>
      <c r="C2126" s="8"/>
      <c r="O2126" s="8"/>
    </row>
    <row r="2127" spans="2:15" x14ac:dyDescent="0.25">
      <c r="B2127" s="1">
        <v>1</v>
      </c>
      <c r="C2127" s="8"/>
    </row>
    <row r="2128" spans="2:15" x14ac:dyDescent="0.25">
      <c r="B2128" s="1">
        <v>1</v>
      </c>
      <c r="C2128" s="8"/>
    </row>
    <row r="2129" spans="2:15" x14ac:dyDescent="0.25">
      <c r="B2129" s="1">
        <v>1</v>
      </c>
      <c r="C2129" s="8"/>
    </row>
    <row r="2130" spans="2:15" x14ac:dyDescent="0.25">
      <c r="B2130" s="1">
        <v>1</v>
      </c>
      <c r="C2130" s="8"/>
    </row>
    <row r="2131" spans="2:15" x14ac:dyDescent="0.25">
      <c r="B2131" s="1">
        <v>1</v>
      </c>
      <c r="C2131" s="8"/>
    </row>
    <row r="2132" spans="2:15" x14ac:dyDescent="0.25">
      <c r="B2132" s="1">
        <v>1</v>
      </c>
      <c r="C2132" s="8"/>
      <c r="O2132" s="8"/>
    </row>
    <row r="2133" spans="2:15" x14ac:dyDescent="0.25">
      <c r="B2133" s="1">
        <v>1</v>
      </c>
      <c r="C2133" s="8"/>
    </row>
    <row r="2134" spans="2:15" x14ac:dyDescent="0.25">
      <c r="B2134" s="1">
        <v>1</v>
      </c>
      <c r="C2134" s="8"/>
    </row>
    <row r="2135" spans="2:15" x14ac:dyDescent="0.25">
      <c r="B2135" s="1">
        <v>1</v>
      </c>
      <c r="C2135" s="8"/>
    </row>
    <row r="2136" spans="2:15" x14ac:dyDescent="0.25">
      <c r="B2136" s="1">
        <v>1</v>
      </c>
      <c r="C2136" s="8"/>
    </row>
    <row r="2137" spans="2:15" x14ac:dyDescent="0.25">
      <c r="B2137" s="1">
        <v>1</v>
      </c>
      <c r="C2137" s="8"/>
    </row>
    <row r="2138" spans="2:15" x14ac:dyDescent="0.25">
      <c r="B2138" s="1">
        <v>1</v>
      </c>
      <c r="C2138" s="8"/>
    </row>
    <row r="2139" spans="2:15" x14ac:dyDescent="0.25">
      <c r="B2139" s="1">
        <v>1</v>
      </c>
      <c r="C2139" s="8"/>
    </row>
    <row r="2140" spans="2:15" x14ac:dyDescent="0.25">
      <c r="B2140" s="1">
        <v>1</v>
      </c>
      <c r="C2140" s="8"/>
    </row>
    <row r="2141" spans="2:15" x14ac:dyDescent="0.25">
      <c r="B2141" s="1">
        <v>1</v>
      </c>
      <c r="C2141" s="8"/>
    </row>
    <row r="2142" spans="2:15" x14ac:dyDescent="0.25">
      <c r="B2142" s="1">
        <v>1</v>
      </c>
      <c r="C2142" s="8"/>
    </row>
    <row r="2143" spans="2:15" x14ac:dyDescent="0.25">
      <c r="B2143" s="1">
        <v>1</v>
      </c>
      <c r="C2143" s="8"/>
    </row>
    <row r="2144" spans="2:15" x14ac:dyDescent="0.25">
      <c r="B2144" s="1">
        <v>1</v>
      </c>
      <c r="C2144" s="8"/>
    </row>
    <row r="2145" spans="2:3" x14ac:dyDescent="0.25">
      <c r="B2145" s="1">
        <v>1</v>
      </c>
      <c r="C2145" s="8"/>
    </row>
    <row r="2146" spans="2:3" x14ac:dyDescent="0.25">
      <c r="B2146" s="1">
        <v>1</v>
      </c>
      <c r="C2146" s="8"/>
    </row>
    <row r="2147" spans="2:3" x14ac:dyDescent="0.25">
      <c r="B2147" s="1">
        <v>1</v>
      </c>
      <c r="C2147" s="8"/>
    </row>
    <row r="2148" spans="2:3" x14ac:dyDescent="0.25">
      <c r="B2148" s="1">
        <v>1</v>
      </c>
      <c r="C2148" s="8"/>
    </row>
    <row r="2149" spans="2:3" x14ac:dyDescent="0.25">
      <c r="B2149" s="1">
        <v>1</v>
      </c>
      <c r="C2149" s="8"/>
    </row>
    <row r="2150" spans="2:3" x14ac:dyDescent="0.25">
      <c r="B2150" s="1">
        <v>1</v>
      </c>
      <c r="C2150" s="8"/>
    </row>
    <row r="2151" spans="2:3" x14ac:dyDescent="0.25">
      <c r="B2151" s="1">
        <v>1</v>
      </c>
      <c r="C2151" s="8"/>
    </row>
    <row r="2152" spans="2:3" x14ac:dyDescent="0.25">
      <c r="B2152" s="1">
        <v>1</v>
      </c>
      <c r="C2152" s="8"/>
    </row>
    <row r="2153" spans="2:3" x14ac:dyDescent="0.25">
      <c r="B2153" s="1">
        <v>1</v>
      </c>
      <c r="C2153" s="8"/>
    </row>
    <row r="2154" spans="2:3" x14ac:dyDescent="0.25">
      <c r="B2154" s="1">
        <v>1</v>
      </c>
      <c r="C2154" s="8"/>
    </row>
    <row r="2155" spans="2:3" x14ac:dyDescent="0.25">
      <c r="B2155" s="1">
        <v>1</v>
      </c>
      <c r="C2155" s="8"/>
    </row>
    <row r="2156" spans="2:3" x14ac:dyDescent="0.25">
      <c r="B2156" s="1">
        <v>1</v>
      </c>
      <c r="C2156" s="8"/>
    </row>
    <row r="2157" spans="2:3" x14ac:dyDescent="0.25">
      <c r="B2157" s="1">
        <v>1</v>
      </c>
      <c r="C2157" s="8"/>
    </row>
    <row r="2158" spans="2:3" x14ac:dyDescent="0.25">
      <c r="B2158" s="1">
        <v>1</v>
      </c>
      <c r="C2158" s="8"/>
    </row>
    <row r="2159" spans="2:3" x14ac:dyDescent="0.25">
      <c r="B2159" s="1">
        <v>1</v>
      </c>
      <c r="C2159" s="8"/>
    </row>
    <row r="2160" spans="2:3" x14ac:dyDescent="0.25">
      <c r="B2160" s="1">
        <v>1</v>
      </c>
      <c r="C2160" s="8"/>
    </row>
    <row r="2161" spans="2:15" x14ac:dyDescent="0.25">
      <c r="B2161" s="1">
        <v>1</v>
      </c>
      <c r="C2161" s="8"/>
    </row>
    <row r="2162" spans="2:15" x14ac:dyDescent="0.25">
      <c r="B2162" s="1">
        <v>1</v>
      </c>
      <c r="C2162" s="8"/>
    </row>
    <row r="2163" spans="2:15" x14ac:dyDescent="0.25">
      <c r="B2163" s="1">
        <v>1</v>
      </c>
      <c r="C2163" s="8"/>
    </row>
    <row r="2164" spans="2:15" x14ac:dyDescent="0.25">
      <c r="B2164" s="1">
        <v>1</v>
      </c>
      <c r="C2164" s="8"/>
    </row>
    <row r="2165" spans="2:15" x14ac:dyDescent="0.25">
      <c r="B2165" s="1">
        <v>1</v>
      </c>
      <c r="C2165" s="8"/>
    </row>
    <row r="2166" spans="2:15" x14ac:dyDescent="0.25">
      <c r="B2166" s="1">
        <v>1</v>
      </c>
      <c r="C2166" s="8"/>
      <c r="O2166" s="17"/>
    </row>
    <row r="2167" spans="2:15" x14ac:dyDescent="0.25">
      <c r="B2167" s="1">
        <v>1</v>
      </c>
      <c r="C2167" s="8"/>
      <c r="D2167" s="44"/>
    </row>
    <row r="2168" spans="2:15" x14ac:dyDescent="0.25">
      <c r="B2168" s="1">
        <v>1</v>
      </c>
      <c r="C2168" s="8"/>
    </row>
    <row r="2169" spans="2:15" x14ac:dyDescent="0.25">
      <c r="B2169" s="1">
        <v>1</v>
      </c>
      <c r="C2169" s="8"/>
    </row>
    <row r="2170" spans="2:15" x14ac:dyDescent="0.25">
      <c r="B2170" s="1">
        <v>1</v>
      </c>
      <c r="C2170" s="8"/>
    </row>
    <row r="2171" spans="2:15" x14ac:dyDescent="0.25">
      <c r="B2171" s="1">
        <v>1</v>
      </c>
      <c r="C2171" s="8"/>
      <c r="D2171" s="44"/>
    </row>
    <row r="2172" spans="2:15" x14ac:dyDescent="0.25">
      <c r="B2172" s="1">
        <v>1</v>
      </c>
      <c r="C2172" s="8"/>
    </row>
    <row r="2173" spans="2:15" x14ac:dyDescent="0.25">
      <c r="B2173" s="1">
        <v>1</v>
      </c>
      <c r="C2173" s="8"/>
    </row>
    <row r="2174" spans="2:15" x14ac:dyDescent="0.25">
      <c r="B2174" s="1">
        <v>1</v>
      </c>
      <c r="C2174" s="8"/>
    </row>
    <row r="2175" spans="2:15" x14ac:dyDescent="0.25">
      <c r="B2175" s="1">
        <v>1</v>
      </c>
      <c r="C2175" s="8"/>
    </row>
    <row r="2176" spans="2:15" x14ac:dyDescent="0.25">
      <c r="B2176" s="1">
        <v>1</v>
      </c>
      <c r="C2176" s="8"/>
    </row>
    <row r="2177" spans="2:3" x14ac:dyDescent="0.25">
      <c r="B2177" s="1">
        <v>1</v>
      </c>
      <c r="C2177" s="8"/>
    </row>
    <row r="2178" spans="2:3" x14ac:dyDescent="0.25">
      <c r="B2178" s="1">
        <v>1</v>
      </c>
      <c r="C2178" s="8"/>
    </row>
    <row r="2179" spans="2:3" x14ac:dyDescent="0.25">
      <c r="B2179" s="1">
        <v>1</v>
      </c>
      <c r="C2179" s="8"/>
    </row>
    <row r="2180" spans="2:3" x14ac:dyDescent="0.25">
      <c r="B2180" s="1">
        <v>1</v>
      </c>
      <c r="C2180" s="8"/>
    </row>
    <row r="2181" spans="2:3" x14ac:dyDescent="0.25">
      <c r="B2181" s="1">
        <v>1</v>
      </c>
      <c r="C2181" s="8"/>
    </row>
    <row r="2182" spans="2:3" x14ac:dyDescent="0.25">
      <c r="B2182" s="1">
        <v>1</v>
      </c>
      <c r="C2182" s="8"/>
    </row>
    <row r="2183" spans="2:3" x14ac:dyDescent="0.25">
      <c r="B2183" s="1">
        <v>1</v>
      </c>
      <c r="C2183" s="8"/>
    </row>
    <row r="2184" spans="2:3" x14ac:dyDescent="0.25">
      <c r="B2184" s="1">
        <v>1</v>
      </c>
      <c r="C2184" s="8"/>
    </row>
    <row r="2185" spans="2:3" x14ac:dyDescent="0.25">
      <c r="B2185" s="1">
        <v>1</v>
      </c>
      <c r="C2185" s="8"/>
    </row>
    <row r="2186" spans="2:3" x14ac:dyDescent="0.25">
      <c r="B2186" s="1">
        <v>1</v>
      </c>
      <c r="C2186" s="8"/>
    </row>
    <row r="2187" spans="2:3" x14ac:dyDescent="0.25">
      <c r="B2187" s="1">
        <v>1</v>
      </c>
      <c r="C2187" s="8"/>
    </row>
    <row r="2188" spans="2:3" x14ac:dyDescent="0.25">
      <c r="B2188" s="1">
        <v>1</v>
      </c>
      <c r="C2188" s="8"/>
    </row>
    <row r="2189" spans="2:3" x14ac:dyDescent="0.25">
      <c r="B2189" s="1">
        <v>1</v>
      </c>
      <c r="C2189" s="8"/>
    </row>
    <row r="2190" spans="2:3" x14ac:dyDescent="0.25">
      <c r="B2190" s="1">
        <v>1</v>
      </c>
      <c r="C2190" s="8"/>
    </row>
    <row r="2191" spans="2:3" x14ac:dyDescent="0.25">
      <c r="B2191" s="1">
        <v>1</v>
      </c>
      <c r="C2191" s="8"/>
    </row>
    <row r="2192" spans="2:3" x14ac:dyDescent="0.25">
      <c r="B2192" s="1">
        <v>1</v>
      </c>
      <c r="C2192" s="8"/>
    </row>
    <row r="2193" spans="2:14" x14ac:dyDescent="0.25">
      <c r="B2193" s="1">
        <v>1</v>
      </c>
      <c r="C2193" s="8"/>
    </row>
    <row r="2194" spans="2:14" x14ac:dyDescent="0.25">
      <c r="B2194" s="1">
        <v>1</v>
      </c>
      <c r="C2194" s="8"/>
    </row>
    <row r="2195" spans="2:14" x14ac:dyDescent="0.25">
      <c r="B2195" s="1">
        <v>1</v>
      </c>
      <c r="C2195" s="8"/>
      <c r="N2195" s="17"/>
    </row>
    <row r="2196" spans="2:14" x14ac:dyDescent="0.25">
      <c r="B2196" s="1">
        <v>1</v>
      </c>
      <c r="C2196" s="8"/>
    </row>
    <row r="2197" spans="2:14" x14ac:dyDescent="0.25">
      <c r="B2197" s="1">
        <v>1</v>
      </c>
      <c r="C2197" s="8"/>
    </row>
    <row r="2198" spans="2:14" x14ac:dyDescent="0.25">
      <c r="B2198" s="1">
        <v>1</v>
      </c>
      <c r="C2198" s="8"/>
    </row>
    <row r="2199" spans="2:14" x14ac:dyDescent="0.25">
      <c r="B2199" s="1">
        <v>1</v>
      </c>
      <c r="C2199" s="8"/>
    </row>
    <row r="2200" spans="2:14" x14ac:dyDescent="0.25">
      <c r="B2200" s="1">
        <v>1</v>
      </c>
      <c r="C2200" s="8"/>
    </row>
    <row r="2201" spans="2:14" x14ac:dyDescent="0.25">
      <c r="B2201" s="1">
        <v>1</v>
      </c>
      <c r="C2201" s="8"/>
    </row>
    <row r="2202" spans="2:14" x14ac:dyDescent="0.25">
      <c r="B2202" s="1">
        <v>1</v>
      </c>
      <c r="C2202" s="8"/>
    </row>
    <row r="2203" spans="2:14" x14ac:dyDescent="0.25">
      <c r="B2203" s="1">
        <v>1</v>
      </c>
      <c r="C2203" s="8"/>
    </row>
    <row r="2204" spans="2:14" x14ac:dyDescent="0.25">
      <c r="B2204" s="1">
        <v>1</v>
      </c>
      <c r="C2204" s="8"/>
    </row>
    <row r="2205" spans="2:14" x14ac:dyDescent="0.25">
      <c r="B2205" s="1">
        <v>1</v>
      </c>
      <c r="C2205" s="8"/>
    </row>
    <row r="2206" spans="2:14" x14ac:dyDescent="0.25">
      <c r="B2206" s="1">
        <v>1</v>
      </c>
      <c r="C2206" s="8"/>
    </row>
    <row r="2207" spans="2:14" x14ac:dyDescent="0.25">
      <c r="B2207" s="1">
        <v>1</v>
      </c>
      <c r="C2207" s="8"/>
    </row>
    <row r="2208" spans="2:14" x14ac:dyDescent="0.25">
      <c r="B2208" s="1">
        <v>1</v>
      </c>
      <c r="C2208" s="8"/>
    </row>
    <row r="2209" spans="2:3" x14ac:dyDescent="0.25">
      <c r="B2209" s="1">
        <v>1</v>
      </c>
      <c r="C2209" s="8"/>
    </row>
    <row r="2210" spans="2:3" x14ac:dyDescent="0.25">
      <c r="B2210" s="1">
        <v>1</v>
      </c>
      <c r="C2210" s="8"/>
    </row>
    <row r="2211" spans="2:3" x14ac:dyDescent="0.25">
      <c r="B2211" s="1">
        <v>1</v>
      </c>
      <c r="C2211" s="8"/>
    </row>
    <row r="2212" spans="2:3" x14ac:dyDescent="0.25">
      <c r="B2212" s="1">
        <v>1</v>
      </c>
      <c r="C2212" s="8"/>
    </row>
    <row r="2213" spans="2:3" x14ac:dyDescent="0.25">
      <c r="B2213" s="1">
        <v>1</v>
      </c>
      <c r="C2213" s="8"/>
    </row>
    <row r="2214" spans="2:3" x14ac:dyDescent="0.25">
      <c r="B2214" s="1">
        <v>1</v>
      </c>
      <c r="C2214" s="8"/>
    </row>
    <row r="2215" spans="2:3" x14ac:dyDescent="0.25">
      <c r="B2215" s="1">
        <v>1</v>
      </c>
      <c r="C2215" s="8"/>
    </row>
    <row r="2216" spans="2:3" x14ac:dyDescent="0.25">
      <c r="B2216" s="1">
        <v>1</v>
      </c>
      <c r="C2216" s="8"/>
    </row>
    <row r="2217" spans="2:3" x14ac:dyDescent="0.25">
      <c r="B2217" s="1">
        <v>1</v>
      </c>
      <c r="C2217" s="8"/>
    </row>
    <row r="2218" spans="2:3" x14ac:dyDescent="0.25">
      <c r="B2218" s="1">
        <v>1</v>
      </c>
      <c r="C2218" s="8"/>
    </row>
    <row r="2219" spans="2:3" x14ac:dyDescent="0.25">
      <c r="B2219" s="1">
        <v>1</v>
      </c>
      <c r="C2219" s="8"/>
    </row>
    <row r="2220" spans="2:3" x14ac:dyDescent="0.25">
      <c r="B2220" s="1">
        <v>1</v>
      </c>
      <c r="C2220" s="8"/>
    </row>
    <row r="2221" spans="2:3" x14ac:dyDescent="0.25">
      <c r="B2221" s="1">
        <v>1</v>
      </c>
      <c r="C2221" s="8"/>
    </row>
    <row r="2222" spans="2:3" x14ac:dyDescent="0.25">
      <c r="B2222" s="1">
        <v>1</v>
      </c>
      <c r="C2222" s="8"/>
    </row>
    <row r="2223" spans="2:3" x14ac:dyDescent="0.25">
      <c r="B2223" s="1">
        <v>1</v>
      </c>
      <c r="C2223" s="8"/>
    </row>
    <row r="2224" spans="2:3" x14ac:dyDescent="0.25">
      <c r="B2224" s="1">
        <v>1</v>
      </c>
      <c r="C2224" s="8"/>
    </row>
    <row r="2225" spans="2:3" x14ac:dyDescent="0.25">
      <c r="B2225" s="1">
        <v>1</v>
      </c>
      <c r="C2225" s="8"/>
    </row>
    <row r="2226" spans="2:3" x14ac:dyDescent="0.25">
      <c r="B2226" s="1">
        <v>1</v>
      </c>
      <c r="C2226" s="8"/>
    </row>
    <row r="2227" spans="2:3" x14ac:dyDescent="0.25">
      <c r="B2227" s="1">
        <v>1</v>
      </c>
      <c r="C2227" s="8"/>
    </row>
    <row r="2228" spans="2:3" x14ac:dyDescent="0.25">
      <c r="B2228" s="1">
        <v>1</v>
      </c>
      <c r="C2228" s="8"/>
    </row>
    <row r="2229" spans="2:3" x14ac:dyDescent="0.25">
      <c r="B2229" s="1">
        <v>1</v>
      </c>
      <c r="C2229" s="8"/>
    </row>
    <row r="2230" spans="2:3" x14ac:dyDescent="0.25">
      <c r="B2230" s="1">
        <v>1</v>
      </c>
      <c r="C2230" s="8"/>
    </row>
    <row r="2231" spans="2:3" x14ac:dyDescent="0.25">
      <c r="B2231" s="1">
        <v>1</v>
      </c>
      <c r="C2231" s="8"/>
    </row>
    <row r="2232" spans="2:3" x14ac:dyDescent="0.25">
      <c r="B2232" s="1">
        <v>1</v>
      </c>
      <c r="C2232" s="8"/>
    </row>
    <row r="2233" spans="2:3" x14ac:dyDescent="0.25">
      <c r="B2233" s="1">
        <v>1</v>
      </c>
      <c r="C2233" s="8"/>
    </row>
    <row r="2234" spans="2:3" x14ac:dyDescent="0.25">
      <c r="B2234" s="1">
        <v>1</v>
      </c>
      <c r="C2234" s="8"/>
    </row>
    <row r="2235" spans="2:3" x14ac:dyDescent="0.25">
      <c r="B2235" s="1">
        <v>1</v>
      </c>
      <c r="C2235" s="8"/>
    </row>
    <row r="2236" spans="2:3" x14ac:dyDescent="0.25">
      <c r="B2236" s="1">
        <v>1</v>
      </c>
      <c r="C2236" s="8"/>
    </row>
    <row r="2237" spans="2:3" x14ac:dyDescent="0.25">
      <c r="B2237" s="1">
        <v>1</v>
      </c>
      <c r="C2237" s="8"/>
    </row>
    <row r="2238" spans="2:3" x14ac:dyDescent="0.25">
      <c r="B2238" s="1">
        <v>1</v>
      </c>
      <c r="C2238" s="8"/>
    </row>
    <row r="2239" spans="2:3" x14ac:dyDescent="0.25">
      <c r="B2239" s="1">
        <v>1</v>
      </c>
      <c r="C2239" s="8"/>
    </row>
    <row r="2240" spans="2:3" x14ac:dyDescent="0.25">
      <c r="B2240" s="1">
        <v>1</v>
      </c>
      <c r="C2240" s="8"/>
    </row>
    <row r="2241" spans="2:3" x14ac:dyDescent="0.25">
      <c r="B2241" s="1">
        <v>1</v>
      </c>
      <c r="C2241" s="8"/>
    </row>
    <row r="2242" spans="2:3" x14ac:dyDescent="0.25">
      <c r="B2242" s="1">
        <v>1</v>
      </c>
      <c r="C2242" s="8"/>
    </row>
    <row r="2243" spans="2:3" x14ac:dyDescent="0.25">
      <c r="B2243" s="1">
        <v>1</v>
      </c>
      <c r="C2243" s="8"/>
    </row>
    <row r="2244" spans="2:3" x14ac:dyDescent="0.25">
      <c r="B2244" s="1">
        <v>1</v>
      </c>
      <c r="C2244" s="8"/>
    </row>
    <row r="2245" spans="2:3" x14ac:dyDescent="0.25">
      <c r="B2245" s="1">
        <v>1</v>
      </c>
      <c r="C2245" s="8"/>
    </row>
    <row r="2246" spans="2:3" x14ac:dyDescent="0.25">
      <c r="B2246" s="1">
        <v>1</v>
      </c>
      <c r="C2246" s="8"/>
    </row>
    <row r="2247" spans="2:3" x14ac:dyDescent="0.25">
      <c r="B2247" s="1">
        <v>1</v>
      </c>
      <c r="C2247" s="8"/>
    </row>
    <row r="2248" spans="2:3" x14ac:dyDescent="0.25">
      <c r="B2248" s="1">
        <v>1</v>
      </c>
      <c r="C2248" s="8"/>
    </row>
    <row r="2249" spans="2:3" x14ac:dyDescent="0.25">
      <c r="B2249" s="1">
        <v>1</v>
      </c>
      <c r="C2249" s="8"/>
    </row>
    <row r="2250" spans="2:3" x14ac:dyDescent="0.25">
      <c r="B2250" s="1">
        <v>1</v>
      </c>
      <c r="C2250" s="8"/>
    </row>
    <row r="2251" spans="2:3" x14ac:dyDescent="0.25">
      <c r="B2251" s="1">
        <v>1</v>
      </c>
      <c r="C2251" s="8"/>
    </row>
    <row r="2252" spans="2:3" x14ac:dyDescent="0.25">
      <c r="B2252" s="1">
        <v>1</v>
      </c>
      <c r="C2252" s="8"/>
    </row>
    <row r="2253" spans="2:3" x14ac:dyDescent="0.25">
      <c r="B2253" s="1">
        <v>1</v>
      </c>
      <c r="C2253" s="8"/>
    </row>
    <row r="2254" spans="2:3" x14ac:dyDescent="0.25">
      <c r="B2254" s="1">
        <v>1</v>
      </c>
      <c r="C2254" s="8"/>
    </row>
    <row r="2255" spans="2:3" x14ac:dyDescent="0.25">
      <c r="B2255" s="1">
        <v>1</v>
      </c>
      <c r="C2255" s="8"/>
    </row>
    <row r="2256" spans="2:3" x14ac:dyDescent="0.25">
      <c r="B2256" s="1">
        <v>1</v>
      </c>
      <c r="C2256" s="8"/>
    </row>
    <row r="2257" spans="2:3" x14ac:dyDescent="0.25">
      <c r="B2257" s="1">
        <v>1</v>
      </c>
      <c r="C2257" s="8"/>
    </row>
    <row r="2258" spans="2:3" x14ac:dyDescent="0.25">
      <c r="B2258" s="1">
        <v>1</v>
      </c>
      <c r="C2258" s="8"/>
    </row>
    <row r="2259" spans="2:3" x14ac:dyDescent="0.25">
      <c r="B2259" s="1">
        <v>1</v>
      </c>
      <c r="C2259" s="8"/>
    </row>
    <row r="2260" spans="2:3" x14ac:dyDescent="0.25">
      <c r="B2260" s="1">
        <v>1</v>
      </c>
      <c r="C2260" s="8"/>
    </row>
    <row r="2261" spans="2:3" x14ac:dyDescent="0.25">
      <c r="B2261" s="1">
        <v>1</v>
      </c>
      <c r="C2261" s="8"/>
    </row>
    <row r="2262" spans="2:3" x14ac:dyDescent="0.25">
      <c r="B2262" s="1">
        <v>1</v>
      </c>
      <c r="C2262" s="8"/>
    </row>
    <row r="2263" spans="2:3" x14ac:dyDescent="0.25">
      <c r="B2263" s="1">
        <v>1</v>
      </c>
      <c r="C2263" s="8"/>
    </row>
    <row r="2264" spans="2:3" x14ac:dyDescent="0.25">
      <c r="B2264" s="1">
        <v>1</v>
      </c>
      <c r="C2264" s="8"/>
    </row>
    <row r="2265" spans="2:3" x14ac:dyDescent="0.25">
      <c r="B2265" s="1">
        <v>1</v>
      </c>
      <c r="C2265" s="8"/>
    </row>
    <row r="2266" spans="2:3" x14ac:dyDescent="0.25">
      <c r="B2266" s="1">
        <v>1</v>
      </c>
      <c r="C2266" s="8"/>
    </row>
    <row r="2267" spans="2:3" x14ac:dyDescent="0.25">
      <c r="B2267" s="1">
        <v>1</v>
      </c>
      <c r="C2267" s="8"/>
    </row>
    <row r="2268" spans="2:3" x14ac:dyDescent="0.25">
      <c r="B2268" s="1">
        <v>1</v>
      </c>
      <c r="C2268" s="8"/>
    </row>
    <row r="2269" spans="2:3" x14ac:dyDescent="0.25">
      <c r="B2269" s="1">
        <v>1</v>
      </c>
      <c r="C2269" s="8"/>
    </row>
    <row r="2270" spans="2:3" x14ac:dyDescent="0.25">
      <c r="B2270" s="1">
        <v>1</v>
      </c>
      <c r="C2270" s="8"/>
    </row>
    <row r="2271" spans="2:3" x14ac:dyDescent="0.25">
      <c r="B2271" s="1">
        <v>1</v>
      </c>
      <c r="C2271" s="8"/>
    </row>
    <row r="2272" spans="2:3" x14ac:dyDescent="0.25">
      <c r="B2272" s="1">
        <v>1</v>
      </c>
      <c r="C2272" s="8"/>
    </row>
    <row r="2273" spans="2:3" x14ac:dyDescent="0.25">
      <c r="B2273" s="1">
        <v>1</v>
      </c>
      <c r="C2273" s="8"/>
    </row>
    <row r="2274" spans="2:3" x14ac:dyDescent="0.25">
      <c r="B2274" s="1">
        <v>1</v>
      </c>
      <c r="C2274" s="8"/>
    </row>
    <row r="2275" spans="2:3" x14ac:dyDescent="0.25">
      <c r="B2275" s="1">
        <v>1</v>
      </c>
      <c r="C2275" s="8"/>
    </row>
    <row r="2276" spans="2:3" x14ac:dyDescent="0.25">
      <c r="B2276" s="1">
        <v>1</v>
      </c>
      <c r="C2276" s="8"/>
    </row>
    <row r="2277" spans="2:3" x14ac:dyDescent="0.25">
      <c r="B2277" s="1">
        <v>1</v>
      </c>
      <c r="C2277" s="8"/>
    </row>
    <row r="2278" spans="2:3" x14ac:dyDescent="0.25">
      <c r="B2278" s="1">
        <v>1</v>
      </c>
      <c r="C2278" s="8"/>
    </row>
    <row r="2279" spans="2:3" x14ac:dyDescent="0.25">
      <c r="B2279" s="1">
        <v>1</v>
      </c>
      <c r="C2279" s="8"/>
    </row>
    <row r="2280" spans="2:3" x14ac:dyDescent="0.25">
      <c r="B2280" s="1">
        <v>1</v>
      </c>
      <c r="C2280" s="8"/>
    </row>
    <row r="2281" spans="2:3" x14ac:dyDescent="0.25">
      <c r="B2281" s="1">
        <v>1</v>
      </c>
      <c r="C2281" s="8"/>
    </row>
    <row r="2282" spans="2:3" x14ac:dyDescent="0.25">
      <c r="B2282" s="1">
        <v>1</v>
      </c>
      <c r="C2282" s="8"/>
    </row>
    <row r="2283" spans="2:3" x14ac:dyDescent="0.25">
      <c r="B2283" s="1">
        <v>1</v>
      </c>
      <c r="C2283" s="8"/>
    </row>
    <row r="2284" spans="2:3" x14ac:dyDescent="0.25">
      <c r="B2284" s="1">
        <v>1</v>
      </c>
      <c r="C2284" s="8"/>
    </row>
    <row r="2285" spans="2:3" x14ac:dyDescent="0.25">
      <c r="B2285" s="1">
        <v>1</v>
      </c>
      <c r="C2285" s="8"/>
    </row>
    <row r="2286" spans="2:3" x14ac:dyDescent="0.25">
      <c r="B2286" s="1">
        <v>1</v>
      </c>
      <c r="C2286" s="8"/>
    </row>
    <row r="2287" spans="2:3" x14ac:dyDescent="0.25">
      <c r="B2287" s="1">
        <v>1</v>
      </c>
      <c r="C2287" s="8"/>
    </row>
    <row r="2288" spans="2:3" x14ac:dyDescent="0.25">
      <c r="B2288" s="1">
        <v>1</v>
      </c>
      <c r="C2288" s="8"/>
    </row>
    <row r="2289" spans="2:3" x14ac:dyDescent="0.25">
      <c r="B2289" s="1">
        <v>1</v>
      </c>
      <c r="C2289" s="8"/>
    </row>
    <row r="2290" spans="2:3" x14ac:dyDescent="0.25">
      <c r="B2290" s="1">
        <v>1</v>
      </c>
      <c r="C2290" s="8"/>
    </row>
    <row r="2291" spans="2:3" x14ac:dyDescent="0.25">
      <c r="B2291" s="1">
        <v>1</v>
      </c>
      <c r="C2291" s="8"/>
    </row>
    <row r="2292" spans="2:3" x14ac:dyDescent="0.25">
      <c r="B2292" s="1">
        <v>1</v>
      </c>
      <c r="C2292" s="8"/>
    </row>
    <row r="2293" spans="2:3" x14ac:dyDescent="0.25">
      <c r="B2293" s="1">
        <v>1</v>
      </c>
      <c r="C2293" s="8"/>
    </row>
    <row r="2294" spans="2:3" x14ac:dyDescent="0.25">
      <c r="B2294" s="1">
        <v>1</v>
      </c>
      <c r="C2294" s="8"/>
    </row>
    <row r="2295" spans="2:3" x14ac:dyDescent="0.25">
      <c r="B2295" s="1">
        <v>1</v>
      </c>
      <c r="C2295" s="8"/>
    </row>
    <row r="2296" spans="2:3" x14ac:dyDescent="0.25">
      <c r="B2296" s="1">
        <v>1</v>
      </c>
      <c r="C2296" s="8"/>
    </row>
    <row r="2297" spans="2:3" x14ac:dyDescent="0.25">
      <c r="B2297" s="1">
        <v>1</v>
      </c>
      <c r="C2297" s="8"/>
    </row>
    <row r="2298" spans="2:3" x14ac:dyDescent="0.25">
      <c r="B2298" s="1">
        <v>1</v>
      </c>
      <c r="C2298" s="8"/>
    </row>
    <row r="2299" spans="2:3" x14ac:dyDescent="0.25">
      <c r="B2299" s="1">
        <v>1</v>
      </c>
      <c r="C2299" s="8"/>
    </row>
    <row r="2300" spans="2:3" x14ac:dyDescent="0.25">
      <c r="B2300" s="1">
        <v>1</v>
      </c>
      <c r="C2300" s="8"/>
    </row>
    <row r="2301" spans="2:3" x14ac:dyDescent="0.25">
      <c r="B2301" s="1">
        <v>1</v>
      </c>
      <c r="C2301" s="8"/>
    </row>
    <row r="2302" spans="2:3" x14ac:dyDescent="0.25">
      <c r="B2302" s="1">
        <v>1</v>
      </c>
      <c r="C2302" s="8"/>
    </row>
    <row r="2303" spans="2:3" x14ac:dyDescent="0.25">
      <c r="B2303" s="1">
        <v>1</v>
      </c>
      <c r="C2303" s="8"/>
    </row>
    <row r="2304" spans="2:3" x14ac:dyDescent="0.25">
      <c r="B2304" s="1">
        <v>1</v>
      </c>
      <c r="C2304" s="8"/>
    </row>
    <row r="2305" spans="2:3" x14ac:dyDescent="0.25">
      <c r="B2305" s="1">
        <v>1</v>
      </c>
      <c r="C2305" s="8"/>
    </row>
    <row r="2306" spans="2:3" x14ac:dyDescent="0.25">
      <c r="B2306" s="1">
        <v>1</v>
      </c>
      <c r="C2306" s="8"/>
    </row>
    <row r="2307" spans="2:3" x14ac:dyDescent="0.25">
      <c r="B2307" s="1">
        <v>1</v>
      </c>
      <c r="C2307" s="8"/>
    </row>
    <row r="2308" spans="2:3" x14ac:dyDescent="0.25">
      <c r="B2308" s="1">
        <v>1</v>
      </c>
      <c r="C2308" s="8"/>
    </row>
    <row r="2309" spans="2:3" x14ac:dyDescent="0.25">
      <c r="B2309" s="1">
        <v>1</v>
      </c>
      <c r="C2309" s="8"/>
    </row>
    <row r="2310" spans="2:3" x14ac:dyDescent="0.25">
      <c r="B2310" s="1">
        <v>1</v>
      </c>
      <c r="C2310" s="8"/>
    </row>
    <row r="2311" spans="2:3" x14ac:dyDescent="0.25">
      <c r="B2311" s="1">
        <v>1</v>
      </c>
      <c r="C2311" s="8"/>
    </row>
    <row r="2312" spans="2:3" x14ac:dyDescent="0.25">
      <c r="B2312" s="1">
        <v>1</v>
      </c>
      <c r="C2312" s="8"/>
    </row>
    <row r="2313" spans="2:3" x14ac:dyDescent="0.25">
      <c r="B2313" s="1">
        <v>1</v>
      </c>
      <c r="C2313" s="8"/>
    </row>
    <row r="2314" spans="2:3" x14ac:dyDescent="0.25">
      <c r="B2314" s="1">
        <v>1</v>
      </c>
      <c r="C2314" s="8"/>
    </row>
    <row r="2315" spans="2:3" x14ac:dyDescent="0.25">
      <c r="B2315" s="1">
        <v>1</v>
      </c>
      <c r="C2315" s="8"/>
    </row>
    <row r="2316" spans="2:3" x14ac:dyDescent="0.25">
      <c r="B2316" s="1">
        <v>1</v>
      </c>
      <c r="C2316" s="8"/>
    </row>
    <row r="2317" spans="2:3" x14ac:dyDescent="0.25">
      <c r="B2317" s="1">
        <v>1</v>
      </c>
      <c r="C2317" s="8"/>
    </row>
    <row r="2318" spans="2:3" x14ac:dyDescent="0.25">
      <c r="B2318" s="1">
        <v>1</v>
      </c>
      <c r="C2318" s="8"/>
    </row>
    <row r="2319" spans="2:3" x14ac:dyDescent="0.25">
      <c r="B2319" s="1">
        <v>1</v>
      </c>
      <c r="C2319" s="8"/>
    </row>
    <row r="2320" spans="2:3" x14ac:dyDescent="0.25">
      <c r="B2320" s="1">
        <v>1</v>
      </c>
      <c r="C2320" s="8"/>
    </row>
    <row r="2321" spans="2:3" x14ac:dyDescent="0.25">
      <c r="B2321" s="1">
        <v>1</v>
      </c>
      <c r="C2321" s="8"/>
    </row>
    <row r="2322" spans="2:3" x14ac:dyDescent="0.25">
      <c r="B2322" s="1">
        <v>1</v>
      </c>
      <c r="C2322" s="8"/>
    </row>
    <row r="2323" spans="2:3" x14ac:dyDescent="0.25">
      <c r="B2323" s="1">
        <v>1</v>
      </c>
      <c r="C2323" s="8"/>
    </row>
    <row r="2324" spans="2:3" x14ac:dyDescent="0.25">
      <c r="B2324" s="1">
        <v>1</v>
      </c>
      <c r="C2324" s="8"/>
    </row>
    <row r="2325" spans="2:3" x14ac:dyDescent="0.25">
      <c r="B2325" s="1">
        <v>1</v>
      </c>
      <c r="C2325" s="8"/>
    </row>
    <row r="2326" spans="2:3" x14ac:dyDescent="0.25">
      <c r="B2326" s="1">
        <v>1</v>
      </c>
      <c r="C2326" s="8"/>
    </row>
    <row r="2327" spans="2:3" x14ac:dyDescent="0.25">
      <c r="B2327" s="1">
        <v>1</v>
      </c>
      <c r="C2327" s="8"/>
    </row>
    <row r="2328" spans="2:3" x14ac:dyDescent="0.25">
      <c r="B2328" s="1">
        <v>1</v>
      </c>
      <c r="C2328" s="8"/>
    </row>
    <row r="2329" spans="2:3" x14ac:dyDescent="0.25">
      <c r="B2329" s="1">
        <v>1</v>
      </c>
      <c r="C2329" s="8"/>
    </row>
    <row r="2330" spans="2:3" x14ac:dyDescent="0.25">
      <c r="B2330" s="1">
        <v>1</v>
      </c>
      <c r="C2330" s="8"/>
    </row>
    <row r="2331" spans="2:3" x14ac:dyDescent="0.25">
      <c r="B2331" s="1">
        <v>1</v>
      </c>
      <c r="C2331" s="8"/>
    </row>
    <row r="2332" spans="2:3" x14ac:dyDescent="0.25">
      <c r="B2332" s="1">
        <v>1</v>
      </c>
      <c r="C2332" s="8"/>
    </row>
    <row r="2333" spans="2:3" x14ac:dyDescent="0.25">
      <c r="B2333" s="1">
        <v>1</v>
      </c>
      <c r="C2333" s="8"/>
    </row>
    <row r="2334" spans="2:3" x14ac:dyDescent="0.25">
      <c r="B2334" s="1">
        <v>1</v>
      </c>
      <c r="C2334" s="8"/>
    </row>
    <row r="2335" spans="2:3" x14ac:dyDescent="0.25">
      <c r="B2335" s="1">
        <v>1</v>
      </c>
      <c r="C2335" s="8"/>
    </row>
    <row r="2336" spans="2:3" x14ac:dyDescent="0.25">
      <c r="B2336" s="1">
        <v>1</v>
      </c>
      <c r="C2336" s="8"/>
    </row>
    <row r="2337" spans="2:3" x14ac:dyDescent="0.25">
      <c r="B2337" s="1">
        <v>1</v>
      </c>
      <c r="C2337" s="8"/>
    </row>
    <row r="2338" spans="2:3" x14ac:dyDescent="0.25">
      <c r="B2338" s="1">
        <v>1</v>
      </c>
      <c r="C2338" s="8"/>
    </row>
    <row r="2339" spans="2:3" x14ac:dyDescent="0.25">
      <c r="B2339" s="1">
        <v>1</v>
      </c>
      <c r="C2339" s="8"/>
    </row>
    <row r="2340" spans="2:3" x14ac:dyDescent="0.25">
      <c r="B2340" s="1">
        <v>1</v>
      </c>
      <c r="C2340" s="8"/>
    </row>
    <row r="2341" spans="2:3" x14ac:dyDescent="0.25">
      <c r="B2341" s="1">
        <v>1</v>
      </c>
      <c r="C2341" s="8"/>
    </row>
    <row r="2342" spans="2:3" x14ac:dyDescent="0.25">
      <c r="B2342" s="1">
        <v>1</v>
      </c>
      <c r="C2342" s="8"/>
    </row>
    <row r="2343" spans="2:3" x14ac:dyDescent="0.25">
      <c r="B2343" s="1">
        <v>1</v>
      </c>
      <c r="C2343" s="8"/>
    </row>
    <row r="2344" spans="2:3" x14ac:dyDescent="0.25">
      <c r="B2344" s="1">
        <v>1</v>
      </c>
      <c r="C2344" s="8"/>
    </row>
    <row r="2345" spans="2:3" x14ac:dyDescent="0.25">
      <c r="B2345" s="1">
        <v>1</v>
      </c>
      <c r="C2345" s="8"/>
    </row>
    <row r="2346" spans="2:3" x14ac:dyDescent="0.25">
      <c r="B2346" s="1">
        <v>1</v>
      </c>
      <c r="C2346" s="8"/>
    </row>
    <row r="2347" spans="2:3" x14ac:dyDescent="0.25">
      <c r="B2347" s="1">
        <v>1</v>
      </c>
      <c r="C2347" s="8"/>
    </row>
    <row r="2348" spans="2:3" x14ac:dyDescent="0.25">
      <c r="B2348" s="1">
        <v>1</v>
      </c>
      <c r="C2348" s="8"/>
    </row>
    <row r="2349" spans="2:3" x14ac:dyDescent="0.25">
      <c r="B2349" s="1">
        <v>1</v>
      </c>
      <c r="C2349" s="8"/>
    </row>
    <row r="2350" spans="2:3" x14ac:dyDescent="0.25">
      <c r="B2350" s="1">
        <v>1</v>
      </c>
      <c r="C2350" s="8"/>
    </row>
    <row r="2351" spans="2:3" x14ac:dyDescent="0.25">
      <c r="B2351" s="1">
        <v>1</v>
      </c>
      <c r="C2351" s="8"/>
    </row>
    <row r="2352" spans="2:3" x14ac:dyDescent="0.25">
      <c r="B2352" s="1">
        <v>1</v>
      </c>
      <c r="C2352" s="8"/>
    </row>
    <row r="2353" spans="2:3" x14ac:dyDescent="0.25">
      <c r="B2353" s="1">
        <v>1</v>
      </c>
      <c r="C2353" s="8"/>
    </row>
    <row r="2354" spans="2:3" x14ac:dyDescent="0.25">
      <c r="B2354" s="1">
        <v>1</v>
      </c>
      <c r="C2354" s="8"/>
    </row>
    <row r="2355" spans="2:3" x14ac:dyDescent="0.25">
      <c r="B2355" s="1">
        <v>1</v>
      </c>
      <c r="C2355" s="8"/>
    </row>
    <row r="2356" spans="2:3" x14ac:dyDescent="0.25">
      <c r="B2356" s="1">
        <v>1</v>
      </c>
      <c r="C2356" s="8"/>
    </row>
    <row r="2357" spans="2:3" x14ac:dyDescent="0.25">
      <c r="B2357" s="1">
        <v>1</v>
      </c>
      <c r="C2357" s="8"/>
    </row>
    <row r="2358" spans="2:3" x14ac:dyDescent="0.25">
      <c r="B2358" s="1">
        <v>1</v>
      </c>
      <c r="C2358" s="8"/>
    </row>
    <row r="2359" spans="2:3" x14ac:dyDescent="0.25">
      <c r="B2359" s="1">
        <v>1</v>
      </c>
      <c r="C2359" s="8"/>
    </row>
    <row r="2360" spans="2:3" x14ac:dyDescent="0.25">
      <c r="B2360" s="1">
        <v>1</v>
      </c>
      <c r="C2360" s="8"/>
    </row>
    <row r="2361" spans="2:3" x14ac:dyDescent="0.25">
      <c r="B2361" s="1">
        <v>1</v>
      </c>
      <c r="C2361" s="8"/>
    </row>
    <row r="2362" spans="2:3" x14ac:dyDescent="0.25">
      <c r="B2362" s="1">
        <v>1</v>
      </c>
      <c r="C2362" s="8"/>
    </row>
    <row r="2363" spans="2:3" x14ac:dyDescent="0.25">
      <c r="B2363" s="1">
        <v>1</v>
      </c>
      <c r="C2363" s="8"/>
    </row>
    <row r="2364" spans="2:3" x14ac:dyDescent="0.25">
      <c r="B2364" s="1">
        <v>1</v>
      </c>
      <c r="C2364" s="8"/>
    </row>
    <row r="2365" spans="2:3" x14ac:dyDescent="0.25">
      <c r="B2365" s="1">
        <v>1</v>
      </c>
      <c r="C2365" s="8"/>
    </row>
    <row r="2366" spans="2:3" x14ac:dyDescent="0.25">
      <c r="B2366" s="1">
        <v>1</v>
      </c>
      <c r="C2366" s="8"/>
    </row>
    <row r="2367" spans="2:3" x14ac:dyDescent="0.25">
      <c r="B2367" s="1">
        <v>1</v>
      </c>
      <c r="C2367" s="8"/>
    </row>
    <row r="2368" spans="2:3" x14ac:dyDescent="0.25">
      <c r="B2368" s="1">
        <v>1</v>
      </c>
      <c r="C2368" s="8"/>
    </row>
    <row r="2369" spans="2:3" x14ac:dyDescent="0.25">
      <c r="B2369" s="1">
        <v>1</v>
      </c>
      <c r="C2369" s="8"/>
    </row>
    <row r="2370" spans="2:3" x14ac:dyDescent="0.25">
      <c r="B2370" s="1">
        <v>1</v>
      </c>
      <c r="C2370" s="8"/>
    </row>
    <row r="2371" spans="2:3" x14ac:dyDescent="0.25">
      <c r="B2371" s="1">
        <v>1</v>
      </c>
      <c r="C2371" s="8"/>
    </row>
    <row r="2372" spans="2:3" x14ac:dyDescent="0.25">
      <c r="B2372" s="1">
        <v>1</v>
      </c>
      <c r="C2372" s="8"/>
    </row>
    <row r="2373" spans="2:3" x14ac:dyDescent="0.25">
      <c r="B2373" s="1">
        <v>1</v>
      </c>
      <c r="C2373" s="8"/>
    </row>
    <row r="2374" spans="2:3" x14ac:dyDescent="0.25">
      <c r="B2374" s="1">
        <v>1</v>
      </c>
      <c r="C2374" s="8"/>
    </row>
    <row r="2375" spans="2:3" x14ac:dyDescent="0.25">
      <c r="B2375" s="1">
        <v>1</v>
      </c>
      <c r="C2375" s="8"/>
    </row>
    <row r="2376" spans="2:3" x14ac:dyDescent="0.25">
      <c r="B2376" s="1">
        <v>1</v>
      </c>
      <c r="C2376" s="8"/>
    </row>
    <row r="2377" spans="2:3" x14ac:dyDescent="0.25">
      <c r="B2377" s="1">
        <v>1</v>
      </c>
      <c r="C2377" s="8"/>
    </row>
    <row r="2378" spans="2:3" x14ac:dyDescent="0.25">
      <c r="B2378" s="1">
        <v>1</v>
      </c>
      <c r="C2378" s="8"/>
    </row>
    <row r="2379" spans="2:3" x14ac:dyDescent="0.25">
      <c r="B2379" s="1">
        <v>1</v>
      </c>
      <c r="C2379" s="8"/>
    </row>
    <row r="2380" spans="2:3" x14ac:dyDescent="0.25">
      <c r="B2380" s="1">
        <v>1</v>
      </c>
      <c r="C2380" s="8"/>
    </row>
    <row r="2381" spans="2:3" x14ac:dyDescent="0.25">
      <c r="B2381" s="1">
        <v>1</v>
      </c>
      <c r="C2381" s="8"/>
    </row>
    <row r="2382" spans="2:3" x14ac:dyDescent="0.25">
      <c r="B2382" s="1">
        <v>1</v>
      </c>
      <c r="C2382" s="8"/>
    </row>
    <row r="2383" spans="2:3" x14ac:dyDescent="0.25">
      <c r="B2383" s="1">
        <v>1</v>
      </c>
      <c r="C2383" s="8"/>
    </row>
    <row r="2384" spans="2:3" x14ac:dyDescent="0.25">
      <c r="B2384" s="1">
        <v>1</v>
      </c>
      <c r="C2384" s="8"/>
    </row>
    <row r="2385" spans="2:3" x14ac:dyDescent="0.25">
      <c r="B2385" s="1">
        <v>1</v>
      </c>
      <c r="C2385" s="8"/>
    </row>
    <row r="2386" spans="2:3" x14ac:dyDescent="0.25">
      <c r="B2386" s="1">
        <v>1</v>
      </c>
      <c r="C2386" s="8"/>
    </row>
    <row r="2387" spans="2:3" x14ac:dyDescent="0.25">
      <c r="B2387" s="1">
        <v>1</v>
      </c>
      <c r="C2387" s="8"/>
    </row>
    <row r="2388" spans="2:3" x14ac:dyDescent="0.25">
      <c r="B2388" s="1">
        <v>1</v>
      </c>
      <c r="C2388" s="8"/>
    </row>
    <row r="2389" spans="2:3" x14ac:dyDescent="0.25">
      <c r="B2389" s="1">
        <v>1</v>
      </c>
      <c r="C2389" s="8"/>
    </row>
    <row r="2390" spans="2:3" x14ac:dyDescent="0.25">
      <c r="B2390" s="1">
        <v>1</v>
      </c>
      <c r="C2390" s="8"/>
    </row>
    <row r="2391" spans="2:3" x14ac:dyDescent="0.25">
      <c r="B2391" s="1">
        <v>1</v>
      </c>
      <c r="C2391" s="8"/>
    </row>
    <row r="2392" spans="2:3" x14ac:dyDescent="0.25">
      <c r="B2392" s="1">
        <v>1</v>
      </c>
      <c r="C2392" s="8"/>
    </row>
    <row r="2393" spans="2:3" x14ac:dyDescent="0.25">
      <c r="B2393" s="1">
        <v>1</v>
      </c>
      <c r="C2393" s="8"/>
    </row>
    <row r="2394" spans="2:3" x14ac:dyDescent="0.25">
      <c r="B2394" s="1">
        <v>1</v>
      </c>
      <c r="C2394" s="8"/>
    </row>
    <row r="2395" spans="2:3" x14ac:dyDescent="0.25">
      <c r="B2395" s="1">
        <v>1</v>
      </c>
      <c r="C2395" s="8"/>
    </row>
    <row r="2396" spans="2:3" x14ac:dyDescent="0.25">
      <c r="B2396" s="1">
        <v>1</v>
      </c>
      <c r="C2396" s="8"/>
    </row>
    <row r="2397" spans="2:3" x14ac:dyDescent="0.25">
      <c r="B2397" s="1">
        <v>1</v>
      </c>
      <c r="C2397" s="8"/>
    </row>
    <row r="2398" spans="2:3" x14ac:dyDescent="0.25">
      <c r="B2398" s="1">
        <v>1</v>
      </c>
      <c r="C2398" s="8"/>
    </row>
    <row r="2399" spans="2:3" x14ac:dyDescent="0.25">
      <c r="B2399" s="1">
        <v>1</v>
      </c>
      <c r="C2399" s="8"/>
    </row>
    <row r="2400" spans="2:3" x14ac:dyDescent="0.25">
      <c r="B2400" s="1">
        <v>1</v>
      </c>
      <c r="C2400" s="8"/>
    </row>
    <row r="2401" spans="2:3" x14ac:dyDescent="0.25">
      <c r="B2401" s="1">
        <v>1</v>
      </c>
      <c r="C2401" s="8"/>
    </row>
    <row r="2402" spans="2:3" x14ac:dyDescent="0.25">
      <c r="B2402" s="1">
        <v>1</v>
      </c>
      <c r="C2402" s="8"/>
    </row>
    <row r="2403" spans="2:3" x14ac:dyDescent="0.25">
      <c r="B2403" s="1">
        <v>1</v>
      </c>
      <c r="C2403" s="8"/>
    </row>
    <row r="2404" spans="2:3" x14ac:dyDescent="0.25">
      <c r="B2404" s="1">
        <v>1</v>
      </c>
      <c r="C2404" s="8"/>
    </row>
    <row r="2405" spans="2:3" x14ac:dyDescent="0.25">
      <c r="B2405" s="1">
        <v>1</v>
      </c>
      <c r="C2405" s="8"/>
    </row>
    <row r="2406" spans="2:3" x14ac:dyDescent="0.25">
      <c r="B2406" s="1">
        <v>1</v>
      </c>
      <c r="C2406" s="8"/>
    </row>
    <row r="2407" spans="2:3" x14ac:dyDescent="0.25">
      <c r="B2407" s="1">
        <v>1</v>
      </c>
      <c r="C2407" s="8"/>
    </row>
    <row r="2408" spans="2:3" x14ac:dyDescent="0.25">
      <c r="B2408" s="1">
        <v>1</v>
      </c>
      <c r="C2408" s="8"/>
    </row>
    <row r="2409" spans="2:3" x14ac:dyDescent="0.25">
      <c r="B2409" s="1">
        <v>1</v>
      </c>
      <c r="C2409" s="8"/>
    </row>
    <row r="2410" spans="2:3" x14ac:dyDescent="0.25">
      <c r="B2410" s="1">
        <v>1</v>
      </c>
      <c r="C2410" s="8"/>
    </row>
    <row r="2411" spans="2:3" x14ac:dyDescent="0.25">
      <c r="B2411" s="1">
        <v>1</v>
      </c>
      <c r="C2411" s="8"/>
    </row>
    <row r="2412" spans="2:3" x14ac:dyDescent="0.25">
      <c r="B2412" s="1">
        <v>1</v>
      </c>
      <c r="C2412" s="8"/>
    </row>
    <row r="2413" spans="2:3" x14ac:dyDescent="0.25">
      <c r="B2413" s="1">
        <v>1</v>
      </c>
      <c r="C2413" s="8"/>
    </row>
    <row r="2414" spans="2:3" x14ac:dyDescent="0.25">
      <c r="B2414" s="1">
        <v>1</v>
      </c>
      <c r="C2414" s="8"/>
    </row>
    <row r="2415" spans="2:3" x14ac:dyDescent="0.25">
      <c r="B2415" s="1">
        <v>1</v>
      </c>
      <c r="C2415" s="8"/>
    </row>
    <row r="2416" spans="2:3" x14ac:dyDescent="0.25">
      <c r="B2416" s="1">
        <v>1</v>
      </c>
      <c r="C2416" s="8"/>
    </row>
    <row r="2417" spans="2:3" x14ac:dyDescent="0.25">
      <c r="B2417" s="1">
        <v>1</v>
      </c>
      <c r="C2417" s="8"/>
    </row>
    <row r="2418" spans="2:3" x14ac:dyDescent="0.25">
      <c r="B2418" s="1">
        <v>1</v>
      </c>
      <c r="C2418" s="8"/>
    </row>
    <row r="2419" spans="2:3" x14ac:dyDescent="0.25">
      <c r="B2419" s="1">
        <v>1</v>
      </c>
      <c r="C2419" s="8"/>
    </row>
    <row r="2420" spans="2:3" x14ac:dyDescent="0.25">
      <c r="B2420" s="1">
        <v>1</v>
      </c>
      <c r="C2420" s="8"/>
    </row>
    <row r="2421" spans="2:3" x14ac:dyDescent="0.25">
      <c r="B2421" s="1">
        <v>1</v>
      </c>
      <c r="C2421" s="8"/>
    </row>
    <row r="2422" spans="2:3" x14ac:dyDescent="0.25">
      <c r="B2422" s="1">
        <v>1</v>
      </c>
      <c r="C2422" s="8"/>
    </row>
    <row r="2423" spans="2:3" x14ac:dyDescent="0.25">
      <c r="B2423" s="1">
        <v>1</v>
      </c>
      <c r="C2423" s="8"/>
    </row>
    <row r="2424" spans="2:3" x14ac:dyDescent="0.25">
      <c r="B2424" s="1">
        <v>1</v>
      </c>
      <c r="C2424" s="8"/>
    </row>
    <row r="2425" spans="2:3" x14ac:dyDescent="0.25">
      <c r="B2425" s="1">
        <v>1</v>
      </c>
      <c r="C2425" s="8"/>
    </row>
    <row r="2426" spans="2:3" x14ac:dyDescent="0.25">
      <c r="B2426" s="1">
        <v>1</v>
      </c>
      <c r="C2426" s="8"/>
    </row>
    <row r="2427" spans="2:3" x14ac:dyDescent="0.25">
      <c r="B2427" s="1">
        <v>1</v>
      </c>
      <c r="C2427" s="8"/>
    </row>
    <row r="2428" spans="2:3" x14ac:dyDescent="0.25">
      <c r="B2428" s="1">
        <v>1</v>
      </c>
      <c r="C2428" s="8"/>
    </row>
    <row r="2429" spans="2:3" x14ac:dyDescent="0.25">
      <c r="B2429" s="1">
        <v>1</v>
      </c>
      <c r="C2429" s="8"/>
    </row>
    <row r="2430" spans="2:3" x14ac:dyDescent="0.25">
      <c r="B2430" s="1">
        <v>1</v>
      </c>
      <c r="C2430" s="8"/>
    </row>
    <row r="2431" spans="2:3" x14ac:dyDescent="0.25">
      <c r="B2431" s="1">
        <v>1</v>
      </c>
      <c r="C2431" s="8"/>
    </row>
    <row r="2432" spans="2:3" x14ac:dyDescent="0.25">
      <c r="B2432" s="1">
        <v>1</v>
      </c>
      <c r="C2432" s="8"/>
    </row>
    <row r="2433" spans="2:3" x14ac:dyDescent="0.25">
      <c r="B2433" s="1">
        <v>1</v>
      </c>
      <c r="C2433" s="8"/>
    </row>
    <row r="2434" spans="2:3" x14ac:dyDescent="0.25">
      <c r="B2434" s="1">
        <v>1</v>
      </c>
      <c r="C2434" s="8"/>
    </row>
    <row r="2435" spans="2:3" x14ac:dyDescent="0.25">
      <c r="B2435" s="1">
        <v>1</v>
      </c>
      <c r="C2435" s="8"/>
    </row>
    <row r="2436" spans="2:3" x14ac:dyDescent="0.25">
      <c r="B2436" s="1">
        <v>1</v>
      </c>
      <c r="C2436" s="8"/>
    </row>
    <row r="2437" spans="2:3" x14ac:dyDescent="0.25">
      <c r="B2437" s="1">
        <v>1</v>
      </c>
      <c r="C2437" s="8"/>
    </row>
    <row r="2438" spans="2:3" x14ac:dyDescent="0.25">
      <c r="B2438" s="1">
        <v>1</v>
      </c>
      <c r="C2438" s="8"/>
    </row>
    <row r="2439" spans="2:3" x14ac:dyDescent="0.25">
      <c r="B2439" s="1">
        <v>1</v>
      </c>
      <c r="C2439" s="8"/>
    </row>
    <row r="2440" spans="2:3" x14ac:dyDescent="0.25">
      <c r="B2440" s="1">
        <v>1</v>
      </c>
      <c r="C2440" s="8"/>
    </row>
    <row r="2441" spans="2:3" x14ac:dyDescent="0.25">
      <c r="B2441" s="1">
        <v>1</v>
      </c>
      <c r="C2441" s="8"/>
    </row>
    <row r="2442" spans="2:3" x14ac:dyDescent="0.25">
      <c r="B2442" s="1">
        <v>1</v>
      </c>
      <c r="C2442" s="8"/>
    </row>
    <row r="2443" spans="2:3" x14ac:dyDescent="0.25">
      <c r="B2443" s="1">
        <v>1</v>
      </c>
      <c r="C2443" s="8"/>
    </row>
    <row r="2444" spans="2:3" x14ac:dyDescent="0.25">
      <c r="B2444" s="1">
        <v>1</v>
      </c>
      <c r="C2444" s="8"/>
    </row>
    <row r="2445" spans="2:3" x14ac:dyDescent="0.25">
      <c r="B2445" s="1">
        <v>1</v>
      </c>
      <c r="C2445" s="8"/>
    </row>
    <row r="2446" spans="2:3" x14ac:dyDescent="0.25">
      <c r="B2446" s="1">
        <v>1</v>
      </c>
      <c r="C2446" s="8"/>
    </row>
    <row r="2447" spans="2:3" x14ac:dyDescent="0.25">
      <c r="B2447" s="1">
        <v>1</v>
      </c>
      <c r="C2447" s="8"/>
    </row>
    <row r="2448" spans="2:3" x14ac:dyDescent="0.25">
      <c r="B2448" s="1">
        <v>1</v>
      </c>
      <c r="C2448" s="8"/>
    </row>
    <row r="2449" spans="2:3" x14ac:dyDescent="0.25">
      <c r="B2449" s="1">
        <v>1</v>
      </c>
      <c r="C2449" s="8"/>
    </row>
    <row r="2450" spans="2:3" x14ac:dyDescent="0.25">
      <c r="B2450" s="1">
        <v>1</v>
      </c>
      <c r="C2450" s="8"/>
    </row>
    <row r="2451" spans="2:3" x14ac:dyDescent="0.25">
      <c r="B2451" s="1">
        <v>1</v>
      </c>
      <c r="C2451" s="8"/>
    </row>
    <row r="2452" spans="2:3" x14ac:dyDescent="0.25">
      <c r="B2452" s="1">
        <v>1</v>
      </c>
      <c r="C2452" s="8"/>
    </row>
    <row r="2453" spans="2:3" x14ac:dyDescent="0.25">
      <c r="B2453" s="1">
        <v>1</v>
      </c>
      <c r="C2453" s="8"/>
    </row>
    <row r="2454" spans="2:3" x14ac:dyDescent="0.25">
      <c r="B2454" s="1">
        <v>1</v>
      </c>
      <c r="C2454" s="8"/>
    </row>
    <row r="2455" spans="2:3" x14ac:dyDescent="0.25">
      <c r="B2455" s="1">
        <v>1</v>
      </c>
      <c r="C2455" s="8"/>
    </row>
    <row r="2456" spans="2:3" x14ac:dyDescent="0.25">
      <c r="B2456" s="1">
        <v>1</v>
      </c>
      <c r="C2456" s="8"/>
    </row>
    <row r="2457" spans="2:3" x14ac:dyDescent="0.25">
      <c r="B2457" s="1">
        <v>1</v>
      </c>
      <c r="C2457" s="8"/>
    </row>
    <row r="2458" spans="2:3" x14ac:dyDescent="0.25">
      <c r="B2458" s="1">
        <v>1</v>
      </c>
      <c r="C2458" s="8"/>
    </row>
    <row r="2459" spans="2:3" x14ac:dyDescent="0.25">
      <c r="B2459" s="1">
        <v>1</v>
      </c>
      <c r="C2459" s="8"/>
    </row>
    <row r="2460" spans="2:3" x14ac:dyDescent="0.25">
      <c r="B2460" s="1">
        <v>1</v>
      </c>
      <c r="C2460" s="8"/>
    </row>
    <row r="2461" spans="2:3" x14ac:dyDescent="0.25">
      <c r="B2461" s="1">
        <v>1</v>
      </c>
      <c r="C2461" s="8"/>
    </row>
    <row r="2462" spans="2:3" x14ac:dyDescent="0.25">
      <c r="B2462" s="1">
        <v>1</v>
      </c>
      <c r="C2462" s="8"/>
    </row>
    <row r="2463" spans="2:3" x14ac:dyDescent="0.25">
      <c r="B2463" s="1">
        <v>1</v>
      </c>
      <c r="C2463" s="8"/>
    </row>
    <row r="2464" spans="2:3" x14ac:dyDescent="0.25">
      <c r="B2464" s="1">
        <v>1</v>
      </c>
      <c r="C2464" s="8"/>
    </row>
    <row r="2465" spans="2:3" x14ac:dyDescent="0.25">
      <c r="B2465" s="1">
        <v>1</v>
      </c>
      <c r="C2465" s="8"/>
    </row>
    <row r="2466" spans="2:3" x14ac:dyDescent="0.25">
      <c r="B2466" s="1">
        <v>1</v>
      </c>
      <c r="C2466" s="8"/>
    </row>
    <row r="2467" spans="2:3" x14ac:dyDescent="0.25">
      <c r="B2467" s="1">
        <v>1</v>
      </c>
      <c r="C2467" s="8"/>
    </row>
    <row r="2468" spans="2:3" x14ac:dyDescent="0.25">
      <c r="B2468" s="1">
        <v>1</v>
      </c>
      <c r="C2468" s="8"/>
    </row>
    <row r="2469" spans="2:3" x14ac:dyDescent="0.25">
      <c r="B2469" s="1">
        <v>1</v>
      </c>
      <c r="C2469" s="8"/>
    </row>
    <row r="2470" spans="2:3" x14ac:dyDescent="0.25">
      <c r="B2470" s="1">
        <v>1</v>
      </c>
      <c r="C2470" s="8"/>
    </row>
    <row r="2471" spans="2:3" x14ac:dyDescent="0.25">
      <c r="B2471" s="1">
        <v>1</v>
      </c>
      <c r="C2471" s="8"/>
    </row>
    <row r="2472" spans="2:3" x14ac:dyDescent="0.25">
      <c r="B2472" s="1">
        <v>1</v>
      </c>
      <c r="C2472" s="8"/>
    </row>
    <row r="2473" spans="2:3" x14ac:dyDescent="0.25">
      <c r="B2473" s="1">
        <v>1</v>
      </c>
      <c r="C2473" s="8"/>
    </row>
    <row r="2474" spans="2:3" x14ac:dyDescent="0.25">
      <c r="B2474" s="1">
        <v>1</v>
      </c>
      <c r="C2474" s="8"/>
    </row>
    <row r="2475" spans="2:3" x14ac:dyDescent="0.25">
      <c r="B2475" s="1">
        <v>1</v>
      </c>
      <c r="C2475" s="8"/>
    </row>
    <row r="2476" spans="2:3" x14ac:dyDescent="0.25">
      <c r="B2476" s="1">
        <v>1</v>
      </c>
      <c r="C2476" s="8"/>
    </row>
    <row r="2477" spans="2:3" x14ac:dyDescent="0.25">
      <c r="B2477" s="1">
        <v>1</v>
      </c>
      <c r="C2477" s="8"/>
    </row>
    <row r="2478" spans="2:3" x14ac:dyDescent="0.25">
      <c r="B2478" s="1">
        <v>1</v>
      </c>
      <c r="C2478" s="8"/>
    </row>
    <row r="2479" spans="2:3" x14ac:dyDescent="0.25">
      <c r="B2479" s="1">
        <v>1</v>
      </c>
      <c r="C2479" s="8"/>
    </row>
    <row r="2480" spans="2:3" x14ac:dyDescent="0.25">
      <c r="B2480" s="1">
        <v>1</v>
      </c>
      <c r="C2480" s="8"/>
    </row>
    <row r="2481" spans="2:3" x14ac:dyDescent="0.25">
      <c r="B2481" s="1">
        <v>1</v>
      </c>
      <c r="C2481" s="8"/>
    </row>
    <row r="2482" spans="2:3" x14ac:dyDescent="0.25">
      <c r="B2482" s="1">
        <v>1</v>
      </c>
      <c r="C2482" s="8"/>
    </row>
    <row r="2483" spans="2:3" x14ac:dyDescent="0.25">
      <c r="B2483" s="1">
        <v>1</v>
      </c>
      <c r="C2483" s="8"/>
    </row>
    <row r="2484" spans="2:3" x14ac:dyDescent="0.25">
      <c r="B2484" s="1">
        <v>1</v>
      </c>
      <c r="C2484" s="8"/>
    </row>
    <row r="2485" spans="2:3" x14ac:dyDescent="0.25">
      <c r="B2485" s="1">
        <v>1</v>
      </c>
      <c r="C2485" s="8"/>
    </row>
    <row r="2486" spans="2:3" x14ac:dyDescent="0.25">
      <c r="B2486" s="1">
        <v>1</v>
      </c>
      <c r="C2486" s="8"/>
    </row>
    <row r="2487" spans="2:3" x14ac:dyDescent="0.25">
      <c r="B2487" s="1">
        <v>1</v>
      </c>
      <c r="C2487" s="8"/>
    </row>
    <row r="2488" spans="2:3" x14ac:dyDescent="0.25">
      <c r="B2488" s="1">
        <v>1</v>
      </c>
      <c r="C2488" s="8"/>
    </row>
    <row r="2489" spans="2:3" x14ac:dyDescent="0.25">
      <c r="B2489" s="1">
        <v>1</v>
      </c>
      <c r="C2489" s="8"/>
    </row>
    <row r="2490" spans="2:3" x14ac:dyDescent="0.25">
      <c r="B2490" s="1">
        <v>1</v>
      </c>
      <c r="C2490" s="8"/>
    </row>
    <row r="2491" spans="2:3" x14ac:dyDescent="0.25">
      <c r="B2491" s="1">
        <v>1</v>
      </c>
      <c r="C2491" s="8"/>
    </row>
    <row r="2492" spans="2:3" x14ac:dyDescent="0.25">
      <c r="B2492" s="1">
        <v>1</v>
      </c>
      <c r="C2492" s="8"/>
    </row>
    <row r="2493" spans="2:3" x14ac:dyDescent="0.25">
      <c r="B2493" s="1">
        <v>1</v>
      </c>
      <c r="C2493" s="8"/>
    </row>
    <row r="2494" spans="2:3" x14ac:dyDescent="0.25">
      <c r="B2494" s="1">
        <v>1</v>
      </c>
      <c r="C2494" s="8"/>
    </row>
    <row r="2495" spans="2:3" x14ac:dyDescent="0.25">
      <c r="B2495" s="1">
        <v>1</v>
      </c>
      <c r="C2495" s="8"/>
    </row>
    <row r="2496" spans="2:3" x14ac:dyDescent="0.25">
      <c r="B2496" s="1">
        <v>1</v>
      </c>
      <c r="C2496" s="8"/>
    </row>
    <row r="2497" spans="2:3" x14ac:dyDescent="0.25">
      <c r="B2497" s="1">
        <v>1</v>
      </c>
      <c r="C2497" s="8"/>
    </row>
    <row r="2498" spans="2:3" x14ac:dyDescent="0.25">
      <c r="B2498" s="1">
        <v>1</v>
      </c>
      <c r="C2498" s="8"/>
    </row>
    <row r="2499" spans="2:3" x14ac:dyDescent="0.25">
      <c r="B2499" s="1">
        <v>1</v>
      </c>
      <c r="C2499" s="8"/>
    </row>
    <row r="2500" spans="2:3" x14ac:dyDescent="0.25">
      <c r="B2500" s="1">
        <v>1</v>
      </c>
      <c r="C2500" s="8"/>
    </row>
    <row r="2501" spans="2:3" x14ac:dyDescent="0.25">
      <c r="B2501" s="1">
        <v>1</v>
      </c>
      <c r="C2501" s="8"/>
    </row>
    <row r="2502" spans="2:3" x14ac:dyDescent="0.25">
      <c r="B2502" s="1">
        <v>1</v>
      </c>
      <c r="C2502" s="8"/>
    </row>
    <row r="2503" spans="2:3" x14ac:dyDescent="0.25">
      <c r="B2503" s="1">
        <v>1</v>
      </c>
      <c r="C2503" s="8"/>
    </row>
    <row r="2504" spans="2:3" x14ac:dyDescent="0.25">
      <c r="B2504" s="1">
        <v>1</v>
      </c>
      <c r="C2504" s="8"/>
    </row>
    <row r="2505" spans="2:3" x14ac:dyDescent="0.25">
      <c r="B2505" s="1">
        <v>1</v>
      </c>
      <c r="C2505" s="8"/>
    </row>
    <row r="2506" spans="2:3" x14ac:dyDescent="0.25">
      <c r="B2506" s="1">
        <v>1</v>
      </c>
      <c r="C2506" s="8"/>
    </row>
    <row r="2507" spans="2:3" x14ac:dyDescent="0.25">
      <c r="B2507" s="1">
        <v>1</v>
      </c>
      <c r="C2507" s="8"/>
    </row>
    <row r="2508" spans="2:3" x14ac:dyDescent="0.25">
      <c r="B2508" s="1">
        <v>1</v>
      </c>
      <c r="C2508" s="8"/>
    </row>
    <row r="2509" spans="2:3" x14ac:dyDescent="0.25">
      <c r="B2509" s="1">
        <v>1</v>
      </c>
      <c r="C2509" s="8"/>
    </row>
    <row r="2510" spans="2:3" x14ac:dyDescent="0.25">
      <c r="B2510" s="1">
        <v>1</v>
      </c>
      <c r="C2510" s="8"/>
    </row>
    <row r="2511" spans="2:3" x14ac:dyDescent="0.25">
      <c r="B2511" s="1">
        <v>1</v>
      </c>
      <c r="C2511" s="8"/>
    </row>
    <row r="2512" spans="2:3" x14ac:dyDescent="0.25">
      <c r="B2512" s="1">
        <v>1</v>
      </c>
      <c r="C2512" s="8"/>
    </row>
    <row r="2513" spans="2:3" x14ac:dyDescent="0.25">
      <c r="B2513" s="1">
        <v>1</v>
      </c>
      <c r="C2513" s="8"/>
    </row>
    <row r="2514" spans="2:3" x14ac:dyDescent="0.25">
      <c r="B2514" s="1">
        <v>1</v>
      </c>
      <c r="C2514" s="8"/>
    </row>
    <row r="2515" spans="2:3" x14ac:dyDescent="0.25">
      <c r="B2515" s="1">
        <v>1</v>
      </c>
      <c r="C2515" s="8"/>
    </row>
    <row r="2516" spans="2:3" x14ac:dyDescent="0.25">
      <c r="B2516" s="1">
        <v>1</v>
      </c>
      <c r="C2516" s="8"/>
    </row>
    <row r="2517" spans="2:3" x14ac:dyDescent="0.25">
      <c r="B2517" s="1">
        <v>1</v>
      </c>
      <c r="C2517" s="8"/>
    </row>
    <row r="2518" spans="2:3" x14ac:dyDescent="0.25">
      <c r="B2518" s="1">
        <v>1</v>
      </c>
      <c r="C2518" s="8"/>
    </row>
    <row r="2519" spans="2:3" x14ac:dyDescent="0.25">
      <c r="B2519" s="1">
        <v>1</v>
      </c>
      <c r="C2519" s="8"/>
    </row>
    <row r="2520" spans="2:3" x14ac:dyDescent="0.25">
      <c r="B2520" s="1">
        <v>1</v>
      </c>
      <c r="C2520" s="8"/>
    </row>
    <row r="2521" spans="2:3" x14ac:dyDescent="0.25">
      <c r="B2521" s="1">
        <v>1</v>
      </c>
      <c r="C2521" s="8"/>
    </row>
    <row r="2522" spans="2:3" x14ac:dyDescent="0.25">
      <c r="B2522" s="1">
        <v>1</v>
      </c>
      <c r="C2522" s="8"/>
    </row>
    <row r="2523" spans="2:3" x14ac:dyDescent="0.25">
      <c r="B2523" s="1">
        <v>1</v>
      </c>
      <c r="C2523" s="8"/>
    </row>
    <row r="2524" spans="2:3" x14ac:dyDescent="0.25">
      <c r="B2524" s="1">
        <v>1</v>
      </c>
      <c r="C2524" s="8"/>
    </row>
    <row r="2525" spans="2:3" x14ac:dyDescent="0.25">
      <c r="B2525" s="1">
        <v>1</v>
      </c>
      <c r="C2525" s="8"/>
    </row>
    <row r="2526" spans="2:3" x14ac:dyDescent="0.25">
      <c r="B2526" s="1">
        <v>1</v>
      </c>
      <c r="C2526" s="8"/>
    </row>
    <row r="2527" spans="2:3" x14ac:dyDescent="0.25">
      <c r="B2527" s="1">
        <v>1</v>
      </c>
      <c r="C2527" s="8"/>
    </row>
    <row r="2528" spans="2:3" x14ac:dyDescent="0.25">
      <c r="B2528" s="1">
        <v>1</v>
      </c>
      <c r="C2528" s="8"/>
    </row>
    <row r="2529" spans="2:3" x14ac:dyDescent="0.25">
      <c r="B2529" s="1">
        <v>1</v>
      </c>
      <c r="C2529" s="8"/>
    </row>
    <row r="2530" spans="2:3" x14ac:dyDescent="0.25">
      <c r="B2530" s="1">
        <v>1</v>
      </c>
      <c r="C2530" s="8"/>
    </row>
    <row r="2531" spans="2:3" x14ac:dyDescent="0.25">
      <c r="B2531" s="1">
        <v>1</v>
      </c>
      <c r="C2531" s="8"/>
    </row>
    <row r="2532" spans="2:3" x14ac:dyDescent="0.25">
      <c r="B2532" s="1">
        <v>1</v>
      </c>
      <c r="C2532" s="8"/>
    </row>
    <row r="2533" spans="2:3" x14ac:dyDescent="0.25">
      <c r="B2533" s="1">
        <v>1</v>
      </c>
      <c r="C2533" s="8"/>
    </row>
    <row r="2534" spans="2:3" x14ac:dyDescent="0.25">
      <c r="B2534" s="1">
        <v>1</v>
      </c>
      <c r="C2534" s="8"/>
    </row>
    <row r="2535" spans="2:3" x14ac:dyDescent="0.25">
      <c r="B2535" s="1">
        <v>1</v>
      </c>
      <c r="C2535" s="8"/>
    </row>
    <row r="2536" spans="2:3" x14ac:dyDescent="0.25">
      <c r="B2536" s="1">
        <v>1</v>
      </c>
      <c r="C2536" s="8"/>
    </row>
    <row r="2537" spans="2:3" x14ac:dyDescent="0.25">
      <c r="B2537" s="1">
        <v>1</v>
      </c>
      <c r="C2537" s="8"/>
    </row>
    <row r="2538" spans="2:3" x14ac:dyDescent="0.25">
      <c r="B2538" s="1">
        <v>1</v>
      </c>
      <c r="C2538" s="8"/>
    </row>
    <row r="2539" spans="2:3" x14ac:dyDescent="0.25">
      <c r="B2539" s="1">
        <v>1</v>
      </c>
      <c r="C2539" s="8"/>
    </row>
    <row r="2540" spans="2:3" ht="13.5" customHeight="1" x14ac:dyDescent="0.25">
      <c r="B2540" s="1">
        <v>1</v>
      </c>
      <c r="C2540" s="8"/>
    </row>
    <row r="2541" spans="2:3" x14ac:dyDescent="0.25">
      <c r="B2541" s="1">
        <v>1</v>
      </c>
      <c r="C2541" s="8"/>
    </row>
    <row r="2542" spans="2:3" x14ac:dyDescent="0.25">
      <c r="B2542" s="1">
        <v>1</v>
      </c>
      <c r="C2542" s="8"/>
    </row>
    <row r="2543" spans="2:3" x14ac:dyDescent="0.25">
      <c r="B2543" s="1">
        <v>1</v>
      </c>
      <c r="C2543" s="8"/>
    </row>
    <row r="2544" spans="2:3" x14ac:dyDescent="0.25">
      <c r="B2544" s="1">
        <v>1</v>
      </c>
      <c r="C2544" s="8"/>
    </row>
    <row r="2545" spans="2:3" x14ac:dyDescent="0.25">
      <c r="B2545" s="1">
        <v>1</v>
      </c>
      <c r="C2545" s="8"/>
    </row>
    <row r="2546" spans="2:3" x14ac:dyDescent="0.25">
      <c r="B2546" s="1">
        <v>1</v>
      </c>
      <c r="C2546" s="8"/>
    </row>
    <row r="2547" spans="2:3" x14ac:dyDescent="0.25">
      <c r="B2547" s="1">
        <v>1</v>
      </c>
      <c r="C2547" s="8"/>
    </row>
    <row r="2548" spans="2:3" x14ac:dyDescent="0.25">
      <c r="B2548" s="1">
        <v>1</v>
      </c>
      <c r="C2548" s="8"/>
    </row>
    <row r="2549" spans="2:3" x14ac:dyDescent="0.25">
      <c r="B2549" s="1">
        <v>1</v>
      </c>
      <c r="C2549" s="8"/>
    </row>
    <row r="2550" spans="2:3" x14ac:dyDescent="0.25">
      <c r="B2550" s="1">
        <v>1</v>
      </c>
      <c r="C2550" s="8"/>
    </row>
    <row r="2551" spans="2:3" x14ac:dyDescent="0.25">
      <c r="B2551" s="1">
        <v>1</v>
      </c>
      <c r="C2551" s="8"/>
    </row>
    <row r="2552" spans="2:3" x14ac:dyDescent="0.25">
      <c r="B2552" s="1">
        <v>1</v>
      </c>
      <c r="C2552" s="8"/>
    </row>
    <row r="2553" spans="2:3" x14ac:dyDescent="0.25">
      <c r="B2553" s="1">
        <v>1</v>
      </c>
      <c r="C2553" s="8"/>
    </row>
    <row r="2554" spans="2:3" x14ac:dyDescent="0.25">
      <c r="B2554" s="1">
        <v>1</v>
      </c>
      <c r="C2554" s="8"/>
    </row>
    <row r="2555" spans="2:3" x14ac:dyDescent="0.25">
      <c r="B2555" s="1">
        <v>1</v>
      </c>
      <c r="C2555" s="8"/>
    </row>
    <row r="2556" spans="2:3" x14ac:dyDescent="0.25">
      <c r="B2556" s="1">
        <v>1</v>
      </c>
      <c r="C2556" s="8"/>
    </row>
    <row r="2557" spans="2:3" x14ac:dyDescent="0.25">
      <c r="B2557" s="1">
        <v>1</v>
      </c>
      <c r="C2557" s="8"/>
    </row>
    <row r="2558" spans="2:3" x14ac:dyDescent="0.25">
      <c r="B2558" s="1">
        <v>1</v>
      </c>
      <c r="C2558" s="8"/>
    </row>
    <row r="2559" spans="2:3" x14ac:dyDescent="0.25">
      <c r="B2559" s="1">
        <v>1</v>
      </c>
      <c r="C2559" s="8"/>
    </row>
    <row r="2560" spans="2:3" x14ac:dyDescent="0.25">
      <c r="B2560" s="1">
        <v>1</v>
      </c>
      <c r="C2560" s="8"/>
    </row>
    <row r="2561" spans="2:3" x14ac:dyDescent="0.25">
      <c r="B2561" s="1">
        <v>1</v>
      </c>
      <c r="C2561" s="8"/>
    </row>
    <row r="2562" spans="2:3" x14ac:dyDescent="0.25">
      <c r="B2562" s="1">
        <v>1</v>
      </c>
      <c r="C2562" s="8"/>
    </row>
    <row r="2563" spans="2:3" x14ac:dyDescent="0.25">
      <c r="B2563" s="1">
        <v>1</v>
      </c>
      <c r="C2563" s="8"/>
    </row>
    <row r="2564" spans="2:3" x14ac:dyDescent="0.25">
      <c r="B2564" s="1">
        <v>1</v>
      </c>
      <c r="C2564" s="8"/>
    </row>
    <row r="2565" spans="2:3" x14ac:dyDescent="0.25">
      <c r="B2565" s="1">
        <v>1</v>
      </c>
      <c r="C2565" s="8"/>
    </row>
    <row r="2566" spans="2:3" x14ac:dyDescent="0.25">
      <c r="B2566" s="1">
        <v>1</v>
      </c>
      <c r="C2566" s="8"/>
    </row>
    <row r="2567" spans="2:3" x14ac:dyDescent="0.25">
      <c r="B2567" s="1">
        <v>1</v>
      </c>
      <c r="C2567" s="8"/>
    </row>
    <row r="2568" spans="2:3" x14ac:dyDescent="0.25">
      <c r="B2568" s="1">
        <v>1</v>
      </c>
      <c r="C2568" s="8"/>
    </row>
    <row r="2569" spans="2:3" x14ac:dyDescent="0.25">
      <c r="B2569" s="1">
        <v>1</v>
      </c>
      <c r="C2569" s="8"/>
    </row>
    <row r="2570" spans="2:3" x14ac:dyDescent="0.25">
      <c r="B2570" s="1">
        <v>1</v>
      </c>
      <c r="C2570" s="8"/>
    </row>
    <row r="2571" spans="2:3" x14ac:dyDescent="0.25">
      <c r="B2571" s="1">
        <v>1</v>
      </c>
      <c r="C2571" s="8"/>
    </row>
    <row r="2572" spans="2:3" x14ac:dyDescent="0.25">
      <c r="B2572" s="1">
        <v>1</v>
      </c>
      <c r="C2572" s="8"/>
    </row>
    <row r="2573" spans="2:3" x14ac:dyDescent="0.25">
      <c r="B2573" s="1">
        <v>1</v>
      </c>
      <c r="C2573" s="8"/>
    </row>
    <row r="2574" spans="2:3" x14ac:dyDescent="0.25">
      <c r="B2574" s="1">
        <v>1</v>
      </c>
      <c r="C2574" s="8"/>
    </row>
    <row r="2575" spans="2:3" x14ac:dyDescent="0.25">
      <c r="B2575" s="1">
        <v>1</v>
      </c>
      <c r="C2575" s="8"/>
    </row>
    <row r="2576" spans="2:3" x14ac:dyDescent="0.25">
      <c r="B2576" s="1">
        <v>1</v>
      </c>
      <c r="C2576" s="8"/>
    </row>
    <row r="2577" spans="2:13" x14ac:dyDescent="0.25">
      <c r="B2577" s="1">
        <v>1</v>
      </c>
      <c r="C2577" s="8"/>
    </row>
    <row r="2578" spans="2:13" x14ac:dyDescent="0.25">
      <c r="B2578" s="1">
        <v>1</v>
      </c>
      <c r="C2578" s="8"/>
    </row>
    <row r="2579" spans="2:13" x14ac:dyDescent="0.25">
      <c r="B2579" s="1">
        <v>1</v>
      </c>
      <c r="C2579" s="8"/>
    </row>
    <row r="2580" spans="2:13" x14ac:dyDescent="0.25">
      <c r="B2580" s="1">
        <v>1</v>
      </c>
      <c r="C2580" s="8"/>
    </row>
    <row r="2581" spans="2:13" x14ac:dyDescent="0.25">
      <c r="B2581" s="1">
        <v>1</v>
      </c>
      <c r="C2581" s="8"/>
    </row>
    <row r="2582" spans="2:13" x14ac:dyDescent="0.25">
      <c r="B2582" s="1">
        <v>1</v>
      </c>
      <c r="C2582" s="8"/>
    </row>
    <row r="2583" spans="2:13" x14ac:dyDescent="0.25">
      <c r="B2583" s="1">
        <v>1</v>
      </c>
      <c r="C2583" s="8"/>
    </row>
    <row r="2584" spans="2:13" x14ac:dyDescent="0.25">
      <c r="B2584" s="1">
        <v>1</v>
      </c>
      <c r="C2584" s="8"/>
    </row>
    <row r="2585" spans="2:13" x14ac:dyDescent="0.25">
      <c r="B2585" s="1">
        <v>1</v>
      </c>
      <c r="C2585" s="8"/>
    </row>
    <row r="2586" spans="2:13" x14ac:dyDescent="0.25">
      <c r="B2586" s="1">
        <v>1</v>
      </c>
      <c r="C2586" s="8"/>
    </row>
    <row r="2587" spans="2:13" x14ac:dyDescent="0.25">
      <c r="B2587" s="1">
        <v>1</v>
      </c>
      <c r="C2587" s="8"/>
    </row>
    <row r="2588" spans="2:13" x14ac:dyDescent="0.25">
      <c r="B2588" s="1">
        <v>1</v>
      </c>
      <c r="C2588" s="8"/>
    </row>
    <row r="2589" spans="2:13" x14ac:dyDescent="0.25">
      <c r="B2589" s="1">
        <v>1</v>
      </c>
      <c r="C2589" s="8"/>
      <c r="M2589" s="43"/>
    </row>
    <row r="2590" spans="2:13" x14ac:dyDescent="0.25">
      <c r="B2590" s="1">
        <v>1</v>
      </c>
      <c r="C2590" s="8"/>
    </row>
    <row r="2591" spans="2:13" x14ac:dyDescent="0.25">
      <c r="B2591" s="1">
        <v>1</v>
      </c>
      <c r="C2591" s="8"/>
    </row>
    <row r="2592" spans="2:13" x14ac:dyDescent="0.25">
      <c r="B2592" s="1">
        <v>1</v>
      </c>
      <c r="C2592" s="8"/>
    </row>
    <row r="2593" spans="2:3" x14ac:dyDescent="0.25">
      <c r="B2593" s="1">
        <v>1</v>
      </c>
      <c r="C2593" s="8"/>
    </row>
    <row r="2594" spans="2:3" x14ac:dyDescent="0.25">
      <c r="B2594" s="1">
        <v>1</v>
      </c>
      <c r="C2594" s="8"/>
    </row>
    <row r="2595" spans="2:3" x14ac:dyDescent="0.25">
      <c r="B2595" s="1">
        <v>1</v>
      </c>
      <c r="C2595" s="8"/>
    </row>
    <row r="2596" spans="2:3" x14ac:dyDescent="0.25">
      <c r="B2596" s="1">
        <v>1</v>
      </c>
      <c r="C2596" s="8"/>
    </row>
    <row r="2597" spans="2:3" x14ac:dyDescent="0.25">
      <c r="B2597" s="1">
        <v>1</v>
      </c>
      <c r="C2597" s="8"/>
    </row>
    <row r="2598" spans="2:3" x14ac:dyDescent="0.25">
      <c r="B2598" s="1">
        <v>1</v>
      </c>
      <c r="C2598" s="8"/>
    </row>
    <row r="2599" spans="2:3" x14ac:dyDescent="0.25">
      <c r="B2599" s="1">
        <v>1</v>
      </c>
      <c r="C2599" s="8"/>
    </row>
    <row r="2600" spans="2:3" x14ac:dyDescent="0.25">
      <c r="B2600" s="1">
        <v>1</v>
      </c>
      <c r="C2600" s="8"/>
    </row>
    <row r="2601" spans="2:3" x14ac:dyDescent="0.25">
      <c r="B2601" s="1">
        <v>1</v>
      </c>
      <c r="C2601" s="8"/>
    </row>
    <row r="2602" spans="2:3" x14ac:dyDescent="0.25">
      <c r="B2602" s="1">
        <v>1</v>
      </c>
      <c r="C2602" s="8"/>
    </row>
    <row r="2603" spans="2:3" x14ac:dyDescent="0.25">
      <c r="B2603" s="1">
        <v>1</v>
      </c>
      <c r="C2603" s="8"/>
    </row>
    <row r="2604" spans="2:3" x14ac:dyDescent="0.25">
      <c r="B2604" s="1">
        <v>1</v>
      </c>
      <c r="C2604" s="8"/>
    </row>
    <row r="2605" spans="2:3" x14ac:dyDescent="0.25">
      <c r="B2605" s="1">
        <v>1</v>
      </c>
      <c r="C2605" s="8"/>
    </row>
    <row r="2606" spans="2:3" x14ac:dyDescent="0.25">
      <c r="B2606" s="1">
        <v>1</v>
      </c>
      <c r="C2606" s="8"/>
    </row>
    <row r="2607" spans="2:3" x14ac:dyDescent="0.25">
      <c r="B2607" s="1">
        <v>1</v>
      </c>
      <c r="C2607" s="8"/>
    </row>
    <row r="2608" spans="2:3" x14ac:dyDescent="0.25">
      <c r="B2608" s="1">
        <v>1</v>
      </c>
      <c r="C2608" s="8"/>
    </row>
    <row r="2609" spans="2:3" x14ac:dyDescent="0.25">
      <c r="B2609" s="1">
        <v>1</v>
      </c>
      <c r="C2609" s="8"/>
    </row>
    <row r="2610" spans="2:3" x14ac:dyDescent="0.25">
      <c r="B2610" s="1">
        <v>1</v>
      </c>
      <c r="C2610" s="8"/>
    </row>
    <row r="2611" spans="2:3" x14ac:dyDescent="0.25">
      <c r="B2611" s="1">
        <v>1</v>
      </c>
      <c r="C2611" s="8"/>
    </row>
    <row r="2612" spans="2:3" x14ac:dyDescent="0.25">
      <c r="B2612" s="1">
        <v>1</v>
      </c>
      <c r="C2612" s="8"/>
    </row>
    <row r="2613" spans="2:3" x14ac:dyDescent="0.25">
      <c r="B2613" s="1">
        <v>1</v>
      </c>
      <c r="C2613" s="8"/>
    </row>
    <row r="2614" spans="2:3" x14ac:dyDescent="0.25">
      <c r="B2614" s="1">
        <v>1</v>
      </c>
      <c r="C2614" s="8"/>
    </row>
    <row r="2615" spans="2:3" x14ac:dyDescent="0.25">
      <c r="B2615" s="1">
        <v>1</v>
      </c>
      <c r="C2615" s="8"/>
    </row>
    <row r="2616" spans="2:3" x14ac:dyDescent="0.25">
      <c r="B2616" s="1">
        <v>1</v>
      </c>
      <c r="C2616" s="8"/>
    </row>
    <row r="2617" spans="2:3" x14ac:dyDescent="0.25">
      <c r="B2617" s="1">
        <v>1</v>
      </c>
      <c r="C2617" s="8"/>
    </row>
    <row r="2618" spans="2:3" x14ac:dyDescent="0.25">
      <c r="B2618" s="1">
        <v>1</v>
      </c>
      <c r="C2618" s="8"/>
    </row>
    <row r="2619" spans="2:3" x14ac:dyDescent="0.25">
      <c r="B2619" s="1">
        <v>1</v>
      </c>
      <c r="C2619" s="8"/>
    </row>
    <row r="2620" spans="2:3" x14ac:dyDescent="0.25">
      <c r="B2620" s="1">
        <v>1</v>
      </c>
      <c r="C2620" s="8"/>
    </row>
    <row r="2621" spans="2:3" x14ac:dyDescent="0.25">
      <c r="B2621" s="1">
        <v>1</v>
      </c>
      <c r="C2621" s="8"/>
    </row>
    <row r="2622" spans="2:3" x14ac:dyDescent="0.25">
      <c r="B2622" s="1">
        <v>1</v>
      </c>
      <c r="C2622" s="8"/>
    </row>
    <row r="2623" spans="2:3" x14ac:dyDescent="0.25">
      <c r="B2623" s="1">
        <v>1</v>
      </c>
      <c r="C2623" s="8"/>
    </row>
    <row r="2624" spans="2:3" x14ac:dyDescent="0.25">
      <c r="B2624" s="1">
        <v>1</v>
      </c>
      <c r="C2624" s="8"/>
    </row>
    <row r="2625" spans="2:3" x14ac:dyDescent="0.25">
      <c r="B2625" s="1">
        <v>1</v>
      </c>
      <c r="C2625" s="8"/>
    </row>
    <row r="2626" spans="2:3" x14ac:dyDescent="0.25">
      <c r="B2626" s="1">
        <v>1</v>
      </c>
      <c r="C2626" s="8"/>
    </row>
    <row r="2627" spans="2:3" x14ac:dyDescent="0.25">
      <c r="B2627" s="1">
        <v>1</v>
      </c>
      <c r="C2627" s="8"/>
    </row>
    <row r="2628" spans="2:3" x14ac:dyDescent="0.25">
      <c r="B2628" s="1">
        <v>1</v>
      </c>
      <c r="C2628" s="8"/>
    </row>
    <row r="2629" spans="2:3" x14ac:dyDescent="0.25">
      <c r="B2629" s="1">
        <v>1</v>
      </c>
      <c r="C2629" s="8"/>
    </row>
    <row r="2630" spans="2:3" x14ac:dyDescent="0.25">
      <c r="B2630" s="1">
        <v>1</v>
      </c>
      <c r="C2630" s="8"/>
    </row>
    <row r="2631" spans="2:3" x14ac:dyDescent="0.25">
      <c r="B2631" s="1">
        <v>1</v>
      </c>
      <c r="C2631" s="8"/>
    </row>
    <row r="2632" spans="2:3" x14ac:dyDescent="0.25">
      <c r="B2632" s="1">
        <v>1</v>
      </c>
      <c r="C2632" s="8"/>
    </row>
    <row r="2633" spans="2:3" x14ac:dyDescent="0.25">
      <c r="B2633" s="1">
        <v>1</v>
      </c>
      <c r="C2633" s="8"/>
    </row>
    <row r="2634" spans="2:3" x14ac:dyDescent="0.25">
      <c r="B2634" s="1">
        <v>1</v>
      </c>
      <c r="C2634" s="8"/>
    </row>
    <row r="2635" spans="2:3" x14ac:dyDescent="0.25">
      <c r="B2635" s="1">
        <v>1</v>
      </c>
      <c r="C2635" s="8"/>
    </row>
    <row r="2636" spans="2:3" x14ac:dyDescent="0.25">
      <c r="B2636" s="1">
        <v>1</v>
      </c>
      <c r="C2636" s="8"/>
    </row>
    <row r="2637" spans="2:3" x14ac:dyDescent="0.25">
      <c r="B2637" s="1">
        <v>1</v>
      </c>
      <c r="C2637" s="8"/>
    </row>
    <row r="2638" spans="2:3" x14ac:dyDescent="0.25">
      <c r="B2638" s="1">
        <v>1</v>
      </c>
      <c r="C2638" s="8"/>
    </row>
    <row r="2639" spans="2:3" x14ac:dyDescent="0.25">
      <c r="B2639" s="1">
        <v>1</v>
      </c>
      <c r="C2639" s="8"/>
    </row>
    <row r="2640" spans="2:3" x14ac:dyDescent="0.25">
      <c r="B2640" s="1">
        <v>1</v>
      </c>
      <c r="C2640" s="8"/>
    </row>
    <row r="2641" spans="2:3" x14ac:dyDescent="0.25">
      <c r="B2641" s="1">
        <v>1</v>
      </c>
      <c r="C2641" s="8"/>
    </row>
    <row r="2642" spans="2:3" x14ac:dyDescent="0.25">
      <c r="B2642" s="1">
        <v>1</v>
      </c>
      <c r="C2642" s="8"/>
    </row>
    <row r="2643" spans="2:3" x14ac:dyDescent="0.25">
      <c r="B2643" s="1">
        <v>1</v>
      </c>
      <c r="C2643" s="8"/>
    </row>
    <row r="2644" spans="2:3" x14ac:dyDescent="0.25">
      <c r="B2644" s="1">
        <v>1</v>
      </c>
      <c r="C2644" s="8"/>
    </row>
    <row r="2645" spans="2:3" x14ac:dyDescent="0.25">
      <c r="B2645" s="1">
        <v>1</v>
      </c>
      <c r="C2645" s="8"/>
    </row>
    <row r="2646" spans="2:3" x14ac:dyDescent="0.25">
      <c r="B2646" s="1">
        <v>1</v>
      </c>
      <c r="C2646" s="8"/>
    </row>
    <row r="2647" spans="2:3" x14ac:dyDescent="0.25">
      <c r="B2647" s="1">
        <v>1</v>
      </c>
      <c r="C2647" s="8"/>
    </row>
    <row r="2648" spans="2:3" x14ac:dyDescent="0.25">
      <c r="B2648" s="1">
        <v>1</v>
      </c>
      <c r="C2648" s="8"/>
    </row>
    <row r="2649" spans="2:3" x14ac:dyDescent="0.25">
      <c r="B2649" s="1">
        <v>1</v>
      </c>
      <c r="C2649" s="8"/>
    </row>
    <row r="2650" spans="2:3" x14ac:dyDescent="0.25">
      <c r="B2650" s="1">
        <v>1</v>
      </c>
      <c r="C2650" s="8"/>
    </row>
    <row r="2651" spans="2:3" x14ac:dyDescent="0.25">
      <c r="B2651" s="1">
        <v>1</v>
      </c>
      <c r="C2651" s="8"/>
    </row>
    <row r="2652" spans="2:3" x14ac:dyDescent="0.25">
      <c r="B2652" s="1">
        <v>1</v>
      </c>
      <c r="C2652" s="8"/>
    </row>
    <row r="2653" spans="2:3" x14ac:dyDescent="0.25">
      <c r="B2653" s="1">
        <v>1</v>
      </c>
      <c r="C2653" s="8"/>
    </row>
    <row r="2654" spans="2:3" x14ac:dyDescent="0.25">
      <c r="B2654" s="1">
        <v>1</v>
      </c>
      <c r="C2654" s="8"/>
    </row>
    <row r="2655" spans="2:3" x14ac:dyDescent="0.25">
      <c r="B2655" s="1">
        <v>1</v>
      </c>
      <c r="C2655" s="8"/>
    </row>
    <row r="2656" spans="2:3" x14ac:dyDescent="0.25">
      <c r="B2656" s="1">
        <v>1</v>
      </c>
      <c r="C2656" s="8"/>
    </row>
    <row r="2657" spans="2:5" x14ac:dyDescent="0.25">
      <c r="B2657" s="1">
        <v>1</v>
      </c>
      <c r="C2657" s="8"/>
    </row>
    <row r="2658" spans="2:5" x14ac:dyDescent="0.25">
      <c r="B2658" s="1">
        <v>1</v>
      </c>
      <c r="C2658" s="8"/>
    </row>
    <row r="2659" spans="2:5" x14ac:dyDescent="0.25">
      <c r="B2659" s="1">
        <v>1</v>
      </c>
      <c r="C2659" s="8"/>
    </row>
    <row r="2660" spans="2:5" x14ac:dyDescent="0.25">
      <c r="B2660" s="1">
        <v>1</v>
      </c>
      <c r="C2660" s="8"/>
    </row>
    <row r="2661" spans="2:5" x14ac:dyDescent="0.25">
      <c r="B2661" s="1">
        <v>1</v>
      </c>
      <c r="C2661" s="8"/>
    </row>
    <row r="2662" spans="2:5" x14ac:dyDescent="0.25">
      <c r="B2662" s="1">
        <v>1</v>
      </c>
      <c r="C2662" s="8"/>
    </row>
    <row r="2663" spans="2:5" x14ac:dyDescent="0.25">
      <c r="B2663" s="1">
        <v>1</v>
      </c>
      <c r="C2663" s="8"/>
    </row>
    <row r="2664" spans="2:5" x14ac:dyDescent="0.25">
      <c r="B2664" s="1">
        <v>1</v>
      </c>
      <c r="C2664" s="8"/>
    </row>
    <row r="2665" spans="2:5" x14ac:dyDescent="0.25">
      <c r="B2665" s="1">
        <v>1</v>
      </c>
      <c r="C2665" s="8"/>
    </row>
    <row r="2666" spans="2:5" x14ac:dyDescent="0.25">
      <c r="B2666" s="1">
        <v>1</v>
      </c>
      <c r="C2666" s="8"/>
    </row>
    <row r="2667" spans="2:5" x14ac:dyDescent="0.25">
      <c r="B2667" s="1">
        <v>1</v>
      </c>
      <c r="C2667" s="8"/>
    </row>
    <row r="2668" spans="2:5" x14ac:dyDescent="0.25">
      <c r="B2668" s="1">
        <v>1</v>
      </c>
      <c r="C2668" s="8"/>
    </row>
    <row r="2669" spans="2:5" x14ac:dyDescent="0.25">
      <c r="B2669" s="1">
        <v>1</v>
      </c>
      <c r="C2669" s="8"/>
    </row>
    <row r="2670" spans="2:5" x14ac:dyDescent="0.25">
      <c r="B2670" s="1">
        <v>1</v>
      </c>
      <c r="C2670" s="8"/>
    </row>
    <row r="2671" spans="2:5" x14ac:dyDescent="0.25">
      <c r="B2671" s="1">
        <v>1</v>
      </c>
      <c r="C2671" s="8"/>
    </row>
    <row r="2672" spans="2:5" x14ac:dyDescent="0.25">
      <c r="B2672" s="1">
        <v>1</v>
      </c>
      <c r="C2672" s="8"/>
      <c r="E2672" s="8"/>
    </row>
    <row r="2673" spans="2:3" x14ac:dyDescent="0.25">
      <c r="B2673" s="1">
        <v>1</v>
      </c>
      <c r="C2673" s="8"/>
    </row>
    <row r="2674" spans="2:3" x14ac:dyDescent="0.25">
      <c r="B2674" s="1">
        <v>1</v>
      </c>
      <c r="C2674" s="8"/>
    </row>
    <row r="2675" spans="2:3" x14ac:dyDescent="0.25">
      <c r="B2675" s="1">
        <v>1</v>
      </c>
      <c r="C2675" s="8"/>
    </row>
    <row r="2676" spans="2:3" x14ac:dyDescent="0.25">
      <c r="B2676" s="1">
        <v>1</v>
      </c>
      <c r="C2676" s="8"/>
    </row>
    <row r="2677" spans="2:3" x14ac:dyDescent="0.25">
      <c r="B2677" s="1">
        <v>1</v>
      </c>
      <c r="C2677" s="8"/>
    </row>
    <row r="2678" spans="2:3" x14ac:dyDescent="0.25">
      <c r="B2678" s="1">
        <v>1</v>
      </c>
      <c r="C2678" s="8"/>
    </row>
    <row r="2679" spans="2:3" x14ac:dyDescent="0.25">
      <c r="B2679" s="1">
        <v>1</v>
      </c>
      <c r="C2679" s="8"/>
    </row>
    <row r="2680" spans="2:3" x14ac:dyDescent="0.25">
      <c r="B2680" s="1">
        <v>1</v>
      </c>
      <c r="C2680" s="8"/>
    </row>
    <row r="2681" spans="2:3" x14ac:dyDescent="0.25">
      <c r="B2681" s="1">
        <v>1</v>
      </c>
      <c r="C2681" s="8"/>
    </row>
    <row r="2682" spans="2:3" x14ac:dyDescent="0.25">
      <c r="B2682" s="1">
        <v>1</v>
      </c>
      <c r="C2682" s="8"/>
    </row>
    <row r="2683" spans="2:3" x14ac:dyDescent="0.25">
      <c r="B2683" s="1">
        <v>1</v>
      </c>
      <c r="C2683" s="8"/>
    </row>
    <row r="2684" spans="2:3" x14ac:dyDescent="0.25">
      <c r="B2684" s="1">
        <v>1</v>
      </c>
      <c r="C2684" s="8"/>
    </row>
    <row r="2685" spans="2:3" x14ac:dyDescent="0.25">
      <c r="B2685" s="1">
        <v>1</v>
      </c>
      <c r="C2685" s="8"/>
    </row>
    <row r="2686" spans="2:3" x14ac:dyDescent="0.25">
      <c r="B2686" s="1">
        <v>1</v>
      </c>
      <c r="C2686" s="8"/>
    </row>
    <row r="2687" spans="2:3" x14ac:dyDescent="0.25">
      <c r="B2687" s="1">
        <v>1</v>
      </c>
      <c r="C2687" s="8"/>
    </row>
    <row r="2688" spans="2:3" x14ac:dyDescent="0.25">
      <c r="B2688" s="1">
        <v>1</v>
      </c>
      <c r="C2688" s="8"/>
    </row>
    <row r="2689" spans="2:10" x14ac:dyDescent="0.25">
      <c r="B2689" s="1">
        <v>1</v>
      </c>
      <c r="C2689" s="8"/>
    </row>
    <row r="2690" spans="2:10" x14ac:dyDescent="0.25">
      <c r="B2690" s="1">
        <v>1</v>
      </c>
      <c r="C2690" s="8"/>
    </row>
    <row r="2691" spans="2:10" x14ac:dyDescent="0.25">
      <c r="B2691" s="1">
        <v>1</v>
      </c>
      <c r="C2691" s="8"/>
    </row>
    <row r="2692" spans="2:10" x14ac:dyDescent="0.25">
      <c r="B2692" s="1">
        <v>1</v>
      </c>
      <c r="C2692" s="8"/>
    </row>
    <row r="2693" spans="2:10" x14ac:dyDescent="0.25">
      <c r="B2693" s="1">
        <v>1</v>
      </c>
      <c r="C2693" s="8"/>
    </row>
    <row r="2694" spans="2:10" x14ac:dyDescent="0.25">
      <c r="B2694" s="1">
        <v>1</v>
      </c>
      <c r="C2694" s="8"/>
    </row>
    <row r="2695" spans="2:10" x14ac:dyDescent="0.25">
      <c r="B2695" s="1">
        <v>1</v>
      </c>
      <c r="C2695" s="8"/>
    </row>
    <row r="2696" spans="2:10" x14ac:dyDescent="0.25">
      <c r="B2696" s="1">
        <v>1</v>
      </c>
      <c r="C2696" s="8"/>
    </row>
    <row r="2697" spans="2:10" x14ac:dyDescent="0.25">
      <c r="B2697" s="1">
        <v>1</v>
      </c>
      <c r="C2697" s="8"/>
    </row>
    <row r="2698" spans="2:10" x14ac:dyDescent="0.25">
      <c r="B2698" s="1">
        <v>1</v>
      </c>
      <c r="C2698" s="8"/>
    </row>
    <row r="2699" spans="2:10" x14ac:dyDescent="0.25">
      <c r="B2699" s="1">
        <v>1</v>
      </c>
      <c r="C2699" s="8"/>
    </row>
    <row r="2700" spans="2:10" x14ac:dyDescent="0.25">
      <c r="B2700" s="1">
        <v>1</v>
      </c>
      <c r="C2700" s="8"/>
    </row>
    <row r="2701" spans="2:10" x14ac:dyDescent="0.25">
      <c r="B2701" s="1">
        <v>1</v>
      </c>
      <c r="C2701" s="8"/>
    </row>
    <row r="2702" spans="2:10" x14ac:dyDescent="0.25">
      <c r="B2702" s="1">
        <v>1</v>
      </c>
      <c r="C2702" s="8"/>
    </row>
    <row r="2703" spans="2:10" x14ac:dyDescent="0.25">
      <c r="B2703" s="1">
        <v>1</v>
      </c>
      <c r="C2703" s="8"/>
    </row>
    <row r="2704" spans="2:10" x14ac:dyDescent="0.25">
      <c r="B2704" s="1">
        <v>1</v>
      </c>
      <c r="C2704" s="8"/>
      <c r="J2704" s="15"/>
    </row>
    <row r="2705" spans="2:10" x14ac:dyDescent="0.25">
      <c r="B2705" s="1">
        <v>1</v>
      </c>
      <c r="C2705" s="8"/>
    </row>
    <row r="2706" spans="2:10" x14ac:dyDescent="0.25">
      <c r="B2706" s="1">
        <v>1</v>
      </c>
      <c r="C2706" s="8"/>
    </row>
    <row r="2707" spans="2:10" x14ac:dyDescent="0.25">
      <c r="B2707" s="1">
        <v>1</v>
      </c>
      <c r="C2707" s="8"/>
    </row>
    <row r="2708" spans="2:10" x14ac:dyDescent="0.25">
      <c r="B2708" s="1">
        <v>1</v>
      </c>
      <c r="C2708" s="8"/>
    </row>
    <row r="2709" spans="2:10" x14ac:dyDescent="0.25">
      <c r="B2709" s="1">
        <v>1</v>
      </c>
      <c r="C2709" s="8"/>
    </row>
    <row r="2710" spans="2:10" x14ac:dyDescent="0.25">
      <c r="B2710" s="1">
        <v>1</v>
      </c>
      <c r="C2710" s="8"/>
    </row>
    <row r="2711" spans="2:10" x14ac:dyDescent="0.25">
      <c r="B2711" s="1">
        <v>1</v>
      </c>
      <c r="C2711" s="8"/>
      <c r="J2711" s="15"/>
    </row>
    <row r="2712" spans="2:10" x14ac:dyDescent="0.25">
      <c r="B2712" s="1">
        <v>1</v>
      </c>
      <c r="C2712" s="8"/>
    </row>
    <row r="2713" spans="2:10" x14ac:dyDescent="0.25">
      <c r="B2713" s="1">
        <v>1</v>
      </c>
      <c r="C2713" s="8"/>
    </row>
    <row r="2714" spans="2:10" x14ac:dyDescent="0.25">
      <c r="B2714" s="1">
        <v>1</v>
      </c>
      <c r="C2714" s="8"/>
    </row>
    <row r="2715" spans="2:10" x14ac:dyDescent="0.25">
      <c r="B2715" s="1">
        <v>1</v>
      </c>
      <c r="C2715" s="8"/>
    </row>
    <row r="2716" spans="2:10" x14ac:dyDescent="0.25">
      <c r="B2716" s="1">
        <v>1</v>
      </c>
      <c r="C2716" s="8"/>
    </row>
    <row r="2717" spans="2:10" x14ac:dyDescent="0.25">
      <c r="B2717" s="1">
        <v>1</v>
      </c>
      <c r="C2717" s="8"/>
    </row>
    <row r="2718" spans="2:10" x14ac:dyDescent="0.25">
      <c r="B2718" s="1">
        <v>1</v>
      </c>
      <c r="C2718" s="8"/>
    </row>
    <row r="2719" spans="2:10" x14ac:dyDescent="0.25">
      <c r="B2719" s="1">
        <v>1</v>
      </c>
      <c r="C2719" s="8"/>
    </row>
    <row r="2720" spans="2:10" x14ac:dyDescent="0.25">
      <c r="B2720" s="1">
        <v>1</v>
      </c>
      <c r="C2720" s="8"/>
    </row>
    <row r="2721" spans="2:3" x14ac:dyDescent="0.25">
      <c r="B2721" s="1">
        <v>1</v>
      </c>
      <c r="C2721" s="8"/>
    </row>
    <row r="2722" spans="2:3" x14ac:dyDescent="0.25">
      <c r="B2722" s="1">
        <v>1</v>
      </c>
      <c r="C2722" s="8"/>
    </row>
    <row r="2723" spans="2:3" x14ac:dyDescent="0.25">
      <c r="B2723" s="1">
        <v>1</v>
      </c>
      <c r="C2723" s="8"/>
    </row>
    <row r="2724" spans="2:3" x14ac:dyDescent="0.25">
      <c r="B2724" s="1">
        <v>1</v>
      </c>
      <c r="C2724" s="8"/>
    </row>
    <row r="2725" spans="2:3" x14ac:dyDescent="0.25">
      <c r="B2725" s="1">
        <v>1</v>
      </c>
      <c r="C2725" s="8"/>
    </row>
    <row r="2726" spans="2:3" x14ac:dyDescent="0.25">
      <c r="B2726" s="1">
        <v>1</v>
      </c>
      <c r="C2726" s="8"/>
    </row>
    <row r="2727" spans="2:3" x14ac:dyDescent="0.25">
      <c r="B2727" s="1">
        <v>1</v>
      </c>
      <c r="C2727" s="8"/>
    </row>
    <row r="2728" spans="2:3" x14ac:dyDescent="0.25">
      <c r="B2728" s="1">
        <v>1</v>
      </c>
      <c r="C2728" s="8"/>
    </row>
    <row r="2729" spans="2:3" x14ac:dyDescent="0.25">
      <c r="B2729" s="1">
        <v>1</v>
      </c>
      <c r="C2729" s="8"/>
    </row>
    <row r="2730" spans="2:3" x14ac:dyDescent="0.25">
      <c r="B2730" s="1">
        <v>1</v>
      </c>
      <c r="C2730" s="8"/>
    </row>
    <row r="2731" spans="2:3" x14ac:dyDescent="0.25">
      <c r="B2731" s="1">
        <v>1</v>
      </c>
      <c r="C2731" s="8"/>
    </row>
    <row r="2732" spans="2:3" x14ac:dyDescent="0.25">
      <c r="B2732" s="1">
        <v>1</v>
      </c>
      <c r="C2732" s="8"/>
    </row>
    <row r="2733" spans="2:3" x14ac:dyDescent="0.25">
      <c r="B2733" s="1">
        <v>1</v>
      </c>
      <c r="C2733" s="8"/>
    </row>
    <row r="2734" spans="2:3" x14ac:dyDescent="0.25">
      <c r="B2734" s="1">
        <v>1</v>
      </c>
      <c r="C2734" s="8"/>
    </row>
    <row r="2735" spans="2:3" x14ac:dyDescent="0.25">
      <c r="B2735" s="1">
        <v>1</v>
      </c>
      <c r="C2735" s="8"/>
    </row>
    <row r="2736" spans="2:3" x14ac:dyDescent="0.25">
      <c r="B2736" s="1">
        <v>1</v>
      </c>
      <c r="C2736" s="8"/>
    </row>
    <row r="2737" spans="2:3" x14ac:dyDescent="0.25">
      <c r="B2737" s="1">
        <v>1</v>
      </c>
      <c r="C2737" s="8"/>
    </row>
    <row r="2738" spans="2:3" x14ac:dyDescent="0.25">
      <c r="B2738" s="1">
        <v>1</v>
      </c>
      <c r="C2738" s="8"/>
    </row>
    <row r="2739" spans="2:3" x14ac:dyDescent="0.25">
      <c r="B2739" s="1">
        <v>1</v>
      </c>
      <c r="C2739" s="8"/>
    </row>
    <row r="2740" spans="2:3" x14ac:dyDescent="0.25">
      <c r="B2740" s="1">
        <v>1</v>
      </c>
      <c r="C2740" s="8"/>
    </row>
    <row r="2741" spans="2:3" x14ac:dyDescent="0.25">
      <c r="B2741" s="1">
        <v>1</v>
      </c>
      <c r="C2741" s="8"/>
    </row>
    <row r="2742" spans="2:3" x14ac:dyDescent="0.25">
      <c r="B2742" s="1">
        <v>1</v>
      </c>
      <c r="C2742" s="8"/>
    </row>
    <row r="2743" spans="2:3" x14ac:dyDescent="0.25">
      <c r="B2743" s="1">
        <v>1</v>
      </c>
      <c r="C2743" s="8"/>
    </row>
    <row r="2744" spans="2:3" x14ac:dyDescent="0.25">
      <c r="B2744" s="1">
        <v>1</v>
      </c>
      <c r="C2744" s="8"/>
    </row>
    <row r="2745" spans="2:3" x14ac:dyDescent="0.25">
      <c r="B2745" s="1">
        <v>1</v>
      </c>
      <c r="C2745" s="8"/>
    </row>
    <row r="2746" spans="2:3" x14ac:dyDescent="0.25">
      <c r="B2746" s="1">
        <v>1</v>
      </c>
      <c r="C2746" s="8"/>
    </row>
    <row r="2747" spans="2:3" x14ac:dyDescent="0.25">
      <c r="B2747" s="1">
        <v>1</v>
      </c>
      <c r="C2747" s="8"/>
    </row>
    <row r="2748" spans="2:3" x14ac:dyDescent="0.25">
      <c r="B2748" s="1">
        <v>1</v>
      </c>
      <c r="C2748" s="8"/>
    </row>
    <row r="2749" spans="2:3" x14ac:dyDescent="0.25">
      <c r="B2749" s="1">
        <v>1</v>
      </c>
      <c r="C2749" s="8"/>
    </row>
    <row r="2750" spans="2:3" x14ac:dyDescent="0.25">
      <c r="B2750" s="1">
        <v>1</v>
      </c>
      <c r="C2750" s="8"/>
    </row>
    <row r="2751" spans="2:3" x14ac:dyDescent="0.25">
      <c r="B2751" s="1">
        <v>1</v>
      </c>
      <c r="C2751" s="8"/>
    </row>
    <row r="2752" spans="2:3" x14ac:dyDescent="0.25">
      <c r="B2752" s="1">
        <v>1</v>
      </c>
      <c r="C2752" s="8"/>
    </row>
    <row r="2753" spans="2:4" x14ac:dyDescent="0.25">
      <c r="B2753" s="1">
        <v>1</v>
      </c>
      <c r="C2753" s="8"/>
    </row>
    <row r="2754" spans="2:4" x14ac:dyDescent="0.25">
      <c r="B2754" s="1">
        <v>1</v>
      </c>
      <c r="C2754" s="8"/>
    </row>
    <row r="2755" spans="2:4" x14ac:dyDescent="0.25">
      <c r="B2755" s="1">
        <v>1</v>
      </c>
      <c r="C2755" s="8"/>
    </row>
    <row r="2756" spans="2:4" x14ac:dyDescent="0.25">
      <c r="B2756" s="1">
        <v>1</v>
      </c>
      <c r="C2756" s="8"/>
    </row>
    <row r="2757" spans="2:4" x14ac:dyDescent="0.25">
      <c r="B2757" s="1">
        <v>1</v>
      </c>
      <c r="C2757" s="8"/>
    </row>
    <row r="2758" spans="2:4" x14ac:dyDescent="0.25">
      <c r="B2758" s="1">
        <v>1</v>
      </c>
      <c r="C2758" s="8"/>
    </row>
    <row r="2759" spans="2:4" x14ac:dyDescent="0.25">
      <c r="B2759" s="1">
        <v>1</v>
      </c>
      <c r="C2759" s="8"/>
    </row>
    <row r="2760" spans="2:4" x14ac:dyDescent="0.25">
      <c r="B2760" s="1">
        <v>1</v>
      </c>
      <c r="C2760" s="8"/>
      <c r="D2760" s="42"/>
    </row>
    <row r="2761" spans="2:4" x14ac:dyDescent="0.25">
      <c r="B2761" s="1">
        <v>1</v>
      </c>
      <c r="C2761" s="8"/>
    </row>
    <row r="2762" spans="2:4" x14ac:dyDescent="0.25">
      <c r="B2762" s="1">
        <v>1</v>
      </c>
      <c r="C2762" s="8"/>
    </row>
    <row r="2763" spans="2:4" x14ac:dyDescent="0.25">
      <c r="B2763" s="1">
        <v>1</v>
      </c>
      <c r="C2763" s="8"/>
    </row>
    <row r="2764" spans="2:4" x14ac:dyDescent="0.25">
      <c r="B2764" s="1">
        <v>1</v>
      </c>
      <c r="C2764" s="8"/>
    </row>
    <row r="2765" spans="2:4" x14ac:dyDescent="0.25">
      <c r="B2765" s="1">
        <v>1</v>
      </c>
      <c r="C2765" s="8"/>
    </row>
    <row r="2766" spans="2:4" x14ac:dyDescent="0.25">
      <c r="B2766" s="1">
        <v>1</v>
      </c>
      <c r="C2766" s="8"/>
    </row>
    <row r="2767" spans="2:4" x14ac:dyDescent="0.25">
      <c r="B2767" s="1">
        <v>1</v>
      </c>
      <c r="C2767" s="8"/>
    </row>
    <row r="2768" spans="2:4" x14ac:dyDescent="0.25">
      <c r="B2768" s="1">
        <v>1</v>
      </c>
      <c r="C2768" s="8"/>
    </row>
    <row r="2769" spans="2:3" x14ac:dyDescent="0.25">
      <c r="B2769" s="1">
        <v>1</v>
      </c>
      <c r="C2769" s="8"/>
    </row>
    <row r="2770" spans="2:3" x14ac:dyDescent="0.25">
      <c r="B2770" s="1">
        <v>1</v>
      </c>
      <c r="C2770" s="8"/>
    </row>
    <row r="2771" spans="2:3" x14ac:dyDescent="0.25">
      <c r="B2771" s="1">
        <v>1</v>
      </c>
      <c r="C2771" s="8"/>
    </row>
    <row r="2772" spans="2:3" x14ac:dyDescent="0.25">
      <c r="B2772" s="1">
        <v>1</v>
      </c>
      <c r="C2772" s="8"/>
    </row>
    <row r="2773" spans="2:3" x14ac:dyDescent="0.25">
      <c r="B2773" s="1">
        <v>1</v>
      </c>
      <c r="C2773" s="8"/>
    </row>
    <row r="2774" spans="2:3" x14ac:dyDescent="0.25">
      <c r="B2774" s="1">
        <v>1</v>
      </c>
      <c r="C2774" s="8"/>
    </row>
    <row r="2775" spans="2:3" x14ac:dyDescent="0.25">
      <c r="B2775" s="1">
        <v>1</v>
      </c>
      <c r="C2775" s="8"/>
    </row>
    <row r="2776" spans="2:3" x14ac:dyDescent="0.25">
      <c r="B2776" s="1">
        <v>1</v>
      </c>
      <c r="C2776" s="8"/>
    </row>
    <row r="2777" spans="2:3" x14ac:dyDescent="0.25">
      <c r="B2777" s="1">
        <v>1</v>
      </c>
      <c r="C2777" s="8"/>
    </row>
    <row r="2778" spans="2:3" x14ac:dyDescent="0.25">
      <c r="B2778" s="1">
        <v>1</v>
      </c>
      <c r="C2778" s="8"/>
    </row>
    <row r="2779" spans="2:3" x14ac:dyDescent="0.25">
      <c r="B2779" s="1">
        <v>1</v>
      </c>
      <c r="C2779" s="8"/>
    </row>
    <row r="2780" spans="2:3" x14ac:dyDescent="0.25">
      <c r="B2780" s="1">
        <v>1</v>
      </c>
      <c r="C2780" s="8"/>
    </row>
    <row r="2781" spans="2:3" x14ac:dyDescent="0.25">
      <c r="B2781" s="1">
        <v>1</v>
      </c>
      <c r="C2781" s="8"/>
    </row>
    <row r="2782" spans="2:3" x14ac:dyDescent="0.25">
      <c r="B2782" s="1">
        <v>1</v>
      </c>
      <c r="C2782" s="8"/>
    </row>
    <row r="2783" spans="2:3" x14ac:dyDescent="0.25">
      <c r="B2783" s="1">
        <v>1</v>
      </c>
      <c r="C2783" s="8"/>
    </row>
    <row r="2784" spans="2:3" x14ac:dyDescent="0.25">
      <c r="B2784" s="1">
        <v>1</v>
      </c>
      <c r="C2784" s="8"/>
    </row>
    <row r="2785" spans="2:3" x14ac:dyDescent="0.25">
      <c r="B2785" s="1">
        <v>1</v>
      </c>
      <c r="C2785" s="8"/>
    </row>
    <row r="2786" spans="2:3" x14ac:dyDescent="0.25">
      <c r="B2786" s="1">
        <v>1</v>
      </c>
      <c r="C2786" s="8"/>
    </row>
    <row r="2787" spans="2:3" x14ac:dyDescent="0.25">
      <c r="B2787" s="1">
        <v>1</v>
      </c>
      <c r="C2787" s="8"/>
    </row>
    <row r="2788" spans="2:3" x14ac:dyDescent="0.25">
      <c r="B2788" s="1">
        <v>1</v>
      </c>
      <c r="C2788" s="8"/>
    </row>
    <row r="2789" spans="2:3" x14ac:dyDescent="0.25">
      <c r="B2789" s="1">
        <v>1</v>
      </c>
      <c r="C2789" s="8"/>
    </row>
    <row r="2790" spans="2:3" x14ac:dyDescent="0.25">
      <c r="B2790" s="1">
        <v>1</v>
      </c>
      <c r="C2790" s="8"/>
    </row>
    <row r="2791" spans="2:3" x14ac:dyDescent="0.25">
      <c r="B2791" s="1">
        <v>1</v>
      </c>
      <c r="C2791" s="8"/>
    </row>
    <row r="2792" spans="2:3" x14ac:dyDescent="0.25">
      <c r="B2792" s="1">
        <v>1</v>
      </c>
      <c r="C2792" s="8"/>
    </row>
    <row r="2793" spans="2:3" x14ac:dyDescent="0.25">
      <c r="B2793" s="1">
        <v>1</v>
      </c>
      <c r="C2793" s="8"/>
    </row>
    <row r="2794" spans="2:3" x14ac:dyDescent="0.25">
      <c r="B2794" s="1">
        <v>1</v>
      </c>
      <c r="C2794" s="8"/>
    </row>
    <row r="2795" spans="2:3" x14ac:dyDescent="0.25">
      <c r="B2795" s="1">
        <v>1</v>
      </c>
      <c r="C2795" s="8"/>
    </row>
    <row r="2796" spans="2:3" x14ac:dyDescent="0.25">
      <c r="B2796" s="1">
        <v>1</v>
      </c>
      <c r="C2796" s="8"/>
    </row>
    <row r="2797" spans="2:3" x14ac:dyDescent="0.25">
      <c r="B2797" s="1">
        <v>1</v>
      </c>
      <c r="C2797" s="8"/>
    </row>
    <row r="2798" spans="2:3" x14ac:dyDescent="0.25">
      <c r="B2798" s="1">
        <v>1</v>
      </c>
      <c r="C2798" s="8"/>
    </row>
    <row r="2799" spans="2:3" x14ac:dyDescent="0.25">
      <c r="B2799" s="1">
        <v>1</v>
      </c>
      <c r="C2799" s="8"/>
    </row>
    <row r="2800" spans="2:3" x14ac:dyDescent="0.25">
      <c r="B2800" s="1">
        <v>1</v>
      </c>
      <c r="C2800" s="8"/>
    </row>
    <row r="2801" spans="2:3" x14ac:dyDescent="0.25">
      <c r="B2801" s="1">
        <v>1</v>
      </c>
      <c r="C2801" s="8"/>
    </row>
    <row r="2802" spans="2:3" x14ac:dyDescent="0.25">
      <c r="B2802" s="1">
        <v>1</v>
      </c>
      <c r="C2802" s="8"/>
    </row>
    <row r="2803" spans="2:3" x14ac:dyDescent="0.25">
      <c r="B2803" s="1">
        <v>1</v>
      </c>
      <c r="C2803" s="8"/>
    </row>
    <row r="2804" spans="2:3" x14ac:dyDescent="0.25">
      <c r="B2804" s="1">
        <v>1</v>
      </c>
      <c r="C2804" s="8"/>
    </row>
    <row r="2805" spans="2:3" x14ac:dyDescent="0.25">
      <c r="B2805" s="1">
        <v>1</v>
      </c>
      <c r="C2805" s="8"/>
    </row>
    <row r="2806" spans="2:3" x14ac:dyDescent="0.25">
      <c r="B2806" s="1">
        <v>1</v>
      </c>
      <c r="C2806" s="8"/>
    </row>
    <row r="2807" spans="2:3" x14ac:dyDescent="0.25">
      <c r="B2807" s="1">
        <v>1</v>
      </c>
      <c r="C2807" s="8"/>
    </row>
    <row r="2808" spans="2:3" x14ac:dyDescent="0.25">
      <c r="B2808" s="1">
        <v>1</v>
      </c>
      <c r="C2808" s="8"/>
    </row>
    <row r="2809" spans="2:3" x14ac:dyDescent="0.25">
      <c r="B2809" s="1">
        <v>1</v>
      </c>
      <c r="C2809" s="8"/>
    </row>
    <row r="2810" spans="2:3" x14ac:dyDescent="0.25">
      <c r="B2810" s="1">
        <v>1</v>
      </c>
      <c r="C2810" s="8"/>
    </row>
    <row r="2811" spans="2:3" x14ac:dyDescent="0.25">
      <c r="B2811" s="1">
        <v>1</v>
      </c>
      <c r="C2811" s="8"/>
    </row>
    <row r="2812" spans="2:3" x14ac:dyDescent="0.25">
      <c r="B2812" s="1">
        <v>1</v>
      </c>
      <c r="C2812" s="8"/>
    </row>
    <row r="2813" spans="2:3" x14ac:dyDescent="0.25">
      <c r="B2813" s="1">
        <v>1</v>
      </c>
      <c r="C2813" s="8"/>
    </row>
    <row r="2814" spans="2:3" x14ac:dyDescent="0.25">
      <c r="B2814" s="1">
        <v>1</v>
      </c>
      <c r="C2814" s="8"/>
    </row>
    <row r="2815" spans="2:3" x14ac:dyDescent="0.25">
      <c r="B2815" s="1">
        <v>1</v>
      </c>
      <c r="C2815" s="8"/>
    </row>
    <row r="2816" spans="2:3" x14ac:dyDescent="0.25">
      <c r="B2816" s="1">
        <v>1</v>
      </c>
      <c r="C2816" s="8"/>
    </row>
    <row r="2817" spans="2:14" x14ac:dyDescent="0.25">
      <c r="B2817" s="1">
        <v>1</v>
      </c>
      <c r="C2817" s="8"/>
    </row>
    <row r="2818" spans="2:14" x14ac:dyDescent="0.25">
      <c r="B2818" s="1">
        <v>1</v>
      </c>
      <c r="C2818" s="8"/>
    </row>
    <row r="2819" spans="2:14" x14ac:dyDescent="0.25">
      <c r="B2819" s="1">
        <v>1</v>
      </c>
      <c r="C2819" s="8"/>
    </row>
    <row r="2820" spans="2:14" x14ac:dyDescent="0.25">
      <c r="B2820" s="1">
        <v>1</v>
      </c>
      <c r="C2820" s="8"/>
    </row>
    <row r="2821" spans="2:14" x14ac:dyDescent="0.25">
      <c r="B2821" s="1">
        <v>1</v>
      </c>
      <c r="C2821" s="8"/>
    </row>
    <row r="2822" spans="2:14" x14ac:dyDescent="0.25">
      <c r="B2822" s="1">
        <v>1</v>
      </c>
      <c r="C2822" s="8"/>
    </row>
    <row r="2823" spans="2:14" x14ac:dyDescent="0.25">
      <c r="B2823" s="1">
        <v>1</v>
      </c>
      <c r="C2823" s="8"/>
    </row>
    <row r="2824" spans="2:14" x14ac:dyDescent="0.25">
      <c r="B2824" s="1">
        <v>1</v>
      </c>
      <c r="C2824" s="8"/>
    </row>
    <row r="2825" spans="2:14" x14ac:dyDescent="0.25">
      <c r="B2825" s="1">
        <v>1</v>
      </c>
      <c r="C2825" s="8"/>
    </row>
    <row r="2826" spans="2:14" x14ac:dyDescent="0.25">
      <c r="B2826" s="1">
        <v>1</v>
      </c>
      <c r="C2826" s="8"/>
    </row>
    <row r="2827" spans="2:14" x14ac:dyDescent="0.25">
      <c r="B2827" s="1">
        <v>1</v>
      </c>
      <c r="C2827" s="8"/>
    </row>
    <row r="2828" spans="2:14" x14ac:dyDescent="0.25">
      <c r="B2828" s="1">
        <v>1</v>
      </c>
      <c r="C2828" s="8"/>
    </row>
    <row r="2829" spans="2:14" x14ac:dyDescent="0.25">
      <c r="B2829" s="1">
        <v>1</v>
      </c>
      <c r="C2829" s="8"/>
    </row>
    <row r="2830" spans="2:14" x14ac:dyDescent="0.25">
      <c r="B2830" s="1">
        <v>1</v>
      </c>
      <c r="C2830" s="8"/>
    </row>
    <row r="2831" spans="2:14" x14ac:dyDescent="0.25">
      <c r="B2831" s="1">
        <v>1</v>
      </c>
      <c r="C2831" s="8"/>
      <c r="N2831" s="8"/>
    </row>
    <row r="2832" spans="2:14" x14ac:dyDescent="0.25">
      <c r="B2832" s="1">
        <v>1</v>
      </c>
      <c r="C2832" s="8"/>
    </row>
    <row r="2833" spans="2:3" x14ac:dyDescent="0.25">
      <c r="B2833" s="1">
        <v>1</v>
      </c>
      <c r="C2833" s="8"/>
    </row>
    <row r="2834" spans="2:3" x14ac:dyDescent="0.25">
      <c r="B2834" s="1">
        <v>1</v>
      </c>
      <c r="C2834" s="8"/>
    </row>
    <row r="2835" spans="2:3" x14ac:dyDescent="0.25">
      <c r="B2835" s="1">
        <v>1</v>
      </c>
      <c r="C2835" s="8"/>
    </row>
    <row r="2836" spans="2:3" x14ac:dyDescent="0.25">
      <c r="B2836" s="1">
        <v>1</v>
      </c>
      <c r="C2836" s="8"/>
    </row>
    <row r="2837" spans="2:3" x14ac:dyDescent="0.25">
      <c r="B2837" s="1">
        <v>1</v>
      </c>
      <c r="C2837" s="8"/>
    </row>
    <row r="2838" spans="2:3" x14ac:dyDescent="0.25">
      <c r="B2838" s="1">
        <v>1</v>
      </c>
      <c r="C2838" s="8"/>
    </row>
    <row r="2839" spans="2:3" x14ac:dyDescent="0.25">
      <c r="B2839" s="1">
        <v>1</v>
      </c>
      <c r="C2839" s="8"/>
    </row>
    <row r="2840" spans="2:3" x14ac:dyDescent="0.25">
      <c r="B2840" s="1">
        <v>1</v>
      </c>
      <c r="C2840" s="8"/>
    </row>
    <row r="2841" spans="2:3" x14ac:dyDescent="0.25">
      <c r="B2841" s="1">
        <v>1</v>
      </c>
      <c r="C2841" s="8"/>
    </row>
    <row r="2842" spans="2:3" x14ac:dyDescent="0.25">
      <c r="B2842" s="1">
        <v>1</v>
      </c>
      <c r="C2842" s="8"/>
    </row>
    <row r="2843" spans="2:3" x14ac:dyDescent="0.25">
      <c r="B2843" s="1">
        <v>1</v>
      </c>
      <c r="C2843" s="8"/>
    </row>
    <row r="2844" spans="2:3" x14ac:dyDescent="0.25">
      <c r="B2844" s="1">
        <v>1</v>
      </c>
      <c r="C2844" s="8"/>
    </row>
    <row r="2845" spans="2:3" x14ac:dyDescent="0.25">
      <c r="B2845" s="1">
        <v>1</v>
      </c>
      <c r="C2845" s="8"/>
    </row>
    <row r="2846" spans="2:3" x14ac:dyDescent="0.25">
      <c r="B2846" s="1">
        <v>1</v>
      </c>
      <c r="C2846" s="8"/>
    </row>
    <row r="2847" spans="2:3" x14ac:dyDescent="0.25">
      <c r="B2847" s="1">
        <v>1</v>
      </c>
      <c r="C2847" s="8"/>
    </row>
    <row r="2848" spans="2:3" x14ac:dyDescent="0.25">
      <c r="B2848" s="1">
        <v>1</v>
      </c>
      <c r="C2848" s="8"/>
    </row>
    <row r="2849" spans="2:3" x14ac:dyDescent="0.25">
      <c r="B2849" s="1">
        <v>1</v>
      </c>
      <c r="C2849" s="8"/>
    </row>
    <row r="2850" spans="2:3" x14ac:dyDescent="0.25">
      <c r="B2850" s="1">
        <v>1</v>
      </c>
      <c r="C2850" s="8"/>
    </row>
    <row r="2851" spans="2:3" x14ac:dyDescent="0.25">
      <c r="B2851" s="1">
        <v>1</v>
      </c>
      <c r="C2851" s="8"/>
    </row>
    <row r="2852" spans="2:3" x14ac:dyDescent="0.25">
      <c r="B2852" s="1">
        <v>1</v>
      </c>
      <c r="C2852" s="8"/>
    </row>
    <row r="2853" spans="2:3" x14ac:dyDescent="0.25">
      <c r="B2853" s="1">
        <v>1</v>
      </c>
      <c r="C2853" s="8"/>
    </row>
    <row r="2854" spans="2:3" x14ac:dyDescent="0.25">
      <c r="B2854" s="1">
        <v>1</v>
      </c>
      <c r="C2854" s="8"/>
    </row>
    <row r="2855" spans="2:3" x14ac:dyDescent="0.25">
      <c r="B2855" s="1">
        <v>1</v>
      </c>
      <c r="C2855" s="8"/>
    </row>
    <row r="2856" spans="2:3" x14ac:dyDescent="0.25">
      <c r="B2856" s="1">
        <v>1</v>
      </c>
      <c r="C2856" s="8"/>
    </row>
    <row r="2857" spans="2:3" x14ac:dyDescent="0.25">
      <c r="B2857" s="1">
        <v>1</v>
      </c>
      <c r="C2857" s="8"/>
    </row>
    <row r="2858" spans="2:3" x14ac:dyDescent="0.25">
      <c r="B2858" s="1">
        <v>1</v>
      </c>
      <c r="C2858" s="8"/>
    </row>
    <row r="2859" spans="2:3" x14ac:dyDescent="0.25">
      <c r="B2859" s="1">
        <v>1</v>
      </c>
      <c r="C2859" s="8"/>
    </row>
    <row r="2860" spans="2:3" x14ac:dyDescent="0.25">
      <c r="B2860" s="1">
        <v>1</v>
      </c>
      <c r="C2860" s="8"/>
    </row>
    <row r="2861" spans="2:3" x14ac:dyDescent="0.25">
      <c r="B2861" s="1">
        <v>1</v>
      </c>
      <c r="C2861" s="8"/>
    </row>
    <row r="2862" spans="2:3" x14ac:dyDescent="0.25">
      <c r="B2862" s="1">
        <v>1</v>
      </c>
      <c r="C2862" s="8"/>
    </row>
    <row r="2863" spans="2:3" x14ac:dyDescent="0.25">
      <c r="B2863" s="1">
        <v>1</v>
      </c>
      <c r="C2863" s="8"/>
    </row>
    <row r="2864" spans="2:3" x14ac:dyDescent="0.25">
      <c r="B2864" s="1">
        <v>1</v>
      </c>
      <c r="C2864" s="8"/>
    </row>
    <row r="2865" spans="2:3" x14ac:dyDescent="0.25">
      <c r="B2865" s="1">
        <v>1</v>
      </c>
      <c r="C2865" s="8"/>
    </row>
    <row r="2866" spans="2:3" x14ac:dyDescent="0.25">
      <c r="B2866" s="1">
        <v>1</v>
      </c>
      <c r="C2866" s="8"/>
    </row>
    <row r="2867" spans="2:3" x14ac:dyDescent="0.25">
      <c r="B2867" s="1">
        <v>1</v>
      </c>
      <c r="C2867" s="8"/>
    </row>
    <row r="2868" spans="2:3" x14ac:dyDescent="0.25">
      <c r="B2868" s="1">
        <v>1</v>
      </c>
      <c r="C2868" s="8"/>
    </row>
    <row r="2869" spans="2:3" x14ac:dyDescent="0.25">
      <c r="B2869" s="1">
        <v>1</v>
      </c>
      <c r="C2869" s="8"/>
    </row>
    <row r="2870" spans="2:3" x14ac:dyDescent="0.25">
      <c r="B2870" s="1">
        <v>1</v>
      </c>
      <c r="C2870" s="8"/>
    </row>
    <row r="2871" spans="2:3" x14ac:dyDescent="0.25">
      <c r="B2871" s="1">
        <v>1</v>
      </c>
      <c r="C2871" s="8"/>
    </row>
    <row r="2872" spans="2:3" x14ac:dyDescent="0.25">
      <c r="B2872" s="1">
        <v>1</v>
      </c>
      <c r="C2872" s="8"/>
    </row>
    <row r="2873" spans="2:3" x14ac:dyDescent="0.25">
      <c r="B2873" s="1">
        <v>1</v>
      </c>
      <c r="C2873" s="8"/>
    </row>
    <row r="2874" spans="2:3" x14ac:dyDescent="0.25">
      <c r="B2874" s="1">
        <v>1</v>
      </c>
      <c r="C2874" s="8"/>
    </row>
    <row r="2875" spans="2:3" x14ac:dyDescent="0.25">
      <c r="B2875" s="1">
        <v>1</v>
      </c>
      <c r="C2875" s="8"/>
    </row>
    <row r="2876" spans="2:3" x14ac:dyDescent="0.25">
      <c r="B2876" s="1">
        <v>1</v>
      </c>
      <c r="C2876" s="8"/>
    </row>
    <row r="2877" spans="2:3" x14ac:dyDescent="0.25">
      <c r="B2877" s="1">
        <v>1</v>
      </c>
      <c r="C2877" s="8"/>
    </row>
    <row r="2878" spans="2:3" x14ac:dyDescent="0.25">
      <c r="B2878" s="1">
        <v>1</v>
      </c>
      <c r="C2878" s="8"/>
    </row>
    <row r="2879" spans="2:3" x14ac:dyDescent="0.25">
      <c r="B2879" s="1">
        <v>1</v>
      </c>
      <c r="C2879" s="8"/>
    </row>
    <row r="2880" spans="2:3" x14ac:dyDescent="0.25">
      <c r="B2880" s="1">
        <v>1</v>
      </c>
      <c r="C2880" s="8"/>
    </row>
    <row r="2881" spans="2:3" x14ac:dyDescent="0.25">
      <c r="B2881" s="1">
        <v>1</v>
      </c>
      <c r="C2881" s="8"/>
    </row>
    <row r="2882" spans="2:3" x14ac:dyDescent="0.25">
      <c r="B2882" s="1">
        <v>1</v>
      </c>
      <c r="C2882" s="8"/>
    </row>
    <row r="2883" spans="2:3" x14ac:dyDescent="0.25">
      <c r="B2883" s="1">
        <v>1</v>
      </c>
      <c r="C2883" s="8"/>
    </row>
    <row r="2884" spans="2:3" x14ac:dyDescent="0.25">
      <c r="B2884" s="1">
        <v>1</v>
      </c>
      <c r="C2884" s="8"/>
    </row>
    <row r="2885" spans="2:3" x14ac:dyDescent="0.25">
      <c r="B2885" s="1">
        <v>1</v>
      </c>
      <c r="C2885" s="8"/>
    </row>
    <row r="2886" spans="2:3" x14ac:dyDescent="0.25">
      <c r="B2886" s="1">
        <v>1</v>
      </c>
      <c r="C2886" s="8"/>
    </row>
    <row r="2887" spans="2:3" x14ac:dyDescent="0.25">
      <c r="B2887" s="1">
        <v>1</v>
      </c>
      <c r="C2887" s="8"/>
    </row>
    <row r="2888" spans="2:3" x14ac:dyDescent="0.25">
      <c r="B2888" s="1">
        <v>1</v>
      </c>
      <c r="C2888" s="8"/>
    </row>
    <row r="2889" spans="2:3" x14ac:dyDescent="0.25">
      <c r="B2889" s="1">
        <v>1</v>
      </c>
      <c r="C2889" s="8"/>
    </row>
    <row r="2890" spans="2:3" x14ac:dyDescent="0.25">
      <c r="B2890" s="1">
        <v>1</v>
      </c>
      <c r="C2890" s="8"/>
    </row>
    <row r="2891" spans="2:3" x14ac:dyDescent="0.25">
      <c r="B2891" s="1">
        <v>1</v>
      </c>
      <c r="C2891" s="8"/>
    </row>
    <row r="2892" spans="2:3" x14ac:dyDescent="0.25">
      <c r="B2892" s="1">
        <v>1</v>
      </c>
      <c r="C2892" s="8"/>
    </row>
    <row r="2893" spans="2:3" x14ac:dyDescent="0.25">
      <c r="B2893" s="1">
        <v>1</v>
      </c>
      <c r="C2893" s="8"/>
    </row>
    <row r="2894" spans="2:3" x14ac:dyDescent="0.25">
      <c r="B2894" s="1">
        <v>1</v>
      </c>
      <c r="C2894" s="8"/>
    </row>
    <row r="2895" spans="2:3" x14ac:dyDescent="0.25">
      <c r="B2895" s="1">
        <v>1</v>
      </c>
      <c r="C2895" s="8"/>
    </row>
    <row r="2896" spans="2:3" x14ac:dyDescent="0.25">
      <c r="B2896" s="1">
        <v>1</v>
      </c>
      <c r="C2896" s="8"/>
    </row>
    <row r="2897" spans="2:3" x14ac:dyDescent="0.25">
      <c r="B2897" s="1">
        <v>1</v>
      </c>
      <c r="C2897" s="8"/>
    </row>
    <row r="2898" spans="2:3" x14ac:dyDescent="0.25">
      <c r="B2898" s="1">
        <v>1</v>
      </c>
      <c r="C2898" s="8"/>
    </row>
    <row r="2899" spans="2:3" x14ac:dyDescent="0.25">
      <c r="B2899" s="1">
        <v>1</v>
      </c>
      <c r="C2899" s="8"/>
    </row>
    <row r="2900" spans="2:3" x14ac:dyDescent="0.25">
      <c r="B2900" s="1">
        <v>1</v>
      </c>
      <c r="C2900" s="8"/>
    </row>
    <row r="2901" spans="2:3" x14ac:dyDescent="0.25">
      <c r="B2901" s="1">
        <v>1</v>
      </c>
      <c r="C2901" s="8"/>
    </row>
    <row r="2902" spans="2:3" x14ac:dyDescent="0.25">
      <c r="B2902" s="1">
        <v>1</v>
      </c>
      <c r="C2902" s="8"/>
    </row>
    <row r="2903" spans="2:3" x14ac:dyDescent="0.25">
      <c r="B2903" s="1">
        <v>1</v>
      </c>
      <c r="C2903" s="8"/>
    </row>
    <row r="2904" spans="2:3" x14ac:dyDescent="0.25">
      <c r="B2904" s="1">
        <v>1</v>
      </c>
      <c r="C2904" s="8"/>
    </row>
    <row r="2905" spans="2:3" x14ac:dyDescent="0.25">
      <c r="B2905" s="1">
        <v>1</v>
      </c>
      <c r="C2905" s="8"/>
    </row>
    <row r="2906" spans="2:3" x14ac:dyDescent="0.25">
      <c r="B2906" s="1">
        <v>1</v>
      </c>
      <c r="C2906" s="8"/>
    </row>
    <row r="2907" spans="2:3" x14ac:dyDescent="0.25">
      <c r="B2907" s="1">
        <v>1</v>
      </c>
      <c r="C2907" s="8"/>
    </row>
    <row r="2908" spans="2:3" x14ac:dyDescent="0.25">
      <c r="B2908" s="1">
        <v>1</v>
      </c>
      <c r="C2908" s="8"/>
    </row>
    <row r="2909" spans="2:3" x14ac:dyDescent="0.25">
      <c r="B2909" s="1">
        <v>1</v>
      </c>
      <c r="C2909" s="8"/>
    </row>
    <row r="2910" spans="2:3" x14ac:dyDescent="0.25">
      <c r="B2910" s="1">
        <v>1</v>
      </c>
      <c r="C2910" s="8"/>
    </row>
    <row r="2911" spans="2:3" x14ac:dyDescent="0.25">
      <c r="B2911" s="1">
        <v>1</v>
      </c>
      <c r="C2911" s="8"/>
    </row>
    <row r="2912" spans="2:3" x14ac:dyDescent="0.25">
      <c r="B2912" s="1">
        <v>1</v>
      </c>
      <c r="C2912" s="8"/>
    </row>
    <row r="2913" spans="2:3" x14ac:dyDescent="0.25">
      <c r="B2913" s="1">
        <v>1</v>
      </c>
      <c r="C2913" s="8"/>
    </row>
    <row r="2914" spans="2:3" x14ac:dyDescent="0.25">
      <c r="B2914" s="1">
        <v>1</v>
      </c>
      <c r="C2914" s="8"/>
    </row>
    <row r="2915" spans="2:3" x14ac:dyDescent="0.25">
      <c r="B2915" s="1">
        <v>1</v>
      </c>
      <c r="C2915" s="8"/>
    </row>
    <row r="2916" spans="2:3" x14ac:dyDescent="0.25">
      <c r="B2916" s="1">
        <v>1</v>
      </c>
      <c r="C2916" s="8"/>
    </row>
    <row r="2917" spans="2:3" x14ac:dyDescent="0.25">
      <c r="B2917" s="1">
        <v>1</v>
      </c>
      <c r="C2917" s="8"/>
    </row>
    <row r="2918" spans="2:3" x14ac:dyDescent="0.25">
      <c r="B2918" s="1">
        <v>1</v>
      </c>
      <c r="C2918" s="8"/>
    </row>
    <row r="2919" spans="2:3" x14ac:dyDescent="0.25">
      <c r="B2919" s="1">
        <v>1</v>
      </c>
      <c r="C2919" s="8"/>
    </row>
    <row r="2920" spans="2:3" x14ac:dyDescent="0.25">
      <c r="B2920" s="1">
        <v>1</v>
      </c>
      <c r="C2920" s="8"/>
    </row>
    <row r="2921" spans="2:3" x14ac:dyDescent="0.25">
      <c r="B2921" s="1">
        <v>1</v>
      </c>
      <c r="C2921" s="8"/>
    </row>
    <row r="2922" spans="2:3" x14ac:dyDescent="0.25">
      <c r="B2922" s="1">
        <v>1</v>
      </c>
      <c r="C2922" s="8"/>
    </row>
    <row r="2923" spans="2:3" x14ac:dyDescent="0.25">
      <c r="B2923" s="1">
        <v>1</v>
      </c>
      <c r="C2923" s="8"/>
    </row>
    <row r="2924" spans="2:3" x14ac:dyDescent="0.25">
      <c r="B2924" s="1">
        <v>1</v>
      </c>
      <c r="C2924" s="8"/>
    </row>
    <row r="2925" spans="2:3" x14ac:dyDescent="0.25">
      <c r="B2925" s="1">
        <v>1</v>
      </c>
      <c r="C2925" s="8"/>
    </row>
    <row r="2926" spans="2:3" x14ac:dyDescent="0.25">
      <c r="B2926" s="1">
        <v>1</v>
      </c>
      <c r="C2926" s="8"/>
    </row>
    <row r="2927" spans="2:3" x14ac:dyDescent="0.25">
      <c r="B2927" s="1">
        <v>1</v>
      </c>
      <c r="C2927" s="8"/>
    </row>
    <row r="2928" spans="2:3" x14ac:dyDescent="0.25">
      <c r="B2928" s="1">
        <v>1</v>
      </c>
      <c r="C2928" s="8"/>
    </row>
    <row r="2929" spans="2:3" x14ac:dyDescent="0.25">
      <c r="B2929" s="1">
        <v>1</v>
      </c>
      <c r="C2929" s="8"/>
    </row>
    <row r="2930" spans="2:3" x14ac:dyDescent="0.25">
      <c r="B2930" s="1">
        <v>1</v>
      </c>
      <c r="C2930" s="8"/>
    </row>
    <row r="2931" spans="2:3" x14ac:dyDescent="0.25">
      <c r="B2931" s="1">
        <v>1</v>
      </c>
      <c r="C2931" s="8"/>
    </row>
    <row r="2932" spans="2:3" x14ac:dyDescent="0.25">
      <c r="B2932" s="1">
        <v>1</v>
      </c>
      <c r="C2932" s="8"/>
    </row>
    <row r="2933" spans="2:3" x14ac:dyDescent="0.25">
      <c r="B2933" s="1">
        <v>1</v>
      </c>
      <c r="C2933" s="8"/>
    </row>
    <row r="2934" spans="2:3" x14ac:dyDescent="0.25">
      <c r="B2934" s="1">
        <v>1</v>
      </c>
      <c r="C2934" s="8"/>
    </row>
    <row r="2935" spans="2:3" x14ac:dyDescent="0.25">
      <c r="B2935" s="1">
        <v>1</v>
      </c>
      <c r="C2935" s="8"/>
    </row>
    <row r="2936" spans="2:3" x14ac:dyDescent="0.25">
      <c r="B2936" s="1">
        <v>1</v>
      </c>
      <c r="C2936" s="8"/>
    </row>
    <row r="2937" spans="2:3" x14ac:dyDescent="0.25">
      <c r="B2937" s="1">
        <v>1</v>
      </c>
      <c r="C2937" s="8"/>
    </row>
    <row r="2938" spans="2:3" x14ac:dyDescent="0.25">
      <c r="B2938" s="1">
        <v>1</v>
      </c>
      <c r="C2938" s="8"/>
    </row>
    <row r="2939" spans="2:3" x14ac:dyDescent="0.25">
      <c r="B2939" s="1">
        <v>1</v>
      </c>
      <c r="C2939" s="8"/>
    </row>
    <row r="2940" spans="2:3" x14ac:dyDescent="0.25">
      <c r="B2940" s="1">
        <v>1</v>
      </c>
      <c r="C2940" s="8"/>
    </row>
    <row r="2941" spans="2:3" x14ac:dyDescent="0.25">
      <c r="B2941" s="1">
        <v>1</v>
      </c>
      <c r="C2941" s="8"/>
    </row>
    <row r="2942" spans="2:3" x14ac:dyDescent="0.25">
      <c r="B2942" s="1">
        <v>1</v>
      </c>
      <c r="C2942" s="8"/>
    </row>
    <row r="2943" spans="2:3" x14ac:dyDescent="0.25">
      <c r="B2943" s="1">
        <v>1</v>
      </c>
      <c r="C2943" s="8"/>
    </row>
    <row r="2944" spans="2:3" x14ac:dyDescent="0.25">
      <c r="B2944" s="1">
        <v>1</v>
      </c>
      <c r="C2944" s="8"/>
    </row>
    <row r="2945" spans="2:3" x14ac:dyDescent="0.25">
      <c r="B2945" s="1">
        <v>1</v>
      </c>
      <c r="C2945" s="8"/>
    </row>
    <row r="2946" spans="2:3" x14ac:dyDescent="0.25">
      <c r="B2946" s="1">
        <v>1</v>
      </c>
      <c r="C2946" s="8"/>
    </row>
    <row r="2947" spans="2:3" x14ac:dyDescent="0.25">
      <c r="B2947" s="1">
        <v>1</v>
      </c>
      <c r="C2947" s="8"/>
    </row>
    <row r="2948" spans="2:3" x14ac:dyDescent="0.25">
      <c r="B2948" s="1">
        <v>1</v>
      </c>
      <c r="C2948" s="8"/>
    </row>
    <row r="2949" spans="2:3" x14ac:dyDescent="0.25">
      <c r="B2949" s="1">
        <v>1</v>
      </c>
      <c r="C2949" s="8"/>
    </row>
    <row r="2950" spans="2:3" x14ac:dyDescent="0.25">
      <c r="B2950" s="1">
        <v>1</v>
      </c>
      <c r="C2950" s="8"/>
    </row>
    <row r="2951" spans="2:3" x14ac:dyDescent="0.25">
      <c r="B2951" s="1">
        <v>1</v>
      </c>
      <c r="C2951" s="8"/>
    </row>
    <row r="2952" spans="2:3" x14ac:dyDescent="0.25">
      <c r="B2952" s="1">
        <v>1</v>
      </c>
      <c r="C2952" s="8"/>
    </row>
    <row r="2953" spans="2:3" x14ac:dyDescent="0.25">
      <c r="B2953" s="1">
        <v>1</v>
      </c>
      <c r="C2953" s="8"/>
    </row>
    <row r="2954" spans="2:3" x14ac:dyDescent="0.25">
      <c r="B2954" s="1">
        <v>1</v>
      </c>
      <c r="C2954" s="8"/>
    </row>
    <row r="2955" spans="2:3" x14ac:dyDescent="0.25">
      <c r="B2955" s="1">
        <v>1</v>
      </c>
      <c r="C2955" s="8"/>
    </row>
    <row r="2956" spans="2:3" x14ac:dyDescent="0.25">
      <c r="B2956" s="1">
        <v>1</v>
      </c>
      <c r="C2956" s="8"/>
    </row>
    <row r="2957" spans="2:3" x14ac:dyDescent="0.25">
      <c r="B2957" s="1">
        <v>1</v>
      </c>
      <c r="C2957" s="8"/>
    </row>
    <row r="2958" spans="2:3" x14ac:dyDescent="0.25">
      <c r="B2958" s="1">
        <v>1</v>
      </c>
      <c r="C2958" s="8"/>
    </row>
    <row r="2959" spans="2:3" x14ac:dyDescent="0.25">
      <c r="B2959" s="1">
        <v>1</v>
      </c>
      <c r="C2959" s="8"/>
    </row>
    <row r="2960" spans="2:3" x14ac:dyDescent="0.25">
      <c r="B2960" s="1">
        <v>1</v>
      </c>
      <c r="C2960" s="8"/>
    </row>
    <row r="2961" spans="1:3" x14ac:dyDescent="0.25">
      <c r="B2961" s="1">
        <v>1</v>
      </c>
      <c r="C2961" s="8"/>
    </row>
    <row r="2962" spans="1:3" x14ac:dyDescent="0.25">
      <c r="B2962" s="1">
        <v>1</v>
      </c>
      <c r="C2962" s="8"/>
    </row>
    <row r="2963" spans="1:3" x14ac:dyDescent="0.25">
      <c r="B2963" s="1">
        <v>1</v>
      </c>
      <c r="C2963" s="8"/>
    </row>
    <row r="2964" spans="1:3" x14ac:dyDescent="0.25">
      <c r="B2964" s="1">
        <v>1</v>
      </c>
      <c r="C2964" s="8"/>
    </row>
    <row r="2965" spans="1:3" x14ac:dyDescent="0.25">
      <c r="B2965" s="1">
        <v>1</v>
      </c>
      <c r="C2965" s="8"/>
    </row>
    <row r="2966" spans="1:3" x14ac:dyDescent="0.25">
      <c r="B2966" s="1">
        <v>1</v>
      </c>
      <c r="C2966" s="8"/>
    </row>
    <row r="2967" spans="1:3" x14ac:dyDescent="0.25">
      <c r="B2967" s="1">
        <v>1</v>
      </c>
      <c r="C2967" s="8"/>
    </row>
    <row r="2968" spans="1:3" x14ac:dyDescent="0.25">
      <c r="B2968" s="1">
        <v>1</v>
      </c>
      <c r="C2968" s="8"/>
    </row>
    <row r="2969" spans="1:3" x14ac:dyDescent="0.25">
      <c r="B2969" s="1">
        <v>1</v>
      </c>
      <c r="C2969" s="8"/>
    </row>
    <row r="2970" spans="1:3" x14ac:dyDescent="0.25">
      <c r="B2970" s="1">
        <v>1</v>
      </c>
      <c r="C2970" s="8"/>
    </row>
    <row r="2971" spans="1:3" x14ac:dyDescent="0.25">
      <c r="B2971" s="1">
        <v>1</v>
      </c>
      <c r="C2971" s="8"/>
    </row>
    <row r="2972" spans="1:3" x14ac:dyDescent="0.25">
      <c r="B2972" s="1">
        <v>1</v>
      </c>
      <c r="C2972" s="8"/>
    </row>
    <row r="2973" spans="1:3" x14ac:dyDescent="0.25">
      <c r="B2973" s="1">
        <v>1</v>
      </c>
      <c r="C2973" s="8"/>
    </row>
    <row r="2974" spans="1:3" x14ac:dyDescent="0.25">
      <c r="B2974" s="1">
        <v>1</v>
      </c>
      <c r="C2974" s="8"/>
    </row>
    <row r="2975" spans="1:3" x14ac:dyDescent="0.25">
      <c r="B2975" s="1">
        <v>1</v>
      </c>
      <c r="C2975" s="8"/>
    </row>
    <row r="2976" spans="1:3" x14ac:dyDescent="0.25">
      <c r="B2976" s="1">
        <v>1</v>
      </c>
      <c r="C2976" s="8"/>
    </row>
    <row r="2977" spans="1:3" x14ac:dyDescent="0.25">
      <c r="B2977" s="1">
        <v>1</v>
      </c>
      <c r="C2977" s="8"/>
    </row>
    <row r="2978" spans="1:3" x14ac:dyDescent="0.25">
      <c r="B2978" s="1">
        <v>1</v>
      </c>
      <c r="C2978" s="8"/>
    </row>
    <row r="2979" spans="1:3" x14ac:dyDescent="0.25">
      <c r="B2979" s="1">
        <v>1</v>
      </c>
      <c r="C2979" s="8"/>
    </row>
    <row r="2980" spans="1:3" x14ac:dyDescent="0.25">
      <c r="B2980" s="1">
        <v>1</v>
      </c>
      <c r="C2980" s="8"/>
    </row>
    <row r="2981" spans="1:3" x14ac:dyDescent="0.25">
      <c r="B2981" s="1">
        <v>1</v>
      </c>
      <c r="C2981" s="8"/>
    </row>
    <row r="2982" spans="1:3" x14ac:dyDescent="0.25">
      <c r="B2982" s="1">
        <v>1</v>
      </c>
      <c r="C2982" s="8"/>
    </row>
    <row r="2983" spans="1:3" x14ac:dyDescent="0.25">
      <c r="B2983" s="1">
        <v>1</v>
      </c>
      <c r="C2983" s="8"/>
    </row>
    <row r="2984" spans="1:3" x14ac:dyDescent="0.25">
      <c r="B2984" s="1">
        <v>1</v>
      </c>
      <c r="C2984" s="8"/>
    </row>
    <row r="2985" spans="1:3" x14ac:dyDescent="0.25">
      <c r="B2985" s="1">
        <v>1</v>
      </c>
      <c r="C2985" s="8"/>
    </row>
    <row r="2986" spans="1:3" x14ac:dyDescent="0.25">
      <c r="B2986" s="1">
        <v>1</v>
      </c>
      <c r="C2986" s="8"/>
    </row>
    <row r="2987" spans="1:3" x14ac:dyDescent="0.25">
      <c r="B2987" s="1">
        <v>1</v>
      </c>
      <c r="C2987" s="8"/>
    </row>
    <row r="2988" spans="1:3" x14ac:dyDescent="0.25">
      <c r="B2988" s="1">
        <v>1</v>
      </c>
      <c r="C2988" s="8"/>
    </row>
    <row r="2989" spans="1:3" x14ac:dyDescent="0.25">
      <c r="B2989" s="1">
        <v>1</v>
      </c>
      <c r="C2989" s="8"/>
    </row>
    <row r="2990" spans="1:3" x14ac:dyDescent="0.25">
      <c r="B2990" s="1">
        <v>1</v>
      </c>
      <c r="C2990" s="8"/>
    </row>
    <row r="2991" spans="1:3" x14ac:dyDescent="0.25">
      <c r="B2991" s="1">
        <v>1</v>
      </c>
      <c r="C2991" s="8"/>
    </row>
    <row r="2992" spans="1:3" x14ac:dyDescent="0.25">
      <c r="B2992" s="1">
        <v>1</v>
      </c>
      <c r="C2992" s="8"/>
    </row>
    <row r="2993" spans="1:3" x14ac:dyDescent="0.25">
      <c r="B2993" s="1">
        <v>1</v>
      </c>
      <c r="C2993" s="8"/>
    </row>
    <row r="2994" spans="1:3" x14ac:dyDescent="0.25">
      <c r="B2994" s="1">
        <v>1</v>
      </c>
      <c r="C2994" s="8"/>
    </row>
    <row r="2995" spans="1:3" x14ac:dyDescent="0.25">
      <c r="B2995" s="1">
        <v>1</v>
      </c>
      <c r="C2995" s="8"/>
    </row>
    <row r="2996" spans="1:3" x14ac:dyDescent="0.25">
      <c r="B2996" s="1">
        <v>1</v>
      </c>
      <c r="C2996" s="8"/>
    </row>
    <row r="2997" spans="1:3" x14ac:dyDescent="0.25">
      <c r="B2997" s="1">
        <v>1</v>
      </c>
      <c r="C2997" s="8"/>
    </row>
    <row r="2998" spans="1:3" x14ac:dyDescent="0.25">
      <c r="B2998" s="1">
        <v>1</v>
      </c>
      <c r="C2998" s="8"/>
    </row>
    <row r="2999" spans="1:3" x14ac:dyDescent="0.25">
      <c r="B2999" s="1">
        <v>1</v>
      </c>
      <c r="C2999" s="8"/>
    </row>
    <row r="3000" spans="1:3" x14ac:dyDescent="0.25">
      <c r="B3000" s="1">
        <v>1</v>
      </c>
      <c r="C3000" s="8"/>
    </row>
    <row r="3001" spans="1:3" x14ac:dyDescent="0.25">
      <c r="B3001" s="1">
        <v>1</v>
      </c>
      <c r="C3001" s="8"/>
    </row>
    <row r="3002" spans="1:3" x14ac:dyDescent="0.25">
      <c r="B3002" s="1">
        <v>1</v>
      </c>
      <c r="C3002" s="8"/>
    </row>
    <row r="3003" spans="1:3" x14ac:dyDescent="0.25">
      <c r="B3003" s="1">
        <v>1</v>
      </c>
      <c r="C3003" s="8"/>
    </row>
    <row r="3004" spans="1:3" x14ac:dyDescent="0.25">
      <c r="B3004" s="1">
        <v>1</v>
      </c>
      <c r="C3004" s="8"/>
    </row>
    <row r="3005" spans="1:3" x14ac:dyDescent="0.25">
      <c r="B3005" s="1">
        <v>1</v>
      </c>
      <c r="C3005" s="8"/>
    </row>
    <row r="3006" spans="1:3" x14ac:dyDescent="0.25">
      <c r="B3006" s="1">
        <v>1</v>
      </c>
      <c r="C3006" s="8"/>
    </row>
    <row r="3007" spans="1:3" x14ac:dyDescent="0.25">
      <c r="B3007" s="1">
        <v>1</v>
      </c>
      <c r="C3007" s="8"/>
    </row>
    <row r="3008" spans="1:3" x14ac:dyDescent="0.25">
      <c r="B3008" s="1">
        <v>1</v>
      </c>
      <c r="C3008" s="8"/>
    </row>
    <row r="3009" spans="2:3" x14ac:dyDescent="0.25">
      <c r="B3009" s="1">
        <v>1</v>
      </c>
      <c r="C3009" s="8"/>
    </row>
    <row r="3010" spans="2:3" x14ac:dyDescent="0.25">
      <c r="B3010" s="1">
        <v>1</v>
      </c>
      <c r="C3010" s="8"/>
    </row>
    <row r="3011" spans="2:3" x14ac:dyDescent="0.25">
      <c r="B3011" s="1">
        <v>1</v>
      </c>
      <c r="C3011" s="8"/>
    </row>
    <row r="3012" spans="2:3" x14ac:dyDescent="0.25">
      <c r="B3012" s="1">
        <v>1</v>
      </c>
      <c r="C3012" s="8"/>
    </row>
    <row r="3013" spans="2:3" x14ac:dyDescent="0.25">
      <c r="B3013" s="1">
        <v>1</v>
      </c>
      <c r="C3013" s="8"/>
    </row>
    <row r="3014" spans="2:3" x14ac:dyDescent="0.25">
      <c r="B3014" s="1">
        <v>1</v>
      </c>
      <c r="C3014" s="8"/>
    </row>
    <row r="3015" spans="2:3" x14ac:dyDescent="0.25">
      <c r="B3015" s="1">
        <v>1</v>
      </c>
      <c r="C3015" s="8"/>
    </row>
    <row r="3016" spans="2:3" x14ac:dyDescent="0.25">
      <c r="B3016" s="1">
        <v>1</v>
      </c>
      <c r="C3016" s="8"/>
    </row>
    <row r="3017" spans="2:3" x14ac:dyDescent="0.25">
      <c r="B3017" s="1">
        <v>1</v>
      </c>
      <c r="C3017" s="8"/>
    </row>
    <row r="3018" spans="2:3" x14ac:dyDescent="0.25">
      <c r="B3018" s="1">
        <v>1</v>
      </c>
      <c r="C3018" s="8"/>
    </row>
    <row r="3019" spans="2:3" x14ac:dyDescent="0.25">
      <c r="B3019" s="1">
        <v>1</v>
      </c>
      <c r="C3019" s="8"/>
    </row>
    <row r="3020" spans="2:3" x14ac:dyDescent="0.25">
      <c r="B3020" s="1">
        <v>1</v>
      </c>
      <c r="C3020" s="8"/>
    </row>
    <row r="3021" spans="2:3" x14ac:dyDescent="0.25">
      <c r="B3021" s="1">
        <v>1</v>
      </c>
      <c r="C3021" s="8"/>
    </row>
    <row r="3022" spans="2:3" x14ac:dyDescent="0.25">
      <c r="B3022" s="1">
        <v>1</v>
      </c>
      <c r="C3022" s="8"/>
    </row>
    <row r="3023" spans="2:3" x14ac:dyDescent="0.25">
      <c r="B3023" s="1">
        <v>1</v>
      </c>
      <c r="C3023" s="8"/>
    </row>
    <row r="3024" spans="2:3" x14ac:dyDescent="0.25">
      <c r="B3024" s="1">
        <v>1</v>
      </c>
      <c r="C3024" s="8"/>
    </row>
    <row r="3025" spans="2:13" x14ac:dyDescent="0.25">
      <c r="B3025" s="1">
        <v>1</v>
      </c>
      <c r="C3025" s="8"/>
    </row>
    <row r="3026" spans="2:13" x14ac:dyDescent="0.25">
      <c r="B3026" s="1">
        <v>1</v>
      </c>
      <c r="C3026" s="8"/>
    </row>
    <row r="3027" spans="2:13" x14ac:dyDescent="0.25">
      <c r="B3027" s="1">
        <v>1</v>
      </c>
      <c r="C3027" s="8"/>
      <c r="E3027" s="18"/>
    </row>
    <row r="3028" spans="2:13" x14ac:dyDescent="0.25">
      <c r="B3028" s="1">
        <v>1</v>
      </c>
      <c r="C3028" s="8"/>
      <c r="E3028" s="18"/>
      <c r="J3028" s="19"/>
    </row>
    <row r="3029" spans="2:13" x14ac:dyDescent="0.25">
      <c r="B3029" s="1">
        <v>1</v>
      </c>
      <c r="C3029" s="8"/>
      <c r="E3029" s="18"/>
      <c r="J3029" s="19"/>
    </row>
    <row r="3030" spans="2:13" x14ac:dyDescent="0.25">
      <c r="B3030" s="1">
        <v>1</v>
      </c>
      <c r="C3030" s="8"/>
      <c r="E3030" s="18"/>
    </row>
    <row r="3031" spans="2:13" x14ac:dyDescent="0.25">
      <c r="B3031" s="1">
        <v>1</v>
      </c>
      <c r="C3031" s="8"/>
      <c r="E3031" s="18"/>
    </row>
    <row r="3032" spans="2:13" x14ac:dyDescent="0.25">
      <c r="B3032" s="1">
        <v>1</v>
      </c>
      <c r="C3032" s="8"/>
      <c r="E3032" s="18"/>
    </row>
    <row r="3033" spans="2:13" x14ac:dyDescent="0.25">
      <c r="B3033" s="1">
        <v>1</v>
      </c>
      <c r="C3033" s="8"/>
      <c r="E3033" s="18"/>
    </row>
    <row r="3034" spans="2:13" x14ac:dyDescent="0.25">
      <c r="B3034" s="1">
        <v>1</v>
      </c>
      <c r="C3034" s="8"/>
      <c r="M3034" s="45"/>
    </row>
    <row r="3035" spans="2:13" x14ac:dyDescent="0.25">
      <c r="B3035" s="1">
        <v>1</v>
      </c>
      <c r="C3035" s="8"/>
    </row>
    <row r="3036" spans="2:13" x14ac:dyDescent="0.25">
      <c r="B3036" s="1">
        <v>1</v>
      </c>
      <c r="C3036" s="8"/>
    </row>
    <row r="3037" spans="2:13" x14ac:dyDescent="0.25">
      <c r="B3037" s="1">
        <v>1</v>
      </c>
      <c r="C3037" s="8"/>
    </row>
    <row r="3038" spans="2:13" x14ac:dyDescent="0.25">
      <c r="B3038" s="1">
        <v>1</v>
      </c>
      <c r="C3038" s="8"/>
    </row>
    <row r="3039" spans="2:13" x14ac:dyDescent="0.25">
      <c r="B3039" s="1">
        <v>1</v>
      </c>
      <c r="C3039" s="8"/>
    </row>
    <row r="3040" spans="2:13" x14ac:dyDescent="0.25">
      <c r="B3040" s="1">
        <v>1</v>
      </c>
      <c r="C3040" s="8"/>
    </row>
    <row r="3041" spans="2:3" x14ac:dyDescent="0.25">
      <c r="B3041" s="1">
        <v>1</v>
      </c>
      <c r="C3041" s="8"/>
    </row>
    <row r="3042" spans="2:3" x14ac:dyDescent="0.25">
      <c r="B3042" s="1">
        <v>1</v>
      </c>
      <c r="C3042" s="8"/>
    </row>
    <row r="3043" spans="2:3" x14ac:dyDescent="0.25">
      <c r="B3043" s="1">
        <v>1</v>
      </c>
      <c r="C3043" s="8"/>
    </row>
    <row r="3044" spans="2:3" x14ac:dyDescent="0.25">
      <c r="B3044" s="1">
        <v>1</v>
      </c>
      <c r="C3044" s="8"/>
    </row>
    <row r="3045" spans="2:3" x14ac:dyDescent="0.25">
      <c r="B3045" s="1">
        <v>1</v>
      </c>
      <c r="C3045" s="8"/>
    </row>
    <row r="3046" spans="2:3" x14ac:dyDescent="0.25">
      <c r="B3046" s="1">
        <v>1</v>
      </c>
      <c r="C3046" s="8"/>
    </row>
    <row r="3047" spans="2:3" x14ac:dyDescent="0.25">
      <c r="B3047" s="1">
        <v>1</v>
      </c>
      <c r="C3047" s="8"/>
    </row>
    <row r="3048" spans="2:3" x14ac:dyDescent="0.25">
      <c r="B3048" s="1">
        <v>1</v>
      </c>
      <c r="C3048" s="8"/>
    </row>
    <row r="3049" spans="2:3" x14ac:dyDescent="0.25">
      <c r="B3049" s="1">
        <v>1</v>
      </c>
      <c r="C3049" s="8"/>
    </row>
    <row r="3050" spans="2:3" x14ac:dyDescent="0.25">
      <c r="B3050" s="1">
        <v>1</v>
      </c>
      <c r="C3050" s="8"/>
    </row>
    <row r="3051" spans="2:3" x14ac:dyDescent="0.25">
      <c r="B3051" s="1">
        <v>1</v>
      </c>
      <c r="C3051" s="8"/>
    </row>
    <row r="3052" spans="2:3" x14ac:dyDescent="0.25">
      <c r="B3052" s="1">
        <v>1</v>
      </c>
      <c r="C3052" s="8"/>
    </row>
    <row r="3053" spans="2:3" x14ac:dyDescent="0.25">
      <c r="B3053" s="1">
        <v>1</v>
      </c>
      <c r="C3053" s="8"/>
    </row>
    <row r="3054" spans="2:3" x14ac:dyDescent="0.25">
      <c r="B3054" s="1">
        <v>1</v>
      </c>
      <c r="C3054" s="8"/>
    </row>
    <row r="3055" spans="2:3" x14ac:dyDescent="0.25">
      <c r="B3055" s="1">
        <v>1</v>
      </c>
      <c r="C3055" s="8"/>
    </row>
    <row r="3056" spans="2:3" x14ac:dyDescent="0.25">
      <c r="B3056" s="1">
        <v>1</v>
      </c>
      <c r="C3056" s="8"/>
    </row>
    <row r="3057" spans="2:3" x14ac:dyDescent="0.25">
      <c r="B3057" s="1">
        <v>1</v>
      </c>
      <c r="C3057" s="8"/>
    </row>
    <row r="3058" spans="2:3" x14ac:dyDescent="0.25">
      <c r="B3058" s="1">
        <v>1</v>
      </c>
      <c r="C3058" s="8"/>
    </row>
    <row r="3059" spans="2:3" x14ac:dyDescent="0.25">
      <c r="B3059" s="1">
        <v>1</v>
      </c>
      <c r="C3059" s="8"/>
    </row>
    <row r="3060" spans="2:3" x14ac:dyDescent="0.25">
      <c r="B3060" s="1">
        <v>1</v>
      </c>
      <c r="C3060" s="8"/>
    </row>
    <row r="3061" spans="2:3" x14ac:dyDescent="0.25">
      <c r="B3061" s="1">
        <v>1</v>
      </c>
      <c r="C3061" s="8"/>
    </row>
    <row r="3062" spans="2:3" x14ac:dyDescent="0.25">
      <c r="B3062" s="1">
        <v>1</v>
      </c>
      <c r="C3062" s="8"/>
    </row>
    <row r="3063" spans="2:3" x14ac:dyDescent="0.25">
      <c r="B3063" s="1">
        <v>1</v>
      </c>
      <c r="C3063" s="8"/>
    </row>
    <row r="3064" spans="2:3" x14ac:dyDescent="0.25">
      <c r="B3064" s="1">
        <v>1</v>
      </c>
      <c r="C3064" s="8"/>
    </row>
    <row r="3065" spans="2:3" x14ac:dyDescent="0.25">
      <c r="B3065" s="1">
        <v>1</v>
      </c>
      <c r="C3065" s="8"/>
    </row>
    <row r="3066" spans="2:3" x14ac:dyDescent="0.25">
      <c r="B3066" s="1">
        <v>1</v>
      </c>
      <c r="C3066" s="8"/>
    </row>
    <row r="3067" spans="2:3" x14ac:dyDescent="0.25">
      <c r="B3067" s="1">
        <v>1</v>
      </c>
      <c r="C3067" s="8"/>
    </row>
    <row r="3068" spans="2:3" x14ac:dyDescent="0.25">
      <c r="B3068" s="1">
        <v>1</v>
      </c>
      <c r="C3068" s="8"/>
    </row>
    <row r="3069" spans="2:3" x14ac:dyDescent="0.25">
      <c r="B3069" s="1">
        <v>1</v>
      </c>
      <c r="C3069" s="8"/>
    </row>
    <row r="3070" spans="2:3" x14ac:dyDescent="0.25">
      <c r="B3070" s="1">
        <v>1</v>
      </c>
      <c r="C3070" s="8"/>
    </row>
    <row r="3071" spans="2:3" x14ac:dyDescent="0.25">
      <c r="B3071" s="1">
        <v>1</v>
      </c>
      <c r="C3071" s="8"/>
    </row>
    <row r="3072" spans="2:3" x14ac:dyDescent="0.25">
      <c r="B3072" s="1">
        <v>1</v>
      </c>
      <c r="C3072" s="8"/>
    </row>
    <row r="3073" spans="2:3" x14ac:dyDescent="0.25">
      <c r="B3073" s="1">
        <v>1</v>
      </c>
      <c r="C3073" s="8"/>
    </row>
    <row r="3074" spans="2:3" x14ac:dyDescent="0.25">
      <c r="B3074" s="1">
        <v>1</v>
      </c>
      <c r="C3074" s="8"/>
    </row>
    <row r="3075" spans="2:3" x14ac:dyDescent="0.25">
      <c r="B3075" s="1">
        <v>1</v>
      </c>
      <c r="C3075" s="8"/>
    </row>
    <row r="3076" spans="2:3" x14ac:dyDescent="0.25">
      <c r="B3076" s="1">
        <v>1</v>
      </c>
      <c r="C3076" s="8"/>
    </row>
    <row r="3077" spans="2:3" x14ac:dyDescent="0.25">
      <c r="B3077" s="1">
        <v>1</v>
      </c>
      <c r="C3077" s="8"/>
    </row>
    <row r="3078" spans="2:3" x14ac:dyDescent="0.25">
      <c r="B3078" s="1">
        <v>1</v>
      </c>
      <c r="C3078" s="8"/>
    </row>
    <row r="3079" spans="2:3" x14ac:dyDescent="0.25">
      <c r="B3079" s="1">
        <v>1</v>
      </c>
      <c r="C3079" s="8"/>
    </row>
    <row r="3080" spans="2:3" x14ac:dyDescent="0.25">
      <c r="B3080" s="1">
        <v>1</v>
      </c>
      <c r="C3080" s="8"/>
    </row>
    <row r="3081" spans="2:3" x14ac:dyDescent="0.25">
      <c r="B3081" s="1">
        <v>1</v>
      </c>
      <c r="C3081" s="8"/>
    </row>
    <row r="3082" spans="2:3" x14ac:dyDescent="0.25">
      <c r="B3082" s="1">
        <v>1</v>
      </c>
      <c r="C3082" s="8"/>
    </row>
    <row r="3083" spans="2:3" x14ac:dyDescent="0.25">
      <c r="B3083" s="1">
        <v>1</v>
      </c>
      <c r="C3083" s="8"/>
    </row>
    <row r="3084" spans="2:3" x14ac:dyDescent="0.25">
      <c r="B3084" s="1">
        <v>1</v>
      </c>
      <c r="C3084" s="8"/>
    </row>
    <row r="3085" spans="2:3" x14ac:dyDescent="0.25">
      <c r="B3085" s="1">
        <v>1</v>
      </c>
      <c r="C3085" s="8"/>
    </row>
    <row r="3086" spans="2:3" x14ac:dyDescent="0.25">
      <c r="B3086" s="1">
        <v>1</v>
      </c>
      <c r="C3086" s="8"/>
    </row>
    <row r="3087" spans="2:3" x14ac:dyDescent="0.25">
      <c r="B3087" s="1">
        <v>1</v>
      </c>
      <c r="C3087" s="8"/>
    </row>
    <row r="3088" spans="2:3" x14ac:dyDescent="0.25">
      <c r="B3088" s="1">
        <v>1</v>
      </c>
      <c r="C3088" s="8"/>
    </row>
    <row r="3089" spans="2:3" x14ac:dyDescent="0.25">
      <c r="B3089" s="1">
        <v>1</v>
      </c>
      <c r="C3089" s="8"/>
    </row>
    <row r="3090" spans="2:3" x14ac:dyDescent="0.25">
      <c r="B3090" s="1">
        <v>1</v>
      </c>
      <c r="C3090" s="8"/>
    </row>
    <row r="3091" spans="2:3" x14ac:dyDescent="0.25">
      <c r="B3091" s="1">
        <v>1</v>
      </c>
      <c r="C3091" s="8"/>
    </row>
    <row r="3092" spans="2:3" x14ac:dyDescent="0.25">
      <c r="B3092" s="1">
        <v>1</v>
      </c>
      <c r="C3092" s="8"/>
    </row>
    <row r="3093" spans="2:3" x14ac:dyDescent="0.25">
      <c r="B3093" s="1">
        <v>1</v>
      </c>
      <c r="C3093" s="8"/>
    </row>
    <row r="3094" spans="2:3" x14ac:dyDescent="0.25">
      <c r="B3094" s="1">
        <v>1</v>
      </c>
      <c r="C3094" s="8"/>
    </row>
    <row r="3095" spans="2:3" x14ac:dyDescent="0.25">
      <c r="B3095" s="1">
        <v>1</v>
      </c>
      <c r="C3095" s="8"/>
    </row>
    <row r="3096" spans="2:3" x14ac:dyDescent="0.25">
      <c r="B3096" s="1">
        <v>1</v>
      </c>
      <c r="C3096" s="8"/>
    </row>
    <row r="3097" spans="2:3" x14ac:dyDescent="0.25">
      <c r="B3097" s="1">
        <v>1</v>
      </c>
      <c r="C3097" s="8"/>
    </row>
    <row r="3098" spans="2:3" x14ac:dyDescent="0.25">
      <c r="B3098" s="1">
        <v>1</v>
      </c>
      <c r="C3098" s="8"/>
    </row>
    <row r="3099" spans="2:3" x14ac:dyDescent="0.25">
      <c r="B3099" s="1">
        <v>1</v>
      </c>
      <c r="C3099" s="8"/>
    </row>
    <row r="3100" spans="2:3" x14ac:dyDescent="0.25">
      <c r="B3100" s="1">
        <v>1</v>
      </c>
      <c r="C3100" s="8"/>
    </row>
    <row r="3101" spans="2:3" x14ac:dyDescent="0.25">
      <c r="B3101" s="1">
        <v>1</v>
      </c>
      <c r="C3101" s="8"/>
    </row>
    <row r="3102" spans="2:3" x14ac:dyDescent="0.25">
      <c r="B3102" s="1">
        <v>1</v>
      </c>
      <c r="C3102" s="8"/>
    </row>
    <row r="3103" spans="2:3" x14ac:dyDescent="0.25">
      <c r="B3103" s="1">
        <v>1</v>
      </c>
      <c r="C3103" s="8"/>
    </row>
    <row r="3104" spans="2:3" x14ac:dyDescent="0.25">
      <c r="B3104" s="1">
        <v>1</v>
      </c>
      <c r="C3104" s="8"/>
    </row>
    <row r="3105" spans="2:3" x14ac:dyDescent="0.25">
      <c r="B3105" s="1">
        <v>1</v>
      </c>
      <c r="C3105" s="8"/>
    </row>
    <row r="3106" spans="2:3" x14ac:dyDescent="0.25">
      <c r="B3106" s="1">
        <v>1</v>
      </c>
      <c r="C3106" s="8"/>
    </row>
    <row r="3107" spans="2:3" x14ac:dyDescent="0.25">
      <c r="B3107" s="1">
        <v>1</v>
      </c>
      <c r="C3107" s="8"/>
    </row>
    <row r="3108" spans="2:3" x14ac:dyDescent="0.25">
      <c r="B3108" s="1">
        <v>1</v>
      </c>
      <c r="C3108" s="8"/>
    </row>
    <row r="3109" spans="2:3" x14ac:dyDescent="0.25">
      <c r="B3109" s="1">
        <v>1</v>
      </c>
      <c r="C3109" s="8"/>
    </row>
    <row r="3110" spans="2:3" x14ac:dyDescent="0.25">
      <c r="B3110" s="1">
        <v>1</v>
      </c>
      <c r="C3110" s="8"/>
    </row>
    <row r="3111" spans="2:3" x14ac:dyDescent="0.25">
      <c r="B3111" s="1">
        <v>1</v>
      </c>
      <c r="C3111" s="8"/>
    </row>
    <row r="3112" spans="2:3" x14ac:dyDescent="0.25">
      <c r="B3112" s="1">
        <v>1</v>
      </c>
      <c r="C3112" s="8"/>
    </row>
    <row r="3113" spans="2:3" x14ac:dyDescent="0.25">
      <c r="B3113" s="1">
        <v>1</v>
      </c>
      <c r="C3113" s="8"/>
    </row>
    <row r="3114" spans="2:3" x14ac:dyDescent="0.25">
      <c r="B3114" s="1">
        <v>1</v>
      </c>
      <c r="C3114" s="8"/>
    </row>
    <row r="3115" spans="2:3" x14ac:dyDescent="0.25">
      <c r="B3115" s="1">
        <v>1</v>
      </c>
      <c r="C3115" s="8"/>
    </row>
    <row r="3116" spans="2:3" x14ac:dyDescent="0.25">
      <c r="B3116" s="1">
        <v>1</v>
      </c>
      <c r="C3116" s="8"/>
    </row>
    <row r="3117" spans="2:3" x14ac:dyDescent="0.25">
      <c r="B3117" s="1">
        <v>1</v>
      </c>
      <c r="C3117" s="8"/>
    </row>
    <row r="3118" spans="2:3" x14ac:dyDescent="0.25">
      <c r="B3118" s="1">
        <v>1</v>
      </c>
      <c r="C3118" s="8"/>
    </row>
    <row r="3119" spans="2:3" x14ac:dyDescent="0.25">
      <c r="B3119" s="1">
        <v>1</v>
      </c>
      <c r="C3119" s="8"/>
    </row>
    <row r="3120" spans="2:3" x14ac:dyDescent="0.25">
      <c r="B3120" s="1">
        <v>1</v>
      </c>
      <c r="C3120" s="8"/>
    </row>
    <row r="3121" spans="2:3" x14ac:dyDescent="0.25">
      <c r="B3121" s="1">
        <v>1</v>
      </c>
      <c r="C3121" s="8"/>
    </row>
    <row r="3122" spans="2:3" x14ac:dyDescent="0.25">
      <c r="B3122" s="1">
        <v>1</v>
      </c>
      <c r="C3122" s="8"/>
    </row>
    <row r="3123" spans="2:3" x14ac:dyDescent="0.25">
      <c r="B3123" s="1">
        <v>1</v>
      </c>
      <c r="C3123" s="8"/>
    </row>
    <row r="3124" spans="2:3" x14ac:dyDescent="0.25">
      <c r="B3124" s="1">
        <v>1</v>
      </c>
      <c r="C3124" s="8"/>
    </row>
    <row r="3125" spans="2:3" x14ac:dyDescent="0.25">
      <c r="B3125" s="1">
        <v>1</v>
      </c>
      <c r="C3125" s="8"/>
    </row>
    <row r="3126" spans="2:3" x14ac:dyDescent="0.25">
      <c r="B3126" s="1">
        <v>1</v>
      </c>
      <c r="C3126" s="8"/>
    </row>
    <row r="3127" spans="2:3" x14ac:dyDescent="0.25">
      <c r="B3127" s="1">
        <v>1</v>
      </c>
      <c r="C3127" s="8"/>
    </row>
    <row r="3128" spans="2:3" x14ac:dyDescent="0.25">
      <c r="B3128" s="1">
        <v>1</v>
      </c>
      <c r="C3128" s="8"/>
    </row>
    <row r="3129" spans="2:3" x14ac:dyDescent="0.25">
      <c r="B3129" s="1">
        <v>1</v>
      </c>
      <c r="C3129" s="8"/>
    </row>
    <row r="3130" spans="2:3" x14ac:dyDescent="0.25">
      <c r="B3130" s="1">
        <v>1</v>
      </c>
      <c r="C3130" s="8"/>
    </row>
    <row r="3131" spans="2:3" x14ac:dyDescent="0.25">
      <c r="B3131" s="1">
        <v>1</v>
      </c>
      <c r="C3131" s="8"/>
    </row>
    <row r="3132" spans="2:3" x14ac:dyDescent="0.25">
      <c r="B3132" s="1">
        <v>1</v>
      </c>
      <c r="C3132" s="8"/>
    </row>
    <row r="3133" spans="2:3" x14ac:dyDescent="0.25">
      <c r="B3133" s="1">
        <v>1</v>
      </c>
      <c r="C3133" s="8"/>
    </row>
    <row r="3134" spans="2:3" x14ac:dyDescent="0.25">
      <c r="B3134" s="1">
        <v>1</v>
      </c>
      <c r="C3134" s="8"/>
    </row>
    <row r="3135" spans="2:3" x14ac:dyDescent="0.25">
      <c r="B3135" s="1">
        <v>1</v>
      </c>
      <c r="C3135" s="8"/>
    </row>
    <row r="3136" spans="2:3" x14ac:dyDescent="0.25">
      <c r="B3136" s="1">
        <v>1</v>
      </c>
      <c r="C3136" s="8"/>
    </row>
    <row r="3137" spans="2:3" x14ac:dyDescent="0.25">
      <c r="B3137" s="1">
        <v>1</v>
      </c>
      <c r="C3137" s="8"/>
    </row>
    <row r="3138" spans="2:3" x14ac:dyDescent="0.25">
      <c r="B3138" s="1">
        <v>1</v>
      </c>
      <c r="C3138" s="8"/>
    </row>
    <row r="3139" spans="2:3" x14ac:dyDescent="0.25">
      <c r="B3139" s="1">
        <v>1</v>
      </c>
      <c r="C3139" s="8"/>
    </row>
    <row r="3140" spans="2:3" x14ac:dyDescent="0.25">
      <c r="B3140" s="1">
        <v>1</v>
      </c>
      <c r="C3140" s="8"/>
    </row>
    <row r="3141" spans="2:3" x14ac:dyDescent="0.25">
      <c r="B3141" s="1">
        <v>1</v>
      </c>
      <c r="C3141" s="8"/>
    </row>
    <row r="3142" spans="2:3" x14ac:dyDescent="0.25">
      <c r="B3142" s="1">
        <v>1</v>
      </c>
      <c r="C3142" s="8"/>
    </row>
    <row r="3143" spans="2:3" x14ac:dyDescent="0.25">
      <c r="B3143" s="1">
        <v>1</v>
      </c>
      <c r="C3143" s="8"/>
    </row>
    <row r="3144" spans="2:3" x14ac:dyDescent="0.25">
      <c r="B3144" s="1">
        <v>1</v>
      </c>
      <c r="C3144" s="8"/>
    </row>
    <row r="3145" spans="2:3" x14ac:dyDescent="0.25">
      <c r="B3145" s="1">
        <v>1</v>
      </c>
      <c r="C3145" s="8"/>
    </row>
    <row r="3146" spans="2:3" x14ac:dyDescent="0.25">
      <c r="B3146" s="1">
        <v>1</v>
      </c>
      <c r="C3146" s="8"/>
    </row>
    <row r="3147" spans="2:3" x14ac:dyDescent="0.25">
      <c r="B3147" s="1">
        <v>1</v>
      </c>
      <c r="C3147" s="8"/>
    </row>
    <row r="3148" spans="2:3" x14ac:dyDescent="0.25">
      <c r="B3148" s="1">
        <v>1</v>
      </c>
      <c r="C3148" s="8"/>
    </row>
    <row r="3149" spans="2:3" x14ac:dyDescent="0.25">
      <c r="B3149" s="1">
        <v>1</v>
      </c>
      <c r="C3149" s="8"/>
    </row>
    <row r="3150" spans="2:3" x14ac:dyDescent="0.25">
      <c r="B3150" s="1">
        <v>1</v>
      </c>
      <c r="C3150" s="8"/>
    </row>
    <row r="3151" spans="2:3" x14ac:dyDescent="0.25">
      <c r="B3151" s="1">
        <v>1</v>
      </c>
      <c r="C3151" s="8"/>
    </row>
    <row r="3152" spans="2:3" x14ac:dyDescent="0.25">
      <c r="B3152" s="1">
        <v>1</v>
      </c>
      <c r="C3152" s="8"/>
    </row>
    <row r="3153" spans="2:14" x14ac:dyDescent="0.25">
      <c r="B3153" s="1">
        <v>1</v>
      </c>
      <c r="C3153" s="8"/>
    </row>
    <row r="3154" spans="2:14" x14ac:dyDescent="0.25">
      <c r="B3154" s="1">
        <v>1</v>
      </c>
      <c r="C3154" s="8"/>
    </row>
    <row r="3155" spans="2:14" x14ac:dyDescent="0.25">
      <c r="B3155" s="1">
        <v>1</v>
      </c>
      <c r="C3155" s="8"/>
    </row>
    <row r="3156" spans="2:14" x14ac:dyDescent="0.25">
      <c r="B3156" s="1">
        <v>1</v>
      </c>
      <c r="C3156" s="8"/>
    </row>
    <row r="3157" spans="2:14" x14ac:dyDescent="0.25">
      <c r="B3157" s="1">
        <v>1</v>
      </c>
      <c r="C3157" s="8"/>
    </row>
    <row r="3158" spans="2:14" x14ac:dyDescent="0.25">
      <c r="B3158" s="1">
        <v>1</v>
      </c>
      <c r="C3158" s="8"/>
    </row>
    <row r="3159" spans="2:14" x14ac:dyDescent="0.25">
      <c r="B3159" s="1">
        <v>1</v>
      </c>
      <c r="C3159" s="8"/>
    </row>
    <row r="3160" spans="2:14" x14ac:dyDescent="0.25">
      <c r="B3160" s="1">
        <v>1</v>
      </c>
      <c r="C3160" s="8"/>
    </row>
    <row r="3161" spans="2:14" x14ac:dyDescent="0.25">
      <c r="B3161" s="1">
        <v>1</v>
      </c>
      <c r="C3161" s="8"/>
    </row>
    <row r="3162" spans="2:14" x14ac:dyDescent="0.25">
      <c r="B3162" s="1">
        <v>1</v>
      </c>
      <c r="C3162" s="8"/>
      <c r="N3162" s="34"/>
    </row>
    <row r="3163" spans="2:14" x14ac:dyDescent="0.25">
      <c r="B3163" s="1">
        <v>1</v>
      </c>
      <c r="C3163" s="8"/>
      <c r="N3163" s="46"/>
    </row>
    <row r="3164" spans="2:14" x14ac:dyDescent="0.25">
      <c r="B3164" s="1">
        <v>1</v>
      </c>
      <c r="C3164" s="8"/>
    </row>
    <row r="3165" spans="2:14" x14ac:dyDescent="0.25">
      <c r="B3165" s="1">
        <v>1</v>
      </c>
      <c r="C3165" s="8"/>
    </row>
    <row r="3166" spans="2:14" x14ac:dyDescent="0.25">
      <c r="B3166" s="1">
        <v>1</v>
      </c>
      <c r="C3166" s="8"/>
    </row>
    <row r="3167" spans="2:14" x14ac:dyDescent="0.25">
      <c r="B3167" s="1">
        <v>1</v>
      </c>
      <c r="C3167" s="8"/>
    </row>
    <row r="3168" spans="2:14" x14ac:dyDescent="0.25">
      <c r="B3168" s="1">
        <v>1</v>
      </c>
      <c r="C3168" s="8"/>
    </row>
    <row r="3169" spans="2:3" x14ac:dyDescent="0.25">
      <c r="B3169" s="1">
        <v>1</v>
      </c>
      <c r="C3169" s="8"/>
    </row>
    <row r="3170" spans="2:3" x14ac:dyDescent="0.25">
      <c r="B3170" s="1">
        <v>1</v>
      </c>
      <c r="C3170" s="8"/>
    </row>
    <row r="3171" spans="2:3" x14ac:dyDescent="0.25">
      <c r="B3171" s="1">
        <v>1</v>
      </c>
      <c r="C3171" s="8"/>
    </row>
    <row r="3172" spans="2:3" x14ac:dyDescent="0.25">
      <c r="B3172" s="1">
        <v>1</v>
      </c>
      <c r="C3172" s="8"/>
    </row>
    <row r="3173" spans="2:3" x14ac:dyDescent="0.25">
      <c r="B3173" s="1">
        <v>1</v>
      </c>
      <c r="C3173" s="8"/>
    </row>
    <row r="3174" spans="2:3" x14ac:dyDescent="0.25">
      <c r="B3174" s="1">
        <v>1</v>
      </c>
      <c r="C3174" s="8"/>
    </row>
    <row r="3175" spans="2:3" x14ac:dyDescent="0.25">
      <c r="B3175" s="1">
        <v>1</v>
      </c>
      <c r="C3175" s="8"/>
    </row>
    <row r="3176" spans="2:3" x14ac:dyDescent="0.25">
      <c r="B3176" s="1">
        <v>1</v>
      </c>
      <c r="C3176" s="8"/>
    </row>
    <row r="3177" spans="2:3" x14ac:dyDescent="0.25">
      <c r="B3177" s="1">
        <v>1</v>
      </c>
      <c r="C3177" s="8"/>
    </row>
    <row r="3178" spans="2:3" x14ac:dyDescent="0.25">
      <c r="B3178" s="1">
        <v>1</v>
      </c>
      <c r="C3178" s="8"/>
    </row>
    <row r="3179" spans="2:3" x14ac:dyDescent="0.25">
      <c r="B3179" s="1">
        <v>1</v>
      </c>
      <c r="C3179" s="8"/>
    </row>
    <row r="3180" spans="2:3" x14ac:dyDescent="0.25">
      <c r="B3180" s="1">
        <v>1</v>
      </c>
      <c r="C3180" s="8"/>
    </row>
    <row r="3181" spans="2:3" x14ac:dyDescent="0.25">
      <c r="B3181" s="1">
        <v>1</v>
      </c>
      <c r="C3181" s="8"/>
    </row>
    <row r="3182" spans="2:3" x14ac:dyDescent="0.25">
      <c r="B3182" s="1">
        <v>1</v>
      </c>
      <c r="C3182" s="8"/>
    </row>
    <row r="3183" spans="2:3" x14ac:dyDescent="0.25">
      <c r="B3183" s="1">
        <v>1</v>
      </c>
      <c r="C3183" s="8"/>
    </row>
    <row r="3184" spans="2:3" x14ac:dyDescent="0.25">
      <c r="B3184" s="1">
        <v>1</v>
      </c>
      <c r="C3184" s="8"/>
    </row>
    <row r="3185" spans="2:3" x14ac:dyDescent="0.25">
      <c r="B3185" s="1">
        <v>1</v>
      </c>
      <c r="C3185" s="8"/>
    </row>
    <row r="3186" spans="2:3" x14ac:dyDescent="0.25">
      <c r="B3186" s="1">
        <v>1</v>
      </c>
      <c r="C3186" s="8"/>
    </row>
    <row r="3187" spans="2:3" x14ac:dyDescent="0.25">
      <c r="B3187" s="1">
        <v>1</v>
      </c>
      <c r="C3187" s="8"/>
    </row>
    <row r="3188" spans="2:3" x14ac:dyDescent="0.25">
      <c r="B3188" s="1">
        <v>1</v>
      </c>
      <c r="C3188" s="8"/>
    </row>
    <row r="3189" spans="2:3" x14ac:dyDescent="0.25">
      <c r="B3189" s="1">
        <v>1</v>
      </c>
      <c r="C3189" s="8"/>
    </row>
    <row r="3190" spans="2:3" x14ac:dyDescent="0.25">
      <c r="B3190" s="1">
        <v>1</v>
      </c>
      <c r="C3190" s="8"/>
    </row>
    <row r="3191" spans="2:3" x14ac:dyDescent="0.25">
      <c r="B3191" s="1">
        <v>1</v>
      </c>
      <c r="C3191" s="8"/>
    </row>
    <row r="3192" spans="2:3" x14ac:dyDescent="0.25">
      <c r="B3192" s="1">
        <v>1</v>
      </c>
      <c r="C3192" s="8"/>
    </row>
    <row r="3193" spans="2:3" x14ac:dyDescent="0.25">
      <c r="B3193" s="1">
        <v>1</v>
      </c>
      <c r="C3193" s="8"/>
    </row>
    <row r="3194" spans="2:3" x14ac:dyDescent="0.25">
      <c r="B3194" s="1">
        <v>1</v>
      </c>
      <c r="C3194" s="8"/>
    </row>
    <row r="3195" spans="2:3" x14ac:dyDescent="0.25">
      <c r="B3195" s="1">
        <v>1</v>
      </c>
      <c r="C3195" s="8"/>
    </row>
    <row r="3196" spans="2:3" x14ac:dyDescent="0.25">
      <c r="B3196" s="1">
        <v>1</v>
      </c>
      <c r="C3196" s="8"/>
    </row>
    <row r="3197" spans="2:3" x14ac:dyDescent="0.25">
      <c r="B3197" s="1">
        <v>1</v>
      </c>
      <c r="C3197" s="8"/>
    </row>
    <row r="3198" spans="2:3" x14ac:dyDescent="0.25">
      <c r="B3198" s="1">
        <v>1</v>
      </c>
      <c r="C3198" s="8"/>
    </row>
    <row r="3199" spans="2:3" x14ac:dyDescent="0.25">
      <c r="B3199" s="1">
        <v>1</v>
      </c>
      <c r="C3199" s="8"/>
    </row>
    <row r="3200" spans="2:3" x14ac:dyDescent="0.25">
      <c r="B3200" s="1">
        <v>1</v>
      </c>
      <c r="C3200" s="8"/>
    </row>
    <row r="3201" spans="2:3" x14ac:dyDescent="0.25">
      <c r="B3201" s="1">
        <v>1</v>
      </c>
      <c r="C3201" s="8"/>
    </row>
    <row r="3202" spans="2:3" x14ac:dyDescent="0.25">
      <c r="B3202" s="1">
        <v>1</v>
      </c>
      <c r="C3202" s="8"/>
    </row>
    <row r="3203" spans="2:3" x14ac:dyDescent="0.25">
      <c r="B3203" s="1">
        <v>1</v>
      </c>
      <c r="C3203" s="8"/>
    </row>
    <row r="3204" spans="2:3" x14ac:dyDescent="0.25">
      <c r="B3204" s="1">
        <v>1</v>
      </c>
      <c r="C3204" s="8"/>
    </row>
    <row r="3205" spans="2:3" x14ac:dyDescent="0.25">
      <c r="B3205" s="1">
        <v>1</v>
      </c>
      <c r="C3205" s="8"/>
    </row>
    <row r="3206" spans="2:3" x14ac:dyDescent="0.25">
      <c r="B3206" s="1">
        <v>1</v>
      </c>
      <c r="C3206" s="8"/>
    </row>
    <row r="3207" spans="2:3" x14ac:dyDescent="0.25">
      <c r="B3207" s="1">
        <v>1</v>
      </c>
      <c r="C3207" s="8"/>
    </row>
    <row r="3208" spans="2:3" x14ac:dyDescent="0.25">
      <c r="B3208" s="1">
        <v>1</v>
      </c>
      <c r="C3208" s="8"/>
    </row>
    <row r="3209" spans="2:3" x14ac:dyDescent="0.25">
      <c r="B3209" s="1">
        <v>1</v>
      </c>
      <c r="C3209" s="8"/>
    </row>
    <row r="3210" spans="2:3" x14ac:dyDescent="0.25">
      <c r="B3210" s="1">
        <v>1</v>
      </c>
      <c r="C3210" s="8"/>
    </row>
    <row r="3211" spans="2:3" x14ac:dyDescent="0.25">
      <c r="B3211" s="1">
        <v>1</v>
      </c>
      <c r="C3211" s="8"/>
    </row>
    <row r="3212" spans="2:3" x14ac:dyDescent="0.25">
      <c r="B3212" s="1">
        <v>1</v>
      </c>
      <c r="C3212" s="8"/>
    </row>
    <row r="3213" spans="2:3" x14ac:dyDescent="0.25">
      <c r="B3213" s="1">
        <v>1</v>
      </c>
      <c r="C3213" s="8"/>
    </row>
    <row r="3214" spans="2:3" x14ac:dyDescent="0.25">
      <c r="B3214" s="1">
        <v>1</v>
      </c>
      <c r="C3214" s="8"/>
    </row>
    <row r="3215" spans="2:3" x14ac:dyDescent="0.25">
      <c r="B3215" s="1">
        <v>1</v>
      </c>
      <c r="C3215" s="8"/>
    </row>
    <row r="3216" spans="2:3" x14ac:dyDescent="0.25">
      <c r="B3216" s="1">
        <v>1</v>
      </c>
      <c r="C3216" s="8"/>
    </row>
    <row r="3217" spans="2:3" x14ac:dyDescent="0.25">
      <c r="B3217" s="1">
        <v>1</v>
      </c>
      <c r="C3217" s="8"/>
    </row>
    <row r="3218" spans="2:3" x14ac:dyDescent="0.25">
      <c r="B3218" s="1">
        <v>1</v>
      </c>
      <c r="C3218" s="8"/>
    </row>
    <row r="3219" spans="2:3" x14ac:dyDescent="0.25">
      <c r="B3219" s="1">
        <v>1</v>
      </c>
      <c r="C3219" s="8"/>
    </row>
    <row r="3220" spans="2:3" x14ac:dyDescent="0.25">
      <c r="B3220" s="1">
        <v>1</v>
      </c>
      <c r="C3220" s="8"/>
    </row>
    <row r="3221" spans="2:3" x14ac:dyDescent="0.25">
      <c r="B3221" s="1">
        <v>1</v>
      </c>
      <c r="C3221" s="8"/>
    </row>
    <row r="3222" spans="2:3" x14ac:dyDescent="0.25">
      <c r="B3222" s="1">
        <v>1</v>
      </c>
      <c r="C3222" s="8"/>
    </row>
    <row r="3223" spans="2:3" x14ac:dyDescent="0.25">
      <c r="B3223" s="1">
        <v>1</v>
      </c>
      <c r="C3223" s="8"/>
    </row>
    <row r="3224" spans="2:3" x14ac:dyDescent="0.25">
      <c r="B3224" s="1">
        <v>1</v>
      </c>
      <c r="C3224" s="8"/>
    </row>
    <row r="3225" spans="2:3" x14ac:dyDescent="0.25">
      <c r="B3225" s="1">
        <v>1</v>
      </c>
      <c r="C3225" s="8"/>
    </row>
    <row r="3226" spans="2:3" x14ac:dyDescent="0.25">
      <c r="B3226" s="1">
        <v>1</v>
      </c>
      <c r="C3226" s="8"/>
    </row>
    <row r="3227" spans="2:3" x14ac:dyDescent="0.25">
      <c r="B3227" s="1">
        <v>1</v>
      </c>
      <c r="C3227" s="8"/>
    </row>
    <row r="3228" spans="2:3" x14ac:dyDescent="0.25">
      <c r="B3228" s="1">
        <v>1</v>
      </c>
      <c r="C3228" s="8"/>
    </row>
    <row r="3229" spans="2:3" x14ac:dyDescent="0.25">
      <c r="B3229" s="1">
        <v>1</v>
      </c>
      <c r="C3229" s="8"/>
    </row>
    <row r="3230" spans="2:3" x14ac:dyDescent="0.25">
      <c r="B3230" s="1">
        <v>1</v>
      </c>
      <c r="C3230" s="8"/>
    </row>
    <row r="3231" spans="2:3" x14ac:dyDescent="0.25">
      <c r="B3231" s="1">
        <v>1</v>
      </c>
      <c r="C3231" s="8"/>
    </row>
    <row r="3232" spans="2:3" x14ac:dyDescent="0.25">
      <c r="B3232" s="1">
        <v>1</v>
      </c>
      <c r="C3232" s="8"/>
    </row>
    <row r="3233" spans="2:24" x14ac:dyDescent="0.25">
      <c r="B3233" s="1">
        <v>1</v>
      </c>
      <c r="C3233" s="8"/>
    </row>
    <row r="3234" spans="2:24" x14ac:dyDescent="0.25">
      <c r="B3234" s="1">
        <v>1</v>
      </c>
      <c r="C3234" s="8"/>
    </row>
    <row r="3235" spans="2:24" x14ac:dyDescent="0.25">
      <c r="B3235" s="1">
        <v>1</v>
      </c>
      <c r="C3235" s="8"/>
    </row>
    <row r="3236" spans="2:24" x14ac:dyDescent="0.25">
      <c r="B3236" s="1">
        <v>1</v>
      </c>
      <c r="C3236" s="8"/>
    </row>
    <row r="3237" spans="2:24" x14ac:dyDescent="0.25">
      <c r="B3237" s="1">
        <v>1</v>
      </c>
      <c r="C3237" s="8"/>
    </row>
    <row r="3238" spans="2:24" x14ac:dyDescent="0.25">
      <c r="B3238" s="1">
        <v>1</v>
      </c>
      <c r="C3238" s="8"/>
    </row>
    <row r="3239" spans="2:24" x14ac:dyDescent="0.25">
      <c r="B3239" s="1">
        <v>1</v>
      </c>
      <c r="C3239" s="8"/>
    </row>
    <row r="3240" spans="2:24" x14ac:dyDescent="0.25">
      <c r="B3240" s="1">
        <v>1</v>
      </c>
      <c r="C3240" s="8"/>
    </row>
    <row r="3241" spans="2:24" x14ac:dyDescent="0.25">
      <c r="B3241" s="1">
        <v>1</v>
      </c>
      <c r="C3241" s="8"/>
    </row>
    <row r="3242" spans="2:24" x14ac:dyDescent="0.25">
      <c r="B3242" s="1">
        <v>1</v>
      </c>
      <c r="C3242" s="8"/>
    </row>
    <row r="3243" spans="2:24" x14ac:dyDescent="0.25">
      <c r="B3243" s="1">
        <v>1</v>
      </c>
      <c r="C3243" s="8"/>
    </row>
    <row r="3244" spans="2:24" x14ac:dyDescent="0.25">
      <c r="B3244" s="1">
        <v>1</v>
      </c>
      <c r="C3244" s="8"/>
    </row>
    <row r="3245" spans="2:24" x14ac:dyDescent="0.25">
      <c r="B3245" s="1">
        <v>1</v>
      </c>
      <c r="C3245" s="8"/>
    </row>
    <row r="3246" spans="2:24" x14ac:dyDescent="0.25">
      <c r="B3246" s="1">
        <v>1</v>
      </c>
      <c r="C3246" s="8"/>
      <c r="X3246" s="47"/>
    </row>
    <row r="3247" spans="2:24" x14ac:dyDescent="0.25">
      <c r="B3247" s="1">
        <v>1</v>
      </c>
      <c r="C3247" s="8"/>
    </row>
    <row r="3248" spans="2:24" x14ac:dyDescent="0.25">
      <c r="B3248" s="1">
        <v>1</v>
      </c>
      <c r="C3248" s="8"/>
    </row>
    <row r="3249" spans="2:3" x14ac:dyDescent="0.25">
      <c r="B3249" s="1">
        <v>1</v>
      </c>
      <c r="C3249" s="8"/>
    </row>
    <row r="3250" spans="2:3" x14ac:dyDescent="0.25">
      <c r="B3250" s="1">
        <v>1</v>
      </c>
      <c r="C3250" s="8"/>
    </row>
    <row r="3251" spans="2:3" x14ac:dyDescent="0.25">
      <c r="B3251" s="1">
        <v>1</v>
      </c>
      <c r="C3251" s="8"/>
    </row>
    <row r="3252" spans="2:3" x14ac:dyDescent="0.25">
      <c r="B3252" s="1">
        <v>1</v>
      </c>
      <c r="C3252" s="8"/>
    </row>
    <row r="3253" spans="2:3" x14ac:dyDescent="0.25">
      <c r="B3253" s="1">
        <v>1</v>
      </c>
      <c r="C3253" s="8"/>
    </row>
    <row r="3254" spans="2:3" x14ac:dyDescent="0.25">
      <c r="B3254" s="1">
        <v>1</v>
      </c>
      <c r="C3254" s="8"/>
    </row>
    <row r="3255" spans="2:3" x14ac:dyDescent="0.25">
      <c r="B3255" s="1">
        <v>1</v>
      </c>
      <c r="C3255" s="8"/>
    </row>
    <row r="3256" spans="2:3" x14ac:dyDescent="0.25">
      <c r="B3256" s="1">
        <v>1</v>
      </c>
      <c r="C3256" s="8"/>
    </row>
    <row r="3257" spans="2:3" x14ac:dyDescent="0.25">
      <c r="B3257" s="1">
        <v>1</v>
      </c>
      <c r="C3257" s="8"/>
    </row>
    <row r="3258" spans="2:3" x14ac:dyDescent="0.25">
      <c r="B3258" s="1">
        <v>1</v>
      </c>
      <c r="C3258" s="8"/>
    </row>
    <row r="3259" spans="2:3" x14ac:dyDescent="0.25">
      <c r="B3259" s="1">
        <v>1</v>
      </c>
      <c r="C3259" s="8"/>
    </row>
    <row r="3260" spans="2:3" x14ac:dyDescent="0.25">
      <c r="B3260" s="1">
        <v>1</v>
      </c>
      <c r="C3260" s="8"/>
    </row>
    <row r="3261" spans="2:3" x14ac:dyDescent="0.25">
      <c r="B3261" s="1">
        <v>1</v>
      </c>
      <c r="C3261" s="8"/>
    </row>
    <row r="3262" spans="2:3" x14ac:dyDescent="0.25">
      <c r="B3262" s="1">
        <v>1</v>
      </c>
      <c r="C3262" s="8"/>
    </row>
    <row r="3263" spans="2:3" x14ac:dyDescent="0.25">
      <c r="B3263" s="1">
        <v>1</v>
      </c>
      <c r="C3263" s="8"/>
    </row>
    <row r="3264" spans="2:3" x14ac:dyDescent="0.25">
      <c r="B3264" s="1">
        <v>1</v>
      </c>
      <c r="C3264" s="8"/>
    </row>
    <row r="3265" spans="2:3" x14ac:dyDescent="0.25">
      <c r="B3265" s="1">
        <v>1</v>
      </c>
      <c r="C3265" s="8"/>
    </row>
    <row r="3266" spans="2:3" x14ac:dyDescent="0.25">
      <c r="B3266" s="1">
        <v>1</v>
      </c>
      <c r="C3266" s="8"/>
    </row>
    <row r="3267" spans="2:3" x14ac:dyDescent="0.25">
      <c r="B3267" s="1">
        <v>1</v>
      </c>
      <c r="C3267" s="8"/>
    </row>
    <row r="3268" spans="2:3" x14ac:dyDescent="0.25">
      <c r="B3268" s="1">
        <v>1</v>
      </c>
      <c r="C3268" s="8"/>
    </row>
    <row r="3269" spans="2:3" x14ac:dyDescent="0.25">
      <c r="B3269" s="1">
        <v>1</v>
      </c>
      <c r="C3269" s="8"/>
    </row>
    <row r="3270" spans="2:3" x14ac:dyDescent="0.25">
      <c r="B3270" s="1">
        <v>1</v>
      </c>
      <c r="C3270" s="8"/>
    </row>
    <row r="3271" spans="2:3" x14ac:dyDescent="0.25">
      <c r="B3271" s="1">
        <v>1</v>
      </c>
      <c r="C3271" s="8"/>
    </row>
    <row r="3272" spans="2:3" x14ac:dyDescent="0.25">
      <c r="B3272" s="1">
        <v>1</v>
      </c>
      <c r="C3272" s="8"/>
    </row>
    <row r="3273" spans="2:3" x14ac:dyDescent="0.25">
      <c r="B3273" s="1">
        <v>1</v>
      </c>
      <c r="C3273" s="8"/>
    </row>
    <row r="3274" spans="2:3" x14ac:dyDescent="0.25">
      <c r="B3274" s="1">
        <v>1</v>
      </c>
      <c r="C3274" s="8"/>
    </row>
    <row r="3275" spans="2:3" x14ac:dyDescent="0.25">
      <c r="B3275" s="1">
        <v>1</v>
      </c>
      <c r="C3275" s="8"/>
    </row>
    <row r="3276" spans="2:3" x14ac:dyDescent="0.25">
      <c r="B3276" s="1">
        <v>1</v>
      </c>
      <c r="C3276" s="8"/>
    </row>
    <row r="3277" spans="2:3" x14ac:dyDescent="0.25">
      <c r="B3277" s="1">
        <v>1</v>
      </c>
      <c r="C3277" s="8"/>
    </row>
    <row r="3278" spans="2:3" x14ac:dyDescent="0.25">
      <c r="B3278" s="1">
        <v>1</v>
      </c>
      <c r="C3278" s="8"/>
    </row>
    <row r="3279" spans="2:3" x14ac:dyDescent="0.25">
      <c r="B3279" s="1">
        <v>1</v>
      </c>
      <c r="C3279" s="8"/>
    </row>
    <row r="3280" spans="2:3" x14ac:dyDescent="0.25">
      <c r="B3280" s="1">
        <v>1</v>
      </c>
      <c r="C3280" s="8"/>
    </row>
    <row r="3281" spans="2:3" x14ac:dyDescent="0.25">
      <c r="B3281" s="1">
        <v>1</v>
      </c>
      <c r="C3281" s="8"/>
    </row>
    <row r="3282" spans="2:3" x14ac:dyDescent="0.25">
      <c r="B3282" s="1">
        <v>1</v>
      </c>
      <c r="C3282" s="8"/>
    </row>
    <row r="3283" spans="2:3" x14ac:dyDescent="0.25">
      <c r="B3283" s="1">
        <v>1</v>
      </c>
      <c r="C3283" s="8"/>
    </row>
    <row r="3284" spans="2:3" x14ac:dyDescent="0.25">
      <c r="B3284" s="1">
        <v>1</v>
      </c>
      <c r="C3284" s="8"/>
    </row>
    <row r="3285" spans="2:3" x14ac:dyDescent="0.25">
      <c r="B3285" s="1">
        <v>1</v>
      </c>
      <c r="C3285" s="8"/>
    </row>
    <row r="3286" spans="2:3" x14ac:dyDescent="0.25">
      <c r="B3286" s="1">
        <v>1</v>
      </c>
      <c r="C3286" s="8"/>
    </row>
    <row r="3287" spans="2:3" x14ac:dyDescent="0.25">
      <c r="B3287" s="1">
        <v>1</v>
      </c>
      <c r="C3287" s="8"/>
    </row>
    <row r="3288" spans="2:3" x14ac:dyDescent="0.25">
      <c r="B3288" s="1">
        <v>1</v>
      </c>
      <c r="C3288" s="8"/>
    </row>
    <row r="3289" spans="2:3" x14ac:dyDescent="0.25">
      <c r="B3289" s="1">
        <v>1</v>
      </c>
      <c r="C3289" s="8"/>
    </row>
    <row r="3290" spans="2:3" x14ac:dyDescent="0.25">
      <c r="B3290" s="1">
        <v>1</v>
      </c>
      <c r="C3290" s="8"/>
    </row>
    <row r="3291" spans="2:3" x14ac:dyDescent="0.25">
      <c r="B3291" s="1">
        <v>1</v>
      </c>
      <c r="C3291" s="8"/>
    </row>
    <row r="3292" spans="2:3" x14ac:dyDescent="0.25">
      <c r="B3292" s="1">
        <v>1</v>
      </c>
      <c r="C3292" s="8"/>
    </row>
    <row r="3293" spans="2:3" x14ac:dyDescent="0.25">
      <c r="B3293" s="1">
        <v>1</v>
      </c>
      <c r="C3293" s="8"/>
    </row>
    <row r="3294" spans="2:3" x14ac:dyDescent="0.25">
      <c r="B3294" s="1">
        <v>1</v>
      </c>
      <c r="C3294" s="8"/>
    </row>
    <row r="3295" spans="2:3" x14ac:dyDescent="0.25">
      <c r="B3295" s="1">
        <v>1</v>
      </c>
      <c r="C3295" s="8"/>
    </row>
    <row r="3296" spans="2:3" x14ac:dyDescent="0.25">
      <c r="B3296" s="1">
        <v>1</v>
      </c>
      <c r="C3296" s="8"/>
    </row>
    <row r="3297" spans="2:3" x14ac:dyDescent="0.25">
      <c r="B3297" s="1">
        <v>1</v>
      </c>
      <c r="C3297" s="8"/>
    </row>
    <row r="3298" spans="2:3" x14ac:dyDescent="0.25">
      <c r="B3298" s="1">
        <v>1</v>
      </c>
      <c r="C3298" s="8"/>
    </row>
    <row r="3299" spans="2:3" x14ac:dyDescent="0.25">
      <c r="B3299" s="1">
        <v>1</v>
      </c>
      <c r="C3299" s="8"/>
    </row>
    <row r="3300" spans="2:3" x14ac:dyDescent="0.25">
      <c r="B3300" s="1">
        <v>1</v>
      </c>
      <c r="C3300" s="8"/>
    </row>
    <row r="3301" spans="2:3" x14ac:dyDescent="0.25">
      <c r="B3301" s="1">
        <v>1</v>
      </c>
      <c r="C3301" s="8"/>
    </row>
    <row r="3302" spans="2:3" x14ac:dyDescent="0.25">
      <c r="B3302" s="1">
        <v>1</v>
      </c>
      <c r="C3302" s="8"/>
    </row>
    <row r="3303" spans="2:3" x14ac:dyDescent="0.25">
      <c r="B3303" s="1">
        <v>1</v>
      </c>
      <c r="C3303" s="8"/>
    </row>
    <row r="3304" spans="2:3" x14ac:dyDescent="0.25">
      <c r="B3304" s="1">
        <v>1</v>
      </c>
      <c r="C3304" s="8"/>
    </row>
    <row r="3305" spans="2:3" x14ac:dyDescent="0.25">
      <c r="B3305" s="1">
        <v>1</v>
      </c>
      <c r="C3305" s="8"/>
    </row>
    <row r="3306" spans="2:3" x14ac:dyDescent="0.25">
      <c r="B3306" s="1">
        <v>1</v>
      </c>
      <c r="C3306" s="8"/>
    </row>
    <row r="3307" spans="2:3" x14ac:dyDescent="0.25">
      <c r="B3307" s="1">
        <v>1</v>
      </c>
      <c r="C3307" s="8"/>
    </row>
    <row r="3308" spans="2:3" x14ac:dyDescent="0.25">
      <c r="B3308" s="1">
        <v>1</v>
      </c>
      <c r="C3308" s="8"/>
    </row>
    <row r="3309" spans="2:3" x14ac:dyDescent="0.25">
      <c r="B3309" s="1">
        <v>1</v>
      </c>
      <c r="C3309" s="8"/>
    </row>
    <row r="3310" spans="2:3" x14ac:dyDescent="0.25">
      <c r="B3310" s="1">
        <v>1</v>
      </c>
      <c r="C3310" s="8"/>
    </row>
    <row r="3311" spans="2:3" x14ac:dyDescent="0.25">
      <c r="B3311" s="1">
        <v>1</v>
      </c>
      <c r="C3311" s="8"/>
    </row>
    <row r="3312" spans="2:3" x14ac:dyDescent="0.25">
      <c r="B3312" s="1">
        <v>1</v>
      </c>
      <c r="C3312" s="8"/>
    </row>
    <row r="3313" spans="2:3" x14ac:dyDescent="0.25">
      <c r="B3313" s="1">
        <v>1</v>
      </c>
      <c r="C3313" s="8"/>
    </row>
    <row r="3314" spans="2:3" x14ac:dyDescent="0.25">
      <c r="B3314" s="1">
        <v>1</v>
      </c>
      <c r="C3314" s="8"/>
    </row>
    <row r="3315" spans="2:3" x14ac:dyDescent="0.25">
      <c r="B3315" s="1">
        <v>1</v>
      </c>
      <c r="C3315" s="8"/>
    </row>
    <row r="3316" spans="2:3" x14ac:dyDescent="0.25">
      <c r="B3316" s="1">
        <v>1</v>
      </c>
      <c r="C3316" s="8"/>
    </row>
    <row r="3317" spans="2:3" x14ac:dyDescent="0.25">
      <c r="B3317" s="1">
        <v>1</v>
      </c>
      <c r="C3317" s="8"/>
    </row>
    <row r="3318" spans="2:3" x14ac:dyDescent="0.25">
      <c r="B3318" s="1">
        <v>1</v>
      </c>
      <c r="C3318" s="8"/>
    </row>
    <row r="3319" spans="2:3" x14ac:dyDescent="0.25">
      <c r="B3319" s="1">
        <v>1</v>
      </c>
      <c r="C3319" s="8"/>
    </row>
    <row r="3320" spans="2:3" x14ac:dyDescent="0.25">
      <c r="B3320" s="1">
        <v>1</v>
      </c>
      <c r="C3320" s="8"/>
    </row>
    <row r="3321" spans="2:3" x14ac:dyDescent="0.25">
      <c r="B3321" s="1">
        <v>1</v>
      </c>
      <c r="C3321" s="8"/>
    </row>
    <row r="3322" spans="2:3" x14ac:dyDescent="0.25">
      <c r="B3322" s="1">
        <v>1</v>
      </c>
      <c r="C3322" s="8"/>
    </row>
    <row r="3323" spans="2:3" x14ac:dyDescent="0.25">
      <c r="B3323" s="1">
        <v>1</v>
      </c>
      <c r="C3323" s="8"/>
    </row>
    <row r="3324" spans="2:3" x14ac:dyDescent="0.25">
      <c r="B3324" s="1">
        <v>1</v>
      </c>
      <c r="C3324" s="8"/>
    </row>
    <row r="3325" spans="2:3" x14ac:dyDescent="0.25">
      <c r="B3325" s="1">
        <v>1</v>
      </c>
      <c r="C3325" s="8"/>
    </row>
    <row r="3326" spans="2:3" x14ac:dyDescent="0.25">
      <c r="B3326" s="1">
        <v>1</v>
      </c>
      <c r="C3326" s="8"/>
    </row>
    <row r="3327" spans="2:3" x14ac:dyDescent="0.25">
      <c r="B3327" s="1">
        <v>1</v>
      </c>
      <c r="C3327" s="8"/>
    </row>
    <row r="3328" spans="2:3" x14ac:dyDescent="0.25">
      <c r="B3328" s="1">
        <v>1</v>
      </c>
      <c r="C3328" s="8"/>
    </row>
    <row r="3329" spans="2:3" x14ac:dyDescent="0.25">
      <c r="B3329" s="1">
        <v>1</v>
      </c>
      <c r="C3329" s="8"/>
    </row>
    <row r="3330" spans="2:3" x14ac:dyDescent="0.25">
      <c r="B3330" s="1">
        <v>1</v>
      </c>
      <c r="C3330" s="8"/>
    </row>
    <row r="3331" spans="2:3" x14ac:dyDescent="0.25">
      <c r="B3331" s="1">
        <v>1</v>
      </c>
      <c r="C3331" s="8"/>
    </row>
    <row r="3332" spans="2:3" x14ac:dyDescent="0.25">
      <c r="B3332" s="1">
        <v>1</v>
      </c>
      <c r="C3332" s="8"/>
    </row>
    <row r="3333" spans="2:3" x14ac:dyDescent="0.25">
      <c r="B3333" s="1">
        <v>1</v>
      </c>
      <c r="C3333" s="8"/>
    </row>
    <row r="3334" spans="2:3" x14ac:dyDescent="0.25">
      <c r="B3334" s="1">
        <v>1</v>
      </c>
      <c r="C3334" s="8"/>
    </row>
    <row r="3335" spans="2:3" x14ac:dyDescent="0.25">
      <c r="B3335" s="1">
        <v>1</v>
      </c>
      <c r="C3335" s="8"/>
    </row>
    <row r="3336" spans="2:3" x14ac:dyDescent="0.25">
      <c r="B3336" s="1">
        <v>1</v>
      </c>
      <c r="C3336" s="8"/>
    </row>
    <row r="3337" spans="2:3" x14ac:dyDescent="0.25">
      <c r="B3337" s="1">
        <v>1</v>
      </c>
      <c r="C3337" s="8"/>
    </row>
    <row r="3338" spans="2:3" x14ac:dyDescent="0.25">
      <c r="B3338" s="1">
        <v>1</v>
      </c>
      <c r="C3338" s="8"/>
    </row>
    <row r="3339" spans="2:3" x14ac:dyDescent="0.25">
      <c r="B3339" s="1">
        <v>1</v>
      </c>
      <c r="C3339" s="8"/>
    </row>
    <row r="3340" spans="2:3" x14ac:dyDescent="0.25">
      <c r="B3340" s="1">
        <v>1</v>
      </c>
      <c r="C3340" s="8"/>
    </row>
    <row r="3341" spans="2:3" x14ac:dyDescent="0.25">
      <c r="B3341" s="1">
        <v>1</v>
      </c>
      <c r="C3341" s="8"/>
    </row>
    <row r="3342" spans="2:3" x14ac:dyDescent="0.25">
      <c r="B3342" s="1">
        <v>1</v>
      </c>
      <c r="C3342" s="8"/>
    </row>
    <row r="3343" spans="2:3" x14ac:dyDescent="0.25">
      <c r="B3343" s="1">
        <v>1</v>
      </c>
      <c r="C3343" s="8"/>
    </row>
    <row r="3344" spans="2:3" x14ac:dyDescent="0.25">
      <c r="B3344" s="1">
        <v>1</v>
      </c>
      <c r="C3344" s="8"/>
    </row>
    <row r="3345" spans="2:3" x14ac:dyDescent="0.25">
      <c r="B3345" s="1">
        <v>1</v>
      </c>
      <c r="C3345" s="8"/>
    </row>
    <row r="3346" spans="2:3" x14ac:dyDescent="0.25">
      <c r="B3346" s="1">
        <v>1</v>
      </c>
      <c r="C3346" s="8"/>
    </row>
    <row r="3347" spans="2:3" x14ac:dyDescent="0.25">
      <c r="B3347" s="1">
        <v>1</v>
      </c>
      <c r="C3347" s="8"/>
    </row>
    <row r="3348" spans="2:3" x14ac:dyDescent="0.25">
      <c r="B3348" s="1">
        <v>1</v>
      </c>
      <c r="C3348" s="8"/>
    </row>
    <row r="3349" spans="2:3" x14ac:dyDescent="0.25">
      <c r="B3349" s="1">
        <v>1</v>
      </c>
      <c r="C3349" s="8"/>
    </row>
    <row r="3350" spans="2:3" x14ac:dyDescent="0.25">
      <c r="B3350" s="1">
        <v>1</v>
      </c>
      <c r="C3350" s="8"/>
    </row>
    <row r="3351" spans="2:3" x14ac:dyDescent="0.25">
      <c r="B3351" s="1">
        <v>1</v>
      </c>
      <c r="C3351" s="8"/>
    </row>
    <row r="3352" spans="2:3" x14ac:dyDescent="0.25">
      <c r="B3352" s="1">
        <v>1</v>
      </c>
      <c r="C3352" s="8"/>
    </row>
    <row r="3353" spans="2:3" x14ac:dyDescent="0.25">
      <c r="B3353" s="1">
        <v>1</v>
      </c>
      <c r="C3353" s="8"/>
    </row>
    <row r="3354" spans="2:3" x14ac:dyDescent="0.25">
      <c r="B3354" s="1">
        <v>1</v>
      </c>
      <c r="C3354" s="8"/>
    </row>
    <row r="3355" spans="2:3" x14ac:dyDescent="0.25">
      <c r="B3355" s="1">
        <v>1</v>
      </c>
      <c r="C3355" s="8"/>
    </row>
    <row r="3356" spans="2:3" x14ac:dyDescent="0.25">
      <c r="B3356" s="1">
        <v>1</v>
      </c>
      <c r="C3356" s="8"/>
    </row>
    <row r="3357" spans="2:3" x14ac:dyDescent="0.25">
      <c r="B3357" s="1">
        <v>1</v>
      </c>
      <c r="C3357" s="8"/>
    </row>
    <row r="3358" spans="2:3" x14ac:dyDescent="0.25">
      <c r="B3358" s="1">
        <v>1</v>
      </c>
      <c r="C3358" s="8"/>
    </row>
    <row r="3359" spans="2:3" x14ac:dyDescent="0.25">
      <c r="B3359" s="1">
        <v>1</v>
      </c>
      <c r="C3359" s="8"/>
    </row>
    <row r="3360" spans="2:3" x14ac:dyDescent="0.25">
      <c r="B3360" s="1">
        <v>1</v>
      </c>
      <c r="C3360" s="8"/>
    </row>
    <row r="3361" spans="2:7" x14ac:dyDescent="0.25">
      <c r="B3361" s="1">
        <v>1</v>
      </c>
      <c r="C3361" s="8"/>
    </row>
    <row r="3362" spans="2:7" x14ac:dyDescent="0.25">
      <c r="B3362" s="1">
        <v>1</v>
      </c>
      <c r="C3362" s="8"/>
    </row>
    <row r="3363" spans="2:7" x14ac:dyDescent="0.25">
      <c r="B3363" s="1">
        <v>1</v>
      </c>
      <c r="C3363" s="8"/>
    </row>
    <row r="3364" spans="2:7" x14ac:dyDescent="0.25">
      <c r="B3364" s="1">
        <v>1</v>
      </c>
      <c r="C3364" s="8"/>
    </row>
    <row r="3365" spans="2:7" x14ac:dyDescent="0.25">
      <c r="B3365" s="1">
        <v>1</v>
      </c>
      <c r="C3365" s="8"/>
    </row>
    <row r="3366" spans="2:7" x14ac:dyDescent="0.25">
      <c r="B3366" s="1">
        <v>1</v>
      </c>
      <c r="C3366" s="8"/>
    </row>
    <row r="3367" spans="2:7" x14ac:dyDescent="0.25">
      <c r="B3367" s="1">
        <v>1</v>
      </c>
      <c r="C3367" s="8"/>
      <c r="G3367" s="11"/>
    </row>
    <row r="3368" spans="2:7" x14ac:dyDescent="0.25">
      <c r="B3368" s="1">
        <v>1</v>
      </c>
      <c r="C3368" s="8"/>
    </row>
    <row r="3369" spans="2:7" x14ac:dyDescent="0.25">
      <c r="B3369" s="1">
        <v>1</v>
      </c>
      <c r="C3369" s="8"/>
    </row>
    <row r="3370" spans="2:7" x14ac:dyDescent="0.25">
      <c r="B3370" s="1">
        <v>1</v>
      </c>
      <c r="C3370" s="8"/>
    </row>
    <row r="3371" spans="2:7" x14ac:dyDescent="0.25">
      <c r="B3371" s="1">
        <v>1</v>
      </c>
      <c r="C3371" s="8"/>
    </row>
    <row r="3372" spans="2:7" x14ac:dyDescent="0.25">
      <c r="B3372" s="1">
        <v>1</v>
      </c>
      <c r="C3372" s="8"/>
    </row>
    <row r="3373" spans="2:7" x14ac:dyDescent="0.25">
      <c r="B3373" s="1">
        <v>1</v>
      </c>
      <c r="C3373" s="8"/>
    </row>
    <row r="3374" spans="2:7" x14ac:dyDescent="0.25">
      <c r="B3374" s="1">
        <v>1</v>
      </c>
      <c r="C3374" s="8"/>
    </row>
    <row r="3375" spans="2:7" x14ac:dyDescent="0.25">
      <c r="B3375" s="1">
        <v>1</v>
      </c>
      <c r="C3375" s="8"/>
    </row>
    <row r="3376" spans="2:7" x14ac:dyDescent="0.25">
      <c r="B3376" s="1">
        <v>1</v>
      </c>
      <c r="C3376" s="8"/>
    </row>
    <row r="3377" spans="2:14" x14ac:dyDescent="0.25">
      <c r="B3377" s="1">
        <v>1</v>
      </c>
      <c r="C3377" s="8"/>
    </row>
    <row r="3378" spans="2:14" x14ac:dyDescent="0.25">
      <c r="B3378" s="1">
        <v>1</v>
      </c>
      <c r="C3378" s="8"/>
    </row>
    <row r="3379" spans="2:14" x14ac:dyDescent="0.25">
      <c r="B3379" s="1">
        <v>1</v>
      </c>
      <c r="C3379" s="8"/>
    </row>
    <row r="3380" spans="2:14" x14ac:dyDescent="0.25">
      <c r="B3380" s="1">
        <v>1</v>
      </c>
      <c r="C3380" s="8"/>
      <c r="J3380" s="24"/>
    </row>
    <row r="3381" spans="2:14" x14ac:dyDescent="0.25">
      <c r="B3381" s="1">
        <v>1</v>
      </c>
      <c r="C3381" s="8"/>
      <c r="J3381" s="28"/>
    </row>
    <row r="3382" spans="2:14" x14ac:dyDescent="0.25">
      <c r="B3382" s="1">
        <v>1</v>
      </c>
      <c r="C3382" s="8"/>
    </row>
    <row r="3383" spans="2:14" x14ac:dyDescent="0.25">
      <c r="B3383" s="1">
        <v>1</v>
      </c>
      <c r="C3383" s="8"/>
    </row>
    <row r="3384" spans="2:14" x14ac:dyDescent="0.25">
      <c r="B3384" s="1">
        <v>1</v>
      </c>
      <c r="C3384" s="8"/>
    </row>
    <row r="3385" spans="2:14" x14ac:dyDescent="0.25">
      <c r="B3385" s="1">
        <v>1</v>
      </c>
      <c r="C3385" s="8"/>
    </row>
    <row r="3386" spans="2:14" x14ac:dyDescent="0.25">
      <c r="B3386" s="1">
        <v>1</v>
      </c>
      <c r="C3386" s="8"/>
    </row>
    <row r="3387" spans="2:14" x14ac:dyDescent="0.25">
      <c r="B3387" s="1">
        <v>1</v>
      </c>
      <c r="C3387" s="8"/>
    </row>
    <row r="3388" spans="2:14" ht="20.25" customHeight="1" x14ac:dyDescent="0.25">
      <c r="B3388" s="1">
        <v>1</v>
      </c>
      <c r="C3388" s="8"/>
      <c r="D3388" s="26"/>
      <c r="E3388" s="25"/>
      <c r="G3388" s="27"/>
      <c r="H3388" s="25"/>
      <c r="I3388" s="57"/>
      <c r="J3388" s="28"/>
      <c r="N3388" s="25"/>
    </row>
    <row r="3389" spans="2:14" x14ac:dyDescent="0.25">
      <c r="B3389" s="1">
        <v>1</v>
      </c>
      <c r="C3389" s="8"/>
      <c r="D3389" s="30"/>
      <c r="E3389" s="31"/>
      <c r="G3389" s="29"/>
      <c r="H3389" s="31"/>
      <c r="I3389" s="58"/>
      <c r="J3389" s="32"/>
      <c r="N3389" s="31"/>
    </row>
    <row r="3390" spans="2:14" x14ac:dyDescent="0.25">
      <c r="B3390" s="1">
        <v>1</v>
      </c>
      <c r="C3390" s="8"/>
    </row>
    <row r="3391" spans="2:14" x14ac:dyDescent="0.25">
      <c r="B3391" s="1">
        <v>1</v>
      </c>
      <c r="C3391" s="8"/>
    </row>
    <row r="3392" spans="2:14" x14ac:dyDescent="0.25">
      <c r="B3392" s="1">
        <v>1</v>
      </c>
      <c r="C3392" s="8"/>
    </row>
    <row r="3393" spans="2:3" x14ac:dyDescent="0.25">
      <c r="B3393" s="1">
        <v>1</v>
      </c>
      <c r="C3393" s="8"/>
    </row>
    <row r="3394" spans="2:3" x14ac:dyDescent="0.25">
      <c r="B3394" s="1">
        <v>1</v>
      </c>
      <c r="C3394" s="8"/>
    </row>
    <row r="3395" spans="2:3" x14ac:dyDescent="0.25">
      <c r="B3395" s="1">
        <v>1</v>
      </c>
      <c r="C3395" s="8"/>
    </row>
    <row r="3396" spans="2:3" x14ac:dyDescent="0.25">
      <c r="B3396" s="1">
        <v>1</v>
      </c>
      <c r="C3396" s="8"/>
    </row>
    <row r="3397" spans="2:3" x14ac:dyDescent="0.25">
      <c r="B3397" s="1">
        <v>1</v>
      </c>
      <c r="C3397" s="8"/>
    </row>
    <row r="3398" spans="2:3" x14ac:dyDescent="0.25">
      <c r="B3398" s="1">
        <v>1</v>
      </c>
      <c r="C3398" s="8"/>
    </row>
    <row r="3399" spans="2:3" x14ac:dyDescent="0.25">
      <c r="B3399" s="1">
        <v>1</v>
      </c>
      <c r="C3399" s="8"/>
    </row>
    <row r="3400" spans="2:3" x14ac:dyDescent="0.25">
      <c r="B3400" s="1">
        <v>1</v>
      </c>
      <c r="C3400" s="8"/>
    </row>
    <row r="3401" spans="2:3" x14ac:dyDescent="0.25">
      <c r="B3401" s="1">
        <v>1</v>
      </c>
      <c r="C3401" s="8"/>
    </row>
    <row r="3402" spans="2:3" x14ac:dyDescent="0.25">
      <c r="B3402" s="1">
        <v>1</v>
      </c>
      <c r="C3402" s="8"/>
    </row>
    <row r="3403" spans="2:3" x14ac:dyDescent="0.25">
      <c r="B3403" s="1">
        <v>1</v>
      </c>
      <c r="C3403" s="8"/>
    </row>
    <row r="3404" spans="2:3" x14ac:dyDescent="0.25">
      <c r="B3404" s="1">
        <v>1</v>
      </c>
      <c r="C3404" s="8"/>
    </row>
    <row r="3405" spans="2:3" x14ac:dyDescent="0.25">
      <c r="B3405" s="1">
        <v>1</v>
      </c>
      <c r="C3405" s="8"/>
    </row>
    <row r="3406" spans="2:3" x14ac:dyDescent="0.25">
      <c r="B3406" s="1">
        <v>1</v>
      </c>
      <c r="C3406" s="8"/>
    </row>
    <row r="3407" spans="2:3" x14ac:dyDescent="0.25">
      <c r="B3407" s="1">
        <v>1</v>
      </c>
      <c r="C3407" s="8"/>
    </row>
    <row r="3408" spans="2:3" x14ac:dyDescent="0.25">
      <c r="B3408" s="1">
        <v>1</v>
      </c>
      <c r="C3408" s="8"/>
    </row>
    <row r="3409" spans="1:13" x14ac:dyDescent="0.25">
      <c r="B3409" s="1">
        <v>1</v>
      </c>
      <c r="C3409" s="8"/>
    </row>
    <row r="3410" spans="1:13" x14ac:dyDescent="0.25">
      <c r="B3410" s="1">
        <v>1</v>
      </c>
      <c r="C3410" s="8"/>
    </row>
    <row r="3411" spans="1:13" x14ac:dyDescent="0.25">
      <c r="B3411" s="1">
        <v>1</v>
      </c>
      <c r="C3411" s="8"/>
    </row>
    <row r="3412" spans="1:13" s="16" customFormat="1" x14ac:dyDescent="0.25">
      <c r="A3412" s="41"/>
      <c r="B3412" s="1">
        <v>1</v>
      </c>
      <c r="C3412" s="21"/>
      <c r="D3412" s="20"/>
      <c r="F3412" s="20"/>
      <c r="G3412" s="22"/>
      <c r="I3412" s="56"/>
      <c r="J3412" s="23"/>
      <c r="M3412" s="51"/>
    </row>
    <row r="3413" spans="1:13" x14ac:dyDescent="0.25">
      <c r="B3413" s="1">
        <v>1</v>
      </c>
      <c r="C3413" s="8"/>
    </row>
    <row r="3414" spans="1:13" x14ac:dyDescent="0.25">
      <c r="B3414" s="1">
        <v>1</v>
      </c>
      <c r="C3414" s="8"/>
    </row>
    <row r="3415" spans="1:13" x14ac:dyDescent="0.25">
      <c r="B3415" s="1">
        <v>1</v>
      </c>
      <c r="C3415" s="8"/>
    </row>
    <row r="3416" spans="1:13" x14ac:dyDescent="0.25">
      <c r="B3416" s="1">
        <v>1</v>
      </c>
      <c r="C3416" s="8"/>
    </row>
    <row r="3417" spans="1:13" x14ac:dyDescent="0.25">
      <c r="B3417" s="1">
        <v>1</v>
      </c>
      <c r="C3417" s="8"/>
    </row>
    <row r="3418" spans="1:13" x14ac:dyDescent="0.25">
      <c r="B3418" s="1">
        <v>1</v>
      </c>
      <c r="C3418" s="8"/>
      <c r="J3418" s="48"/>
    </row>
    <row r="3419" spans="1:13" x14ac:dyDescent="0.25">
      <c r="B3419" s="1">
        <v>1</v>
      </c>
      <c r="C3419" s="8"/>
    </row>
    <row r="3420" spans="1:13" x14ac:dyDescent="0.25">
      <c r="B3420" s="1">
        <v>1</v>
      </c>
      <c r="C3420" s="8"/>
    </row>
    <row r="3421" spans="1:13" x14ac:dyDescent="0.25">
      <c r="B3421" s="1">
        <v>1</v>
      </c>
      <c r="C3421" s="8"/>
    </row>
    <row r="3422" spans="1:13" x14ac:dyDescent="0.25">
      <c r="B3422" s="1">
        <v>1</v>
      </c>
      <c r="C3422" s="8"/>
    </row>
    <row r="3423" spans="1:13" x14ac:dyDescent="0.25">
      <c r="B3423" s="1">
        <v>1</v>
      </c>
      <c r="C3423" s="8"/>
    </row>
    <row r="3424" spans="1:13" x14ac:dyDescent="0.25">
      <c r="B3424" s="1">
        <v>1</v>
      </c>
      <c r="C3424" s="8"/>
    </row>
    <row r="3425" spans="2:8" x14ac:dyDescent="0.25">
      <c r="B3425" s="1">
        <v>1</v>
      </c>
      <c r="C3425" s="8"/>
    </row>
    <row r="3426" spans="2:8" x14ac:dyDescent="0.25">
      <c r="B3426" s="1">
        <v>1</v>
      </c>
      <c r="C3426" s="8"/>
    </row>
    <row r="3427" spans="2:8" x14ac:dyDescent="0.25">
      <c r="B3427" s="1">
        <v>1</v>
      </c>
      <c r="C3427" s="8"/>
    </row>
    <row r="3428" spans="2:8" x14ac:dyDescent="0.25">
      <c r="B3428" s="1">
        <v>1</v>
      </c>
      <c r="C3428" s="8"/>
    </row>
    <row r="3429" spans="2:8" x14ac:dyDescent="0.25">
      <c r="B3429" s="1">
        <v>1</v>
      </c>
      <c r="C3429" s="8"/>
      <c r="H3429" s="60"/>
    </row>
    <row r="3430" spans="2:8" x14ac:dyDescent="0.25">
      <c r="B3430" s="1">
        <v>1</v>
      </c>
      <c r="C3430" s="8"/>
    </row>
    <row r="3431" spans="2:8" x14ac:dyDescent="0.25">
      <c r="B3431" s="1">
        <v>1</v>
      </c>
      <c r="C3431" s="8"/>
    </row>
    <row r="3432" spans="2:8" x14ac:dyDescent="0.25">
      <c r="B3432" s="1">
        <v>1</v>
      </c>
      <c r="C3432" s="8"/>
    </row>
    <row r="3433" spans="2:8" x14ac:dyDescent="0.25">
      <c r="B3433" s="1">
        <v>1</v>
      </c>
      <c r="C3433" s="8"/>
    </row>
    <row r="3434" spans="2:8" x14ac:dyDescent="0.25">
      <c r="B3434" s="1">
        <v>1</v>
      </c>
      <c r="C3434" s="8"/>
    </row>
    <row r="3435" spans="2:8" x14ac:dyDescent="0.25">
      <c r="B3435" s="1">
        <v>1</v>
      </c>
      <c r="C3435" s="8"/>
    </row>
    <row r="3436" spans="2:8" x14ac:dyDescent="0.25">
      <c r="B3436" s="1">
        <v>1</v>
      </c>
      <c r="C3436" s="8"/>
    </row>
    <row r="3437" spans="2:8" x14ac:dyDescent="0.25">
      <c r="B3437" s="1">
        <v>1</v>
      </c>
      <c r="C3437" s="8"/>
    </row>
    <row r="3438" spans="2:8" x14ac:dyDescent="0.25">
      <c r="B3438" s="1">
        <v>1</v>
      </c>
      <c r="C3438" s="8"/>
    </row>
    <row r="3439" spans="2:8" x14ac:dyDescent="0.25">
      <c r="B3439" s="1">
        <v>1</v>
      </c>
      <c r="C3439" s="8"/>
    </row>
    <row r="3440" spans="2:8" x14ac:dyDescent="0.25">
      <c r="B3440" s="1">
        <v>1</v>
      </c>
      <c r="C3440" s="8"/>
    </row>
    <row r="3441" spans="1:13" x14ac:dyDescent="0.25">
      <c r="B3441" s="1">
        <v>1</v>
      </c>
      <c r="C3441" s="8"/>
    </row>
    <row r="3442" spans="1:13" x14ac:dyDescent="0.25">
      <c r="B3442" s="1">
        <v>1</v>
      </c>
      <c r="C3442" s="8"/>
    </row>
    <row r="3443" spans="1:13" s="16" customFormat="1" x14ac:dyDescent="0.25">
      <c r="A3443" s="41"/>
      <c r="B3443" s="1">
        <v>1</v>
      </c>
      <c r="C3443" s="21"/>
      <c r="D3443" s="20"/>
      <c r="F3443" s="20"/>
      <c r="G3443" s="22"/>
      <c r="I3443" s="56"/>
      <c r="J3443" s="23"/>
      <c r="M3443" s="51"/>
    </row>
    <row r="3444" spans="1:13" x14ac:dyDescent="0.25">
      <c r="B3444" s="1">
        <v>1</v>
      </c>
      <c r="C3444" s="8"/>
    </row>
    <row r="3445" spans="1:13" x14ac:dyDescent="0.25">
      <c r="B3445" s="1">
        <v>1</v>
      </c>
      <c r="C3445" s="8"/>
    </row>
    <row r="3446" spans="1:13" x14ac:dyDescent="0.25">
      <c r="B3446" s="1">
        <v>1</v>
      </c>
      <c r="C3446" s="8"/>
    </row>
    <row r="3447" spans="1:13" x14ac:dyDescent="0.25">
      <c r="B3447" s="1">
        <v>1</v>
      </c>
      <c r="C3447" s="8"/>
    </row>
    <row r="3448" spans="1:13" x14ac:dyDescent="0.25">
      <c r="B3448" s="1">
        <v>1</v>
      </c>
      <c r="C3448" s="8"/>
    </row>
    <row r="3449" spans="1:13" x14ac:dyDescent="0.25">
      <c r="B3449" s="1">
        <v>1</v>
      </c>
      <c r="C3449" s="8"/>
    </row>
    <row r="3450" spans="1:13" x14ac:dyDescent="0.25">
      <c r="B3450" s="1">
        <v>1</v>
      </c>
      <c r="C3450" s="8"/>
    </row>
    <row r="3451" spans="1:13" x14ac:dyDescent="0.25">
      <c r="B3451" s="1">
        <v>1</v>
      </c>
      <c r="C3451" s="8"/>
    </row>
    <row r="3452" spans="1:13" x14ac:dyDescent="0.25">
      <c r="B3452" s="1">
        <v>1</v>
      </c>
      <c r="C3452" s="8"/>
    </row>
    <row r="3453" spans="1:13" x14ac:dyDescent="0.25">
      <c r="B3453" s="1">
        <v>1</v>
      </c>
      <c r="C3453" s="8"/>
    </row>
    <row r="3454" spans="1:13" x14ac:dyDescent="0.25">
      <c r="B3454" s="1">
        <v>1</v>
      </c>
      <c r="C3454" s="8"/>
    </row>
    <row r="3455" spans="1:13" x14ac:dyDescent="0.25">
      <c r="B3455" s="1">
        <v>1</v>
      </c>
      <c r="C3455" s="8"/>
      <c r="D3455" s="26"/>
      <c r="E3455" s="25"/>
      <c r="G3455" s="27"/>
      <c r="H3455" s="25"/>
      <c r="I3455" s="57"/>
      <c r="J3455" s="28"/>
    </row>
    <row r="3456" spans="1:13" x14ac:dyDescent="0.25">
      <c r="B3456" s="1">
        <v>1</v>
      </c>
      <c r="C3456" s="8"/>
    </row>
    <row r="3457" spans="2:3" x14ac:dyDescent="0.25">
      <c r="B3457" s="1">
        <v>1</v>
      </c>
      <c r="C3457" s="8"/>
    </row>
    <row r="3458" spans="2:3" x14ac:dyDescent="0.25">
      <c r="B3458" s="1">
        <v>1</v>
      </c>
      <c r="C3458" s="8"/>
    </row>
    <row r="3459" spans="2:3" x14ac:dyDescent="0.25">
      <c r="B3459" s="1">
        <v>1</v>
      </c>
      <c r="C3459" s="8"/>
    </row>
    <row r="3460" spans="2:3" x14ac:dyDescent="0.25">
      <c r="B3460" s="1">
        <v>1</v>
      </c>
      <c r="C3460" s="8"/>
    </row>
    <row r="3461" spans="2:3" x14ac:dyDescent="0.25">
      <c r="B3461" s="1">
        <v>1</v>
      </c>
      <c r="C3461" s="8"/>
    </row>
    <row r="3462" spans="2:3" x14ac:dyDescent="0.25">
      <c r="B3462" s="1">
        <v>1</v>
      </c>
      <c r="C3462" s="8"/>
    </row>
    <row r="3463" spans="2:3" x14ac:dyDescent="0.25">
      <c r="B3463" s="1">
        <v>1</v>
      </c>
      <c r="C3463" s="8"/>
    </row>
    <row r="3464" spans="2:3" x14ac:dyDescent="0.25">
      <c r="B3464" s="1">
        <v>1</v>
      </c>
      <c r="C3464" s="8"/>
    </row>
    <row r="3465" spans="2:3" x14ac:dyDescent="0.25">
      <c r="B3465" s="1">
        <v>1</v>
      </c>
      <c r="C3465" s="8"/>
    </row>
    <row r="3466" spans="2:3" x14ac:dyDescent="0.25">
      <c r="B3466" s="1">
        <v>1</v>
      </c>
      <c r="C3466" s="8"/>
    </row>
    <row r="3467" spans="2:3" x14ac:dyDescent="0.25">
      <c r="B3467" s="1">
        <v>1</v>
      </c>
      <c r="C3467" s="8"/>
    </row>
    <row r="3468" spans="2:3" x14ac:dyDescent="0.25">
      <c r="B3468" s="1">
        <v>1</v>
      </c>
      <c r="C3468" s="8"/>
    </row>
    <row r="3469" spans="2:3" x14ac:dyDescent="0.25">
      <c r="B3469" s="1">
        <v>1</v>
      </c>
      <c r="C3469" s="8"/>
    </row>
    <row r="3470" spans="2:3" x14ac:dyDescent="0.25">
      <c r="B3470" s="1">
        <v>1</v>
      </c>
      <c r="C3470" s="8"/>
    </row>
    <row r="3471" spans="2:3" x14ac:dyDescent="0.25">
      <c r="B3471" s="1">
        <v>1</v>
      </c>
      <c r="C3471" s="8"/>
    </row>
    <row r="3472" spans="2:3" x14ac:dyDescent="0.25">
      <c r="B3472" s="1">
        <v>1</v>
      </c>
      <c r="C3472" s="8"/>
    </row>
    <row r="3473" spans="2:3" x14ac:dyDescent="0.25">
      <c r="B3473" s="1">
        <v>1</v>
      </c>
      <c r="C3473" s="8"/>
    </row>
    <row r="3474" spans="2:3" x14ac:dyDescent="0.25">
      <c r="B3474" s="1">
        <v>1</v>
      </c>
      <c r="C3474" s="8"/>
    </row>
    <row r="3475" spans="2:3" x14ac:dyDescent="0.25">
      <c r="B3475" s="1">
        <v>1</v>
      </c>
      <c r="C3475" s="8"/>
    </row>
    <row r="3476" spans="2:3" x14ac:dyDescent="0.25">
      <c r="B3476" s="1">
        <v>1</v>
      </c>
      <c r="C3476" s="8"/>
    </row>
    <row r="3477" spans="2:3" x14ac:dyDescent="0.25">
      <c r="B3477" s="1">
        <v>1</v>
      </c>
      <c r="C3477" s="8"/>
    </row>
    <row r="3478" spans="2:3" x14ac:dyDescent="0.25">
      <c r="B3478" s="1">
        <v>1</v>
      </c>
      <c r="C3478" s="8"/>
    </row>
    <row r="3479" spans="2:3" x14ac:dyDescent="0.25">
      <c r="B3479" s="1">
        <v>1</v>
      </c>
      <c r="C3479" s="8"/>
    </row>
    <row r="3480" spans="2:3" x14ac:dyDescent="0.25">
      <c r="B3480" s="1">
        <v>1</v>
      </c>
      <c r="C3480" s="8"/>
    </row>
    <row r="3481" spans="2:3" x14ac:dyDescent="0.25">
      <c r="B3481" s="1">
        <v>1</v>
      </c>
      <c r="C3481" s="8"/>
    </row>
    <row r="3482" spans="2:3" x14ac:dyDescent="0.25">
      <c r="B3482" s="1">
        <v>1</v>
      </c>
      <c r="C3482" s="8"/>
    </row>
    <row r="3483" spans="2:3" x14ac:dyDescent="0.25">
      <c r="B3483" s="1">
        <v>1</v>
      </c>
      <c r="C3483" s="8"/>
    </row>
    <row r="3484" spans="2:3" x14ac:dyDescent="0.25">
      <c r="B3484" s="1">
        <v>1</v>
      </c>
      <c r="C3484" s="8"/>
    </row>
    <row r="3485" spans="2:3" x14ac:dyDescent="0.25">
      <c r="B3485" s="1">
        <v>1</v>
      </c>
      <c r="C3485" s="8"/>
    </row>
    <row r="3486" spans="2:3" x14ac:dyDescent="0.25">
      <c r="B3486" s="1">
        <v>1</v>
      </c>
      <c r="C3486" s="8"/>
    </row>
    <row r="3487" spans="2:3" x14ac:dyDescent="0.25">
      <c r="B3487" s="1">
        <v>1</v>
      </c>
      <c r="C3487" s="8"/>
    </row>
    <row r="3488" spans="2:3" x14ac:dyDescent="0.25">
      <c r="B3488" s="1">
        <v>1</v>
      </c>
      <c r="C3488" s="8"/>
    </row>
    <row r="3489" spans="2:7" x14ac:dyDescent="0.25">
      <c r="B3489" s="1">
        <v>1</v>
      </c>
      <c r="C3489" s="8"/>
    </row>
    <row r="3490" spans="2:7" x14ac:dyDescent="0.25">
      <c r="B3490" s="1">
        <v>1</v>
      </c>
      <c r="C3490" s="8"/>
    </row>
    <row r="3491" spans="2:7" x14ac:dyDescent="0.25">
      <c r="B3491" s="1">
        <v>1</v>
      </c>
      <c r="C3491" s="8"/>
    </row>
    <row r="3492" spans="2:7" x14ac:dyDescent="0.25">
      <c r="B3492" s="1">
        <v>1</v>
      </c>
      <c r="C3492" s="8"/>
    </row>
    <row r="3493" spans="2:7" x14ac:dyDescent="0.25">
      <c r="B3493" s="1">
        <v>1</v>
      </c>
      <c r="C3493" s="8"/>
    </row>
    <row r="3494" spans="2:7" x14ac:dyDescent="0.25">
      <c r="B3494" s="1">
        <v>1</v>
      </c>
      <c r="C3494" s="8"/>
    </row>
    <row r="3495" spans="2:7" x14ac:dyDescent="0.25">
      <c r="B3495" s="1">
        <v>1</v>
      </c>
      <c r="C3495" s="8"/>
    </row>
    <row r="3496" spans="2:7" x14ac:dyDescent="0.25">
      <c r="B3496" s="1">
        <v>1</v>
      </c>
      <c r="C3496" s="8"/>
    </row>
    <row r="3497" spans="2:7" x14ac:dyDescent="0.25">
      <c r="B3497" s="1">
        <v>1</v>
      </c>
      <c r="C3497" s="8"/>
    </row>
    <row r="3498" spans="2:7" x14ac:dyDescent="0.25">
      <c r="B3498" s="1">
        <v>1</v>
      </c>
      <c r="C3498" s="8"/>
    </row>
    <row r="3499" spans="2:7" x14ac:dyDescent="0.25">
      <c r="B3499" s="1">
        <v>1</v>
      </c>
      <c r="C3499" s="8"/>
      <c r="G3499" s="27"/>
    </row>
    <row r="3500" spans="2:7" x14ac:dyDescent="0.25">
      <c r="B3500" s="1">
        <v>1</v>
      </c>
      <c r="C3500" s="8"/>
    </row>
    <row r="3501" spans="2:7" x14ac:dyDescent="0.25">
      <c r="B3501" s="1">
        <v>1</v>
      </c>
      <c r="C3501" s="8"/>
    </row>
    <row r="3502" spans="2:7" x14ac:dyDescent="0.25">
      <c r="B3502" s="1">
        <v>1</v>
      </c>
      <c r="C3502" s="8"/>
    </row>
    <row r="3503" spans="2:7" x14ac:dyDescent="0.25">
      <c r="B3503" s="1">
        <v>1</v>
      </c>
      <c r="C3503" s="8"/>
    </row>
    <row r="3504" spans="2:7" x14ac:dyDescent="0.25">
      <c r="B3504" s="1">
        <v>1</v>
      </c>
      <c r="C3504" s="8"/>
    </row>
    <row r="3505" spans="2:3" x14ac:dyDescent="0.25">
      <c r="B3505" s="1">
        <v>1</v>
      </c>
      <c r="C3505" s="8"/>
    </row>
    <row r="3506" spans="2:3" x14ac:dyDescent="0.25">
      <c r="B3506" s="1">
        <v>1</v>
      </c>
      <c r="C3506" s="8"/>
    </row>
    <row r="3507" spans="2:3" x14ac:dyDescent="0.25">
      <c r="B3507" s="1">
        <v>1</v>
      </c>
      <c r="C3507" s="8"/>
    </row>
    <row r="3508" spans="2:3" x14ac:dyDescent="0.25">
      <c r="B3508" s="1">
        <v>1</v>
      </c>
      <c r="C3508" s="8"/>
    </row>
    <row r="3509" spans="2:3" x14ac:dyDescent="0.25">
      <c r="B3509" s="1">
        <v>1</v>
      </c>
      <c r="C3509" s="8"/>
    </row>
    <row r="3510" spans="2:3" x14ac:dyDescent="0.25">
      <c r="B3510" s="1">
        <v>1</v>
      </c>
      <c r="C3510" s="8"/>
    </row>
    <row r="3511" spans="2:3" x14ac:dyDescent="0.25">
      <c r="B3511" s="1">
        <v>1</v>
      </c>
      <c r="C3511" s="8"/>
    </row>
    <row r="3512" spans="2:3" x14ac:dyDescent="0.25">
      <c r="B3512" s="1">
        <v>1</v>
      </c>
      <c r="C3512" s="8"/>
    </row>
    <row r="3513" spans="2:3" x14ac:dyDescent="0.25">
      <c r="B3513" s="1">
        <v>1</v>
      </c>
      <c r="C3513" s="8"/>
    </row>
    <row r="3514" spans="2:3" x14ac:dyDescent="0.25">
      <c r="B3514" s="1">
        <v>1</v>
      </c>
      <c r="C3514" s="8"/>
    </row>
    <row r="3515" spans="2:3" x14ac:dyDescent="0.25">
      <c r="B3515" s="1">
        <v>1</v>
      </c>
      <c r="C3515" s="8"/>
    </row>
    <row r="3516" spans="2:3" x14ac:dyDescent="0.25">
      <c r="B3516" s="1">
        <v>1</v>
      </c>
      <c r="C3516" s="8"/>
    </row>
    <row r="3517" spans="2:3" x14ac:dyDescent="0.25">
      <c r="B3517" s="1">
        <v>1</v>
      </c>
      <c r="C3517" s="8"/>
    </row>
    <row r="3518" spans="2:3" x14ac:dyDescent="0.25">
      <c r="B3518" s="1">
        <v>1</v>
      </c>
      <c r="C3518" s="8"/>
    </row>
    <row r="3519" spans="2:3" x14ac:dyDescent="0.25">
      <c r="B3519" s="1">
        <v>1</v>
      </c>
      <c r="C3519" s="8"/>
    </row>
    <row r="3520" spans="2:3" x14ac:dyDescent="0.25">
      <c r="B3520" s="1">
        <v>1</v>
      </c>
      <c r="C3520" s="8"/>
    </row>
    <row r="3521" spans="2:3" x14ac:dyDescent="0.25">
      <c r="B3521" s="1">
        <v>1</v>
      </c>
      <c r="C3521" s="8"/>
    </row>
    <row r="3522" spans="2:3" x14ac:dyDescent="0.25">
      <c r="B3522" s="1">
        <v>1</v>
      </c>
      <c r="C3522" s="8"/>
    </row>
    <row r="3523" spans="2:3" x14ac:dyDescent="0.25">
      <c r="B3523" s="1">
        <v>1</v>
      </c>
      <c r="C3523" s="8"/>
    </row>
    <row r="3524" spans="2:3" x14ac:dyDescent="0.25">
      <c r="B3524" s="1">
        <v>1</v>
      </c>
      <c r="C3524" s="8"/>
    </row>
    <row r="3525" spans="2:3" x14ac:dyDescent="0.25">
      <c r="B3525" s="1">
        <v>1</v>
      </c>
      <c r="C3525" s="8"/>
    </row>
    <row r="3526" spans="2:3" x14ac:dyDescent="0.25">
      <c r="B3526" s="1">
        <v>1</v>
      </c>
      <c r="C3526" s="8"/>
    </row>
    <row r="3527" spans="2:3" x14ac:dyDescent="0.25">
      <c r="B3527" s="1">
        <v>1</v>
      </c>
      <c r="C3527" s="8"/>
    </row>
    <row r="3528" spans="2:3" x14ac:dyDescent="0.25">
      <c r="B3528" s="1">
        <v>1</v>
      </c>
      <c r="C3528" s="8"/>
    </row>
    <row r="3529" spans="2:3" x14ac:dyDescent="0.25">
      <c r="B3529" s="1">
        <v>1</v>
      </c>
      <c r="C3529" s="8"/>
    </row>
    <row r="3530" spans="2:3" x14ac:dyDescent="0.25">
      <c r="B3530" s="1">
        <v>1</v>
      </c>
      <c r="C3530" s="8"/>
    </row>
    <row r="3531" spans="2:3" x14ac:dyDescent="0.25">
      <c r="B3531" s="1">
        <v>1</v>
      </c>
      <c r="C3531" s="8"/>
    </row>
    <row r="3532" spans="2:3" x14ac:dyDescent="0.25">
      <c r="B3532" s="1">
        <v>1</v>
      </c>
      <c r="C3532" s="8"/>
    </row>
    <row r="3533" spans="2:3" x14ac:dyDescent="0.25">
      <c r="B3533" s="1">
        <v>1</v>
      </c>
      <c r="C3533" s="8"/>
    </row>
    <row r="3534" spans="2:3" x14ac:dyDescent="0.25">
      <c r="B3534" s="1">
        <v>1</v>
      </c>
      <c r="C3534" s="8"/>
    </row>
    <row r="3535" spans="2:3" x14ac:dyDescent="0.25">
      <c r="B3535" s="1">
        <v>1</v>
      </c>
      <c r="C3535" s="8"/>
    </row>
    <row r="3536" spans="2:3" x14ac:dyDescent="0.25">
      <c r="B3536" s="1">
        <v>1</v>
      </c>
      <c r="C3536" s="8"/>
    </row>
    <row r="3537" spans="2:10" x14ac:dyDescent="0.25">
      <c r="B3537" s="1">
        <v>1</v>
      </c>
      <c r="C3537" s="8"/>
    </row>
    <row r="3538" spans="2:10" x14ac:dyDescent="0.25">
      <c r="B3538" s="1">
        <v>1</v>
      </c>
      <c r="C3538" s="8"/>
    </row>
    <row r="3539" spans="2:10" x14ac:dyDescent="0.25">
      <c r="B3539" s="1">
        <v>1</v>
      </c>
      <c r="C3539" s="8"/>
    </row>
    <row r="3540" spans="2:10" x14ac:dyDescent="0.25">
      <c r="B3540" s="1">
        <v>1</v>
      </c>
      <c r="C3540" s="8"/>
    </row>
    <row r="3541" spans="2:10" x14ac:dyDescent="0.25">
      <c r="B3541" s="1">
        <v>1</v>
      </c>
      <c r="C3541" s="8"/>
    </row>
    <row r="3542" spans="2:10" x14ac:dyDescent="0.25">
      <c r="B3542" s="1">
        <v>1</v>
      </c>
      <c r="C3542" s="8"/>
    </row>
    <row r="3543" spans="2:10" x14ac:dyDescent="0.25">
      <c r="B3543" s="1">
        <v>1</v>
      </c>
      <c r="C3543" s="8"/>
    </row>
    <row r="3544" spans="2:10" x14ac:dyDescent="0.25">
      <c r="B3544" s="1">
        <v>1</v>
      </c>
      <c r="C3544" s="8"/>
    </row>
    <row r="3545" spans="2:10" x14ac:dyDescent="0.25">
      <c r="B3545" s="1">
        <v>1</v>
      </c>
      <c r="C3545" s="8"/>
    </row>
    <row r="3546" spans="2:10" x14ac:dyDescent="0.25">
      <c r="B3546" s="1">
        <v>1</v>
      </c>
      <c r="C3546" s="8"/>
    </row>
    <row r="3547" spans="2:10" x14ac:dyDescent="0.25">
      <c r="B3547" s="1">
        <v>1</v>
      </c>
      <c r="C3547" s="8"/>
    </row>
    <row r="3548" spans="2:10" x14ac:dyDescent="0.25">
      <c r="B3548" s="1">
        <v>1</v>
      </c>
      <c r="C3548" s="8"/>
    </row>
    <row r="3549" spans="2:10" x14ac:dyDescent="0.25">
      <c r="B3549" s="1">
        <v>1</v>
      </c>
      <c r="C3549" s="8"/>
      <c r="J3549" s="15"/>
    </row>
    <row r="3550" spans="2:10" x14ac:dyDescent="0.25">
      <c r="B3550" s="1">
        <v>1</v>
      </c>
      <c r="C3550" s="8"/>
    </row>
    <row r="3551" spans="2:10" x14ac:dyDescent="0.25">
      <c r="B3551" s="1">
        <v>1</v>
      </c>
      <c r="C3551" s="8"/>
    </row>
    <row r="3552" spans="2:10" ht="15.75" x14ac:dyDescent="0.25">
      <c r="B3552" s="1">
        <v>1</v>
      </c>
      <c r="C3552" s="8"/>
      <c r="F3552" s="53"/>
    </row>
    <row r="3553" spans="2:6" x14ac:dyDescent="0.25">
      <c r="B3553" s="1">
        <v>1</v>
      </c>
      <c r="C3553" s="8"/>
      <c r="F3553" s="52"/>
    </row>
    <row r="3554" spans="2:6" x14ac:dyDescent="0.25">
      <c r="B3554" s="1">
        <v>1</v>
      </c>
      <c r="C3554" s="8"/>
      <c r="F3554" s="52"/>
    </row>
    <row r="3555" spans="2:6" x14ac:dyDescent="0.25">
      <c r="B3555" s="1">
        <v>1</v>
      </c>
      <c r="C3555" s="8"/>
    </row>
    <row r="3556" spans="2:6" x14ac:dyDescent="0.25">
      <c r="B3556" s="1">
        <v>1</v>
      </c>
      <c r="C3556" s="8"/>
    </row>
    <row r="3557" spans="2:6" x14ac:dyDescent="0.25">
      <c r="B3557" s="1">
        <v>1</v>
      </c>
      <c r="C3557" s="8"/>
      <c r="F3557" s="52"/>
    </row>
    <row r="3558" spans="2:6" x14ac:dyDescent="0.25">
      <c r="B3558" s="1">
        <v>1</v>
      </c>
      <c r="C3558" s="8"/>
      <c r="F3558" s="52"/>
    </row>
    <row r="3559" spans="2:6" x14ac:dyDescent="0.25">
      <c r="B3559" s="1">
        <v>1</v>
      </c>
      <c r="C3559" s="8"/>
      <c r="F3559" s="52"/>
    </row>
    <row r="3560" spans="2:6" x14ac:dyDescent="0.25">
      <c r="B3560" s="1">
        <v>1</v>
      </c>
      <c r="C3560" s="8"/>
      <c r="F3560" s="52"/>
    </row>
    <row r="3561" spans="2:6" x14ac:dyDescent="0.25">
      <c r="B3561" s="1">
        <v>1</v>
      </c>
      <c r="C3561" s="8"/>
      <c r="F3561" s="52"/>
    </row>
    <row r="3562" spans="2:6" x14ac:dyDescent="0.25">
      <c r="B3562" s="1">
        <v>1</v>
      </c>
      <c r="C3562" s="8"/>
      <c r="D3562" s="52"/>
      <c r="F3562" s="52"/>
    </row>
    <row r="3563" spans="2:6" x14ac:dyDescent="0.25">
      <c r="B3563" s="1">
        <v>1</v>
      </c>
      <c r="C3563" s="8"/>
      <c r="F3563" s="52"/>
    </row>
    <row r="3564" spans="2:6" x14ac:dyDescent="0.25">
      <c r="B3564" s="1">
        <v>1</v>
      </c>
      <c r="C3564" s="8"/>
      <c r="F3564" s="52"/>
    </row>
    <row r="3565" spans="2:6" x14ac:dyDescent="0.25">
      <c r="B3565" s="1">
        <v>1</v>
      </c>
      <c r="C3565" s="8"/>
      <c r="F3565" s="52"/>
    </row>
    <row r="3566" spans="2:6" x14ac:dyDescent="0.25">
      <c r="B3566" s="1">
        <v>1</v>
      </c>
      <c r="C3566" s="8"/>
      <c r="F3566" s="52"/>
    </row>
    <row r="3567" spans="2:6" x14ac:dyDescent="0.25">
      <c r="B3567" s="1">
        <v>1</v>
      </c>
      <c r="C3567" s="8"/>
      <c r="F3567" s="52"/>
    </row>
    <row r="3568" spans="2:6" x14ac:dyDescent="0.25">
      <c r="B3568" s="1">
        <v>1</v>
      </c>
      <c r="C3568" s="8"/>
      <c r="F3568" s="52"/>
    </row>
    <row r="3569" spans="2:10" x14ac:dyDescent="0.25">
      <c r="B3569" s="1">
        <v>1</v>
      </c>
      <c r="C3569" s="8"/>
      <c r="F3569" s="52"/>
    </row>
    <row r="3570" spans="2:10" x14ac:dyDescent="0.25">
      <c r="B3570" s="1">
        <v>1</v>
      </c>
      <c r="C3570" s="8"/>
      <c r="F3570" s="52"/>
    </row>
    <row r="3571" spans="2:10" x14ac:dyDescent="0.25">
      <c r="B3571" s="1">
        <v>1</v>
      </c>
      <c r="C3571" s="8"/>
      <c r="F3571" s="52"/>
    </row>
    <row r="3572" spans="2:10" x14ac:dyDescent="0.25">
      <c r="B3572" s="1">
        <v>1</v>
      </c>
      <c r="C3572" s="8"/>
      <c r="F3572" s="52"/>
    </row>
    <row r="3573" spans="2:10" x14ac:dyDescent="0.25">
      <c r="B3573" s="1">
        <v>1</v>
      </c>
      <c r="C3573" s="8"/>
      <c r="F3573" s="52"/>
    </row>
    <row r="3574" spans="2:10" x14ac:dyDescent="0.25">
      <c r="B3574" s="1">
        <v>1</v>
      </c>
      <c r="C3574" s="8"/>
      <c r="F3574" s="52"/>
    </row>
    <row r="3575" spans="2:10" x14ac:dyDescent="0.25">
      <c r="B3575" s="1">
        <v>1</v>
      </c>
      <c r="C3575" s="8"/>
      <c r="F3575" s="52"/>
      <c r="J3575" s="15"/>
    </row>
    <row r="3576" spans="2:10" x14ac:dyDescent="0.25">
      <c r="B3576" s="1">
        <v>1</v>
      </c>
      <c r="C3576" s="8"/>
      <c r="F3576" s="52"/>
    </row>
    <row r="3577" spans="2:10" x14ac:dyDescent="0.25">
      <c r="B3577" s="1">
        <v>1</v>
      </c>
      <c r="C3577" s="8"/>
      <c r="F3577" s="52"/>
    </row>
    <row r="3578" spans="2:10" x14ac:dyDescent="0.25">
      <c r="B3578" s="1">
        <v>1</v>
      </c>
      <c r="C3578" s="8"/>
      <c r="F3578" s="52"/>
    </row>
    <row r="3579" spans="2:10" x14ac:dyDescent="0.25">
      <c r="B3579" s="1">
        <v>1</v>
      </c>
      <c r="C3579" s="8"/>
      <c r="F3579" s="52"/>
    </row>
    <row r="3580" spans="2:10" x14ac:dyDescent="0.25">
      <c r="B3580" s="1">
        <v>1</v>
      </c>
      <c r="C3580" s="8"/>
      <c r="F3580" s="52"/>
    </row>
    <row r="3581" spans="2:10" x14ac:dyDescent="0.25">
      <c r="B3581" s="1">
        <v>1</v>
      </c>
      <c r="C3581" s="8"/>
      <c r="F3581" s="52"/>
    </row>
    <row r="3582" spans="2:10" x14ac:dyDescent="0.25">
      <c r="B3582" s="1">
        <v>1</v>
      </c>
      <c r="C3582" s="8"/>
      <c r="F3582" s="52"/>
    </row>
    <row r="3583" spans="2:10" x14ac:dyDescent="0.25">
      <c r="B3583" s="1">
        <v>1</v>
      </c>
      <c r="C3583" s="8"/>
      <c r="F3583" s="52"/>
    </row>
    <row r="3584" spans="2:10" x14ac:dyDescent="0.25">
      <c r="B3584" s="1">
        <v>1</v>
      </c>
      <c r="C3584" s="8"/>
      <c r="F3584" s="52"/>
    </row>
    <row r="3585" spans="2:6" x14ac:dyDescent="0.25">
      <c r="B3585" s="1">
        <v>1</v>
      </c>
      <c r="C3585" s="8"/>
      <c r="F3585" s="52"/>
    </row>
    <row r="3586" spans="2:6" x14ac:dyDescent="0.25">
      <c r="B3586" s="1">
        <v>1</v>
      </c>
      <c r="C3586" s="8"/>
      <c r="F3586" s="52"/>
    </row>
    <row r="3587" spans="2:6" x14ac:dyDescent="0.25">
      <c r="B3587" s="1">
        <v>1</v>
      </c>
      <c r="C3587" s="8"/>
      <c r="F3587"/>
    </row>
    <row r="3588" spans="2:6" x14ac:dyDescent="0.25">
      <c r="B3588" s="1">
        <v>1</v>
      </c>
      <c r="C3588" s="8"/>
      <c r="F3588"/>
    </row>
    <row r="3589" spans="2:6" x14ac:dyDescent="0.25">
      <c r="B3589" s="1">
        <v>1</v>
      </c>
      <c r="C3589" s="8"/>
      <c r="F3589" s="54"/>
    </row>
    <row r="3590" spans="2:6" x14ac:dyDescent="0.25">
      <c r="B3590" s="1">
        <v>1</v>
      </c>
      <c r="C3590" s="8"/>
      <c r="F3590" s="54"/>
    </row>
    <row r="3591" spans="2:6" x14ac:dyDescent="0.25">
      <c r="B3591" s="1">
        <v>1</v>
      </c>
      <c r="C3591" s="8"/>
      <c r="F3591"/>
    </row>
    <row r="3592" spans="2:6" x14ac:dyDescent="0.25">
      <c r="B3592" s="1">
        <v>1</v>
      </c>
      <c r="C3592" s="8"/>
      <c r="F3592"/>
    </row>
    <row r="3593" spans="2:6" x14ac:dyDescent="0.25">
      <c r="B3593" s="1">
        <v>1</v>
      </c>
      <c r="C3593" s="8"/>
      <c r="F3593"/>
    </row>
    <row r="3594" spans="2:6" x14ac:dyDescent="0.25">
      <c r="B3594" s="1">
        <v>1</v>
      </c>
      <c r="C3594" s="8"/>
      <c r="F3594"/>
    </row>
    <row r="3595" spans="2:6" x14ac:dyDescent="0.25">
      <c r="B3595" s="1">
        <v>1</v>
      </c>
      <c r="C3595" s="8"/>
      <c r="F3595" s="54"/>
    </row>
    <row r="3596" spans="2:6" x14ac:dyDescent="0.25">
      <c r="C3596" s="8"/>
      <c r="F3596" s="54"/>
    </row>
    <row r="3597" spans="2:6" x14ac:dyDescent="0.25">
      <c r="C3597" s="8"/>
      <c r="F3597"/>
    </row>
    <row r="3598" spans="2:6" x14ac:dyDescent="0.25">
      <c r="C3598" s="8"/>
      <c r="F3598"/>
    </row>
    <row r="3599" spans="2:6" x14ac:dyDescent="0.25">
      <c r="C3599" s="8"/>
      <c r="F3599"/>
    </row>
    <row r="3600" spans="2:6" x14ac:dyDescent="0.25">
      <c r="C3600" s="8"/>
      <c r="F3600"/>
    </row>
    <row r="3601" spans="3:8" x14ac:dyDescent="0.25">
      <c r="C3601" s="8"/>
      <c r="F3601" s="54"/>
    </row>
    <row r="3602" spans="3:8" x14ac:dyDescent="0.25">
      <c r="C3602" s="8"/>
      <c r="F3602" s="54"/>
    </row>
    <row r="3603" spans="3:8" x14ac:dyDescent="0.25">
      <c r="C3603" s="8"/>
      <c r="F3603" s="54"/>
    </row>
    <row r="3604" spans="3:8" x14ac:dyDescent="0.25">
      <c r="C3604" s="8"/>
      <c r="F3604"/>
    </row>
    <row r="3605" spans="3:8" x14ac:dyDescent="0.25">
      <c r="C3605" s="8"/>
      <c r="F3605"/>
    </row>
    <row r="3606" spans="3:8" x14ac:dyDescent="0.25">
      <c r="C3606" s="8"/>
      <c r="F3606"/>
    </row>
    <row r="3607" spans="3:8" x14ac:dyDescent="0.25">
      <c r="C3607" s="8"/>
      <c r="F3607"/>
    </row>
    <row r="3608" spans="3:8" x14ac:dyDescent="0.25">
      <c r="C3608" s="8"/>
      <c r="H3608" s="61"/>
    </row>
    <row r="3609" spans="3:8" x14ac:dyDescent="0.25">
      <c r="C3609" s="8"/>
    </row>
    <row r="3610" spans="3:8" x14ac:dyDescent="0.25">
      <c r="C3610" s="8"/>
    </row>
    <row r="3611" spans="3:8" x14ac:dyDescent="0.25">
      <c r="C3611" s="8"/>
    </row>
    <row r="3612" spans="3:8" x14ac:dyDescent="0.25">
      <c r="C3612" s="8"/>
    </row>
    <row r="3613" spans="3:8" x14ac:dyDescent="0.25">
      <c r="C3613" s="8"/>
    </row>
    <row r="3614" spans="3:8" x14ac:dyDescent="0.25">
      <c r="C3614" s="8"/>
    </row>
    <row r="3615" spans="3:8" x14ac:dyDescent="0.25">
      <c r="C3615" s="8"/>
    </row>
    <row r="3616" spans="3:8" x14ac:dyDescent="0.25">
      <c r="C3616" s="8"/>
    </row>
    <row r="3617" spans="3:3" x14ac:dyDescent="0.25">
      <c r="C3617" s="8"/>
    </row>
    <row r="3618" spans="3:3" x14ac:dyDescent="0.25">
      <c r="C3618" s="8"/>
    </row>
    <row r="3619" spans="3:3" x14ac:dyDescent="0.25">
      <c r="C3619" s="8"/>
    </row>
    <row r="3620" spans="3:3" x14ac:dyDescent="0.25">
      <c r="C3620" s="8"/>
    </row>
    <row r="3621" spans="3:3" x14ac:dyDescent="0.25">
      <c r="C3621" s="8"/>
    </row>
    <row r="3622" spans="3:3" x14ac:dyDescent="0.25">
      <c r="C3622" s="8"/>
    </row>
    <row r="3623" spans="3:3" x14ac:dyDescent="0.25">
      <c r="C3623" s="8"/>
    </row>
    <row r="3624" spans="3:3" x14ac:dyDescent="0.25">
      <c r="C3624" s="8"/>
    </row>
    <row r="3625" spans="3:3" x14ac:dyDescent="0.25">
      <c r="C3625" s="8"/>
    </row>
    <row r="3626" spans="3:3" x14ac:dyDescent="0.25">
      <c r="C3626" s="8"/>
    </row>
    <row r="3627" spans="3:3" x14ac:dyDescent="0.25">
      <c r="C3627" s="8"/>
    </row>
    <row r="3628" spans="3:3" x14ac:dyDescent="0.25">
      <c r="C3628" s="8"/>
    </row>
    <row r="3629" spans="3:3" x14ac:dyDescent="0.25">
      <c r="C3629" s="8"/>
    </row>
    <row r="3630" spans="3:3" x14ac:dyDescent="0.25">
      <c r="C3630" s="8"/>
    </row>
    <row r="3631" spans="3:3" x14ac:dyDescent="0.25">
      <c r="C3631" s="8"/>
    </row>
    <row r="3632" spans="3:3" x14ac:dyDescent="0.25">
      <c r="C3632" s="8"/>
    </row>
    <row r="3633" spans="3:3" x14ac:dyDescent="0.25">
      <c r="C3633" s="8"/>
    </row>
    <row r="3634" spans="3:3" x14ac:dyDescent="0.25">
      <c r="C3634" s="8"/>
    </row>
    <row r="3635" spans="3:3" x14ac:dyDescent="0.25">
      <c r="C3635" s="8"/>
    </row>
    <row r="3636" spans="3:3" x14ac:dyDescent="0.25">
      <c r="C3636" s="8"/>
    </row>
    <row r="3637" spans="3:3" x14ac:dyDescent="0.25">
      <c r="C3637" s="8"/>
    </row>
    <row r="3638" spans="3:3" x14ac:dyDescent="0.25">
      <c r="C3638" s="8"/>
    </row>
    <row r="3639" spans="3:3" x14ac:dyDescent="0.25">
      <c r="C3639" s="8"/>
    </row>
    <row r="3640" spans="3:3" x14ac:dyDescent="0.25">
      <c r="C3640" s="8"/>
    </row>
    <row r="3641" spans="3:3" x14ac:dyDescent="0.25">
      <c r="C3641" s="8"/>
    </row>
    <row r="3642" spans="3:3" x14ac:dyDescent="0.25">
      <c r="C3642" s="8"/>
    </row>
    <row r="3643" spans="3:3" x14ac:dyDescent="0.25">
      <c r="C3643" s="8"/>
    </row>
    <row r="3644" spans="3:3" x14ac:dyDescent="0.25">
      <c r="C3644" s="8"/>
    </row>
    <row r="3645" spans="3:3" x14ac:dyDescent="0.25">
      <c r="C3645" s="8"/>
    </row>
    <row r="3646" spans="3:3" x14ac:dyDescent="0.25">
      <c r="C3646" s="8"/>
    </row>
    <row r="3647" spans="3:3" x14ac:dyDescent="0.25">
      <c r="C3647" s="8"/>
    </row>
    <row r="3648" spans="3:3" x14ac:dyDescent="0.25">
      <c r="C3648" s="8"/>
    </row>
    <row r="3649" spans="3:3" x14ac:dyDescent="0.25">
      <c r="C3649" s="8"/>
    </row>
    <row r="3650" spans="3:3" x14ac:dyDescent="0.25">
      <c r="C3650" s="8"/>
    </row>
    <row r="3651" spans="3:3" x14ac:dyDescent="0.25">
      <c r="C3651" s="8"/>
    </row>
    <row r="3652" spans="3:3" x14ac:dyDescent="0.25">
      <c r="C3652" s="8"/>
    </row>
    <row r="3653" spans="3:3" x14ac:dyDescent="0.25">
      <c r="C3653" s="8"/>
    </row>
    <row r="3654" spans="3:3" x14ac:dyDescent="0.25">
      <c r="C3654" s="8"/>
    </row>
    <row r="3655" spans="3:3" x14ac:dyDescent="0.25">
      <c r="C3655" s="8"/>
    </row>
    <row r="3656" spans="3:3" x14ac:dyDescent="0.25">
      <c r="C3656" s="8"/>
    </row>
    <row r="3657" spans="3:3" x14ac:dyDescent="0.25">
      <c r="C3657" s="8"/>
    </row>
    <row r="3658" spans="3:3" x14ac:dyDescent="0.25">
      <c r="C3658" s="8"/>
    </row>
    <row r="3659" spans="3:3" x14ac:dyDescent="0.25">
      <c r="C3659" s="8"/>
    </row>
    <row r="3660" spans="3:3" x14ac:dyDescent="0.25">
      <c r="C3660" s="8"/>
    </row>
    <row r="3661" spans="3:3" x14ac:dyDescent="0.25">
      <c r="C3661" s="8"/>
    </row>
    <row r="3662" spans="3:3" x14ac:dyDescent="0.25">
      <c r="C3662" s="8"/>
    </row>
    <row r="3663" spans="3:3" x14ac:dyDescent="0.25">
      <c r="C3663" s="8"/>
    </row>
    <row r="3664" spans="3:3" x14ac:dyDescent="0.25">
      <c r="C3664" s="8"/>
    </row>
    <row r="3665" spans="3:3" x14ac:dyDescent="0.25">
      <c r="C3665" s="8"/>
    </row>
    <row r="3666" spans="3:3" x14ac:dyDescent="0.25">
      <c r="C3666" s="8"/>
    </row>
    <row r="3667" spans="3:3" x14ac:dyDescent="0.25">
      <c r="C3667" s="8"/>
    </row>
    <row r="3668" spans="3:3" x14ac:dyDescent="0.25">
      <c r="C3668" s="8"/>
    </row>
    <row r="3669" spans="3:3" x14ac:dyDescent="0.25">
      <c r="C3669" s="8"/>
    </row>
    <row r="3670" spans="3:3" x14ac:dyDescent="0.25">
      <c r="C3670" s="8"/>
    </row>
    <row r="3671" spans="3:3" x14ac:dyDescent="0.25">
      <c r="C3671" s="8"/>
    </row>
    <row r="3672" spans="3:3" x14ac:dyDescent="0.25">
      <c r="C3672" s="8"/>
    </row>
    <row r="3673" spans="3:3" x14ac:dyDescent="0.25">
      <c r="C3673" s="8"/>
    </row>
    <row r="3674" spans="3:3" x14ac:dyDescent="0.25">
      <c r="C3674" s="8"/>
    </row>
    <row r="3675" spans="3:3" x14ac:dyDescent="0.25">
      <c r="C3675" s="8"/>
    </row>
    <row r="3676" spans="3:3" x14ac:dyDescent="0.25">
      <c r="C3676" s="8"/>
    </row>
    <row r="3677" spans="3:3" x14ac:dyDescent="0.25">
      <c r="C3677" s="8"/>
    </row>
    <row r="3678" spans="3:3" x14ac:dyDescent="0.25">
      <c r="C3678" s="8"/>
    </row>
    <row r="3679" spans="3:3" x14ac:dyDescent="0.25">
      <c r="C3679" s="8"/>
    </row>
    <row r="3680" spans="3:3" x14ac:dyDescent="0.25">
      <c r="C3680" s="8"/>
    </row>
    <row r="3681" spans="3:3" x14ac:dyDescent="0.25">
      <c r="C3681" s="8"/>
    </row>
    <row r="3682" spans="3:3" x14ac:dyDescent="0.25">
      <c r="C3682" s="8"/>
    </row>
    <row r="3683" spans="3:3" x14ac:dyDescent="0.25">
      <c r="C3683" s="8"/>
    </row>
    <row r="3684" spans="3:3" x14ac:dyDescent="0.25">
      <c r="C3684" s="8"/>
    </row>
    <row r="3685" spans="3:3" x14ac:dyDescent="0.25">
      <c r="C3685" s="8"/>
    </row>
    <row r="3686" spans="3:3" x14ac:dyDescent="0.25">
      <c r="C3686" s="8"/>
    </row>
    <row r="3687" spans="3:3" x14ac:dyDescent="0.25">
      <c r="C3687" s="8"/>
    </row>
    <row r="3688" spans="3:3" x14ac:dyDescent="0.25">
      <c r="C3688" s="8"/>
    </row>
    <row r="3689" spans="3:3" x14ac:dyDescent="0.25">
      <c r="C3689" s="8"/>
    </row>
    <row r="3690" spans="3:3" x14ac:dyDescent="0.25">
      <c r="C3690" s="8"/>
    </row>
    <row r="3691" spans="3:3" x14ac:dyDescent="0.25">
      <c r="C3691" s="8"/>
    </row>
    <row r="3692" spans="3:3" x14ac:dyDescent="0.25">
      <c r="C3692" s="8"/>
    </row>
    <row r="3693" spans="3:3" x14ac:dyDescent="0.25">
      <c r="C3693" s="8"/>
    </row>
    <row r="3694" spans="3:3" x14ac:dyDescent="0.25">
      <c r="C3694" s="8"/>
    </row>
    <row r="3695" spans="3:3" x14ac:dyDescent="0.25">
      <c r="C3695" s="8"/>
    </row>
    <row r="3696" spans="3:3" x14ac:dyDescent="0.25">
      <c r="C3696" s="8"/>
    </row>
    <row r="3697" spans="3:3" x14ac:dyDescent="0.25">
      <c r="C3697" s="8"/>
    </row>
    <row r="3698" spans="3:3" x14ac:dyDescent="0.25">
      <c r="C3698" s="8"/>
    </row>
    <row r="3699" spans="3:3" x14ac:dyDescent="0.25">
      <c r="C3699" s="8"/>
    </row>
    <row r="3700" spans="3:3" x14ac:dyDescent="0.25">
      <c r="C3700" s="8"/>
    </row>
    <row r="3701" spans="3:3" x14ac:dyDescent="0.25">
      <c r="C3701" s="8"/>
    </row>
    <row r="3702" spans="3:3" x14ac:dyDescent="0.25">
      <c r="C3702" s="8"/>
    </row>
    <row r="3703" spans="3:3" x14ac:dyDescent="0.25">
      <c r="C3703" s="8"/>
    </row>
    <row r="3704" spans="3:3" x14ac:dyDescent="0.25">
      <c r="C3704" s="8"/>
    </row>
    <row r="3705" spans="3:3" x14ac:dyDescent="0.25">
      <c r="C3705" s="8"/>
    </row>
    <row r="3706" spans="3:3" x14ac:dyDescent="0.25">
      <c r="C3706" s="8"/>
    </row>
    <row r="3707" spans="3:3" x14ac:dyDescent="0.25">
      <c r="C3707" s="8"/>
    </row>
    <row r="3708" spans="3:3" x14ac:dyDescent="0.25">
      <c r="C3708" s="8"/>
    </row>
    <row r="3709" spans="3:3" x14ac:dyDescent="0.25">
      <c r="C3709" s="8"/>
    </row>
    <row r="3710" spans="3:3" x14ac:dyDescent="0.25">
      <c r="C3710" s="8"/>
    </row>
    <row r="3711" spans="3:3" x14ac:dyDescent="0.25">
      <c r="C3711" s="8"/>
    </row>
    <row r="3712" spans="3:3" x14ac:dyDescent="0.25">
      <c r="C3712" s="8"/>
    </row>
    <row r="3713" spans="3:3" x14ac:dyDescent="0.25">
      <c r="C3713" s="8"/>
    </row>
    <row r="3714" spans="3:3" x14ac:dyDescent="0.25">
      <c r="C3714" s="8"/>
    </row>
    <row r="3715" spans="3:3" x14ac:dyDescent="0.25">
      <c r="C3715" s="8"/>
    </row>
    <row r="3716" spans="3:3" x14ac:dyDescent="0.25">
      <c r="C3716" s="8"/>
    </row>
    <row r="3717" spans="3:3" x14ac:dyDescent="0.25">
      <c r="C3717" s="8"/>
    </row>
    <row r="3718" spans="3:3" x14ac:dyDescent="0.25">
      <c r="C3718" s="8"/>
    </row>
    <row r="3719" spans="3:3" x14ac:dyDescent="0.25">
      <c r="C3719" s="8"/>
    </row>
    <row r="3720" spans="3:3" x14ac:dyDescent="0.25">
      <c r="C3720" s="8"/>
    </row>
    <row r="3721" spans="3:3" x14ac:dyDescent="0.25">
      <c r="C3721" s="8"/>
    </row>
    <row r="3722" spans="3:3" x14ac:dyDescent="0.25">
      <c r="C3722" s="8"/>
    </row>
    <row r="3723" spans="3:3" x14ac:dyDescent="0.25">
      <c r="C3723" s="8"/>
    </row>
    <row r="3724" spans="3:3" x14ac:dyDescent="0.25">
      <c r="C3724" s="8"/>
    </row>
    <row r="3725" spans="3:3" x14ac:dyDescent="0.25">
      <c r="C3725" s="8"/>
    </row>
    <row r="3726" spans="3:3" x14ac:dyDescent="0.25">
      <c r="C3726" s="8"/>
    </row>
    <row r="3727" spans="3:3" x14ac:dyDescent="0.25">
      <c r="C3727" s="8"/>
    </row>
    <row r="3728" spans="3:3" x14ac:dyDescent="0.25">
      <c r="C3728" s="8"/>
    </row>
    <row r="3729" spans="3:3" x14ac:dyDescent="0.25">
      <c r="C3729" s="8"/>
    </row>
    <row r="3730" spans="3:3" x14ac:dyDescent="0.25">
      <c r="C3730" s="8"/>
    </row>
    <row r="3731" spans="3:3" x14ac:dyDescent="0.25">
      <c r="C3731" s="8"/>
    </row>
    <row r="3732" spans="3:3" x14ac:dyDescent="0.25">
      <c r="C3732" s="8"/>
    </row>
    <row r="3733" spans="3:3" x14ac:dyDescent="0.25">
      <c r="C3733" s="8"/>
    </row>
    <row r="3734" spans="3:3" x14ac:dyDescent="0.25">
      <c r="C3734" s="8"/>
    </row>
    <row r="3735" spans="3:3" x14ac:dyDescent="0.25">
      <c r="C3735" s="8"/>
    </row>
    <row r="3736" spans="3:3" x14ac:dyDescent="0.25">
      <c r="C3736" s="8"/>
    </row>
    <row r="3737" spans="3:3" x14ac:dyDescent="0.25">
      <c r="C3737" s="8"/>
    </row>
    <row r="3738" spans="3:3" x14ac:dyDescent="0.25">
      <c r="C3738" s="8"/>
    </row>
    <row r="3739" spans="3:3" x14ac:dyDescent="0.25">
      <c r="C3739" s="8"/>
    </row>
    <row r="3740" spans="3:3" x14ac:dyDescent="0.25">
      <c r="C3740" s="8"/>
    </row>
    <row r="3741" spans="3:3" x14ac:dyDescent="0.25">
      <c r="C3741" s="8"/>
    </row>
    <row r="3742" spans="3:3" x14ac:dyDescent="0.25">
      <c r="C3742" s="8"/>
    </row>
    <row r="3743" spans="3:3" x14ac:dyDescent="0.25">
      <c r="C3743" s="8"/>
    </row>
    <row r="3744" spans="3:3" x14ac:dyDescent="0.25">
      <c r="C3744" s="8"/>
    </row>
    <row r="3745" spans="3:3" x14ac:dyDescent="0.25">
      <c r="C3745" s="8"/>
    </row>
    <row r="3746" spans="3:3" x14ac:dyDescent="0.25">
      <c r="C3746" s="8"/>
    </row>
    <row r="3747" spans="3:3" x14ac:dyDescent="0.25">
      <c r="C3747" s="8"/>
    </row>
    <row r="3748" spans="3:3" x14ac:dyDescent="0.25">
      <c r="C3748" s="8"/>
    </row>
    <row r="3749" spans="3:3" x14ac:dyDescent="0.25">
      <c r="C3749" s="8"/>
    </row>
    <row r="3750" spans="3:3" x14ac:dyDescent="0.25">
      <c r="C3750" s="8"/>
    </row>
    <row r="3751" spans="3:3" x14ac:dyDescent="0.25">
      <c r="C3751" s="8"/>
    </row>
    <row r="3752" spans="3:3" x14ac:dyDescent="0.25">
      <c r="C3752" s="8"/>
    </row>
    <row r="3753" spans="3:3" x14ac:dyDescent="0.25">
      <c r="C3753" s="8"/>
    </row>
    <row r="3754" spans="3:3" x14ac:dyDescent="0.25">
      <c r="C3754" s="8"/>
    </row>
    <row r="3755" spans="3:3" x14ac:dyDescent="0.25">
      <c r="C3755" s="8"/>
    </row>
    <row r="3756" spans="3:3" x14ac:dyDescent="0.25">
      <c r="C3756" s="8"/>
    </row>
    <row r="3757" spans="3:3" x14ac:dyDescent="0.25">
      <c r="C3757" s="8"/>
    </row>
    <row r="3758" spans="3:3" x14ac:dyDescent="0.25">
      <c r="C3758" s="8"/>
    </row>
    <row r="3759" spans="3:3" x14ac:dyDescent="0.25">
      <c r="C3759" s="8"/>
    </row>
    <row r="3760" spans="3:3" x14ac:dyDescent="0.25">
      <c r="C3760" s="8"/>
    </row>
    <row r="3761" spans="3:3" x14ac:dyDescent="0.25">
      <c r="C3761" s="8"/>
    </row>
    <row r="3762" spans="3:3" x14ac:dyDescent="0.25">
      <c r="C3762" s="8"/>
    </row>
    <row r="3763" spans="3:3" x14ac:dyDescent="0.25">
      <c r="C3763" s="8"/>
    </row>
    <row r="3764" spans="3:3" x14ac:dyDescent="0.25">
      <c r="C3764" s="8"/>
    </row>
    <row r="3765" spans="3:3" x14ac:dyDescent="0.25">
      <c r="C3765" s="8"/>
    </row>
    <row r="3766" spans="3:3" x14ac:dyDescent="0.25">
      <c r="C3766" s="8"/>
    </row>
    <row r="3767" spans="3:3" x14ac:dyDescent="0.25">
      <c r="C3767" s="8"/>
    </row>
    <row r="3768" spans="3:3" x14ac:dyDescent="0.25">
      <c r="C3768" s="8"/>
    </row>
    <row r="3769" spans="3:3" x14ac:dyDescent="0.25">
      <c r="C3769" s="8"/>
    </row>
    <row r="3770" spans="3:3" x14ac:dyDescent="0.25">
      <c r="C3770" s="8"/>
    </row>
    <row r="3771" spans="3:3" x14ac:dyDescent="0.25">
      <c r="C3771" s="8"/>
    </row>
    <row r="3772" spans="3:3" x14ac:dyDescent="0.25">
      <c r="C3772" s="8"/>
    </row>
    <row r="3773" spans="3:3" x14ac:dyDescent="0.25">
      <c r="C3773" s="8"/>
    </row>
    <row r="3774" spans="3:3" x14ac:dyDescent="0.25">
      <c r="C3774" s="8"/>
    </row>
    <row r="3775" spans="3:3" x14ac:dyDescent="0.25">
      <c r="C3775" s="8"/>
    </row>
    <row r="3776" spans="3:3" x14ac:dyDescent="0.25">
      <c r="C3776" s="8"/>
    </row>
    <row r="3777" spans="3:3" x14ac:dyDescent="0.25">
      <c r="C3777" s="8"/>
    </row>
    <row r="3778" spans="3:3" x14ac:dyDescent="0.25">
      <c r="C3778" s="8"/>
    </row>
    <row r="3779" spans="3:3" x14ac:dyDescent="0.25">
      <c r="C3779" s="8"/>
    </row>
    <row r="3780" spans="3:3" x14ac:dyDescent="0.25">
      <c r="C3780" s="8"/>
    </row>
    <row r="3781" spans="3:3" x14ac:dyDescent="0.25">
      <c r="C3781" s="8"/>
    </row>
    <row r="3782" spans="3:3" x14ac:dyDescent="0.25">
      <c r="C3782" s="8"/>
    </row>
    <row r="3783" spans="3:3" x14ac:dyDescent="0.25">
      <c r="C3783" s="8"/>
    </row>
    <row r="3784" spans="3:3" x14ac:dyDescent="0.25">
      <c r="C3784" s="8"/>
    </row>
    <row r="3785" spans="3:3" x14ac:dyDescent="0.25">
      <c r="C3785" s="8"/>
    </row>
    <row r="3786" spans="3:3" x14ac:dyDescent="0.25">
      <c r="C3786" s="8"/>
    </row>
    <row r="3787" spans="3:3" x14ac:dyDescent="0.25">
      <c r="C3787" s="8"/>
    </row>
    <row r="3788" spans="3:3" x14ac:dyDescent="0.25">
      <c r="C3788" s="8"/>
    </row>
    <row r="3789" spans="3:3" x14ac:dyDescent="0.25">
      <c r="C3789" s="8"/>
    </row>
    <row r="3790" spans="3:3" x14ac:dyDescent="0.25">
      <c r="C3790" s="8"/>
    </row>
    <row r="3791" spans="3:3" x14ac:dyDescent="0.25">
      <c r="C3791" s="8"/>
    </row>
    <row r="3792" spans="3:3" x14ac:dyDescent="0.25">
      <c r="C3792" s="8"/>
    </row>
    <row r="3793" spans="3:3" x14ac:dyDescent="0.25">
      <c r="C3793" s="8"/>
    </row>
    <row r="3794" spans="3:3" x14ac:dyDescent="0.25">
      <c r="C3794" s="8"/>
    </row>
    <row r="3795" spans="3:3" x14ac:dyDescent="0.25">
      <c r="C3795" s="8"/>
    </row>
    <row r="3796" spans="3:3" x14ac:dyDescent="0.25">
      <c r="C3796" s="8"/>
    </row>
    <row r="3797" spans="3:3" x14ac:dyDescent="0.25">
      <c r="C3797" s="8"/>
    </row>
    <row r="3798" spans="3:3" x14ac:dyDescent="0.25">
      <c r="C3798" s="8"/>
    </row>
    <row r="3799" spans="3:3" x14ac:dyDescent="0.25">
      <c r="C3799" s="8"/>
    </row>
    <row r="3800" spans="3:3" x14ac:dyDescent="0.25">
      <c r="C3800" s="8"/>
    </row>
    <row r="3801" spans="3:3" x14ac:dyDescent="0.25">
      <c r="C3801" s="8"/>
    </row>
    <row r="3802" spans="3:3" x14ac:dyDescent="0.25">
      <c r="C3802" s="8"/>
    </row>
    <row r="3803" spans="3:3" x14ac:dyDescent="0.25">
      <c r="C3803" s="8"/>
    </row>
    <row r="3804" spans="3:3" x14ac:dyDescent="0.25">
      <c r="C3804" s="8"/>
    </row>
    <row r="3805" spans="3:3" x14ac:dyDescent="0.25">
      <c r="C3805" s="8"/>
    </row>
    <row r="3806" spans="3:3" x14ac:dyDescent="0.25">
      <c r="C3806" s="8"/>
    </row>
    <row r="3807" spans="3:3" x14ac:dyDescent="0.25">
      <c r="C3807" s="8"/>
    </row>
    <row r="3808" spans="3:3" x14ac:dyDescent="0.25">
      <c r="C3808" s="8"/>
    </row>
    <row r="3809" spans="3:4" x14ac:dyDescent="0.25">
      <c r="C3809" s="8"/>
    </row>
    <row r="3810" spans="3:4" x14ac:dyDescent="0.25">
      <c r="C3810" s="8"/>
    </row>
    <row r="3811" spans="3:4" x14ac:dyDescent="0.25">
      <c r="C3811" s="8"/>
    </row>
    <row r="3812" spans="3:4" x14ac:dyDescent="0.25">
      <c r="C3812" s="8"/>
    </row>
    <row r="3813" spans="3:4" x14ac:dyDescent="0.25">
      <c r="C3813" s="8"/>
    </row>
    <row r="3814" spans="3:4" x14ac:dyDescent="0.25">
      <c r="C3814" s="8"/>
    </row>
    <row r="3815" spans="3:4" x14ac:dyDescent="0.25">
      <c r="C3815" s="8"/>
    </row>
    <row r="3816" spans="3:4" x14ac:dyDescent="0.25">
      <c r="C3816" s="8"/>
    </row>
    <row r="3817" spans="3:4" x14ac:dyDescent="0.25">
      <c r="C3817" s="8"/>
      <c r="D3817" s="33"/>
    </row>
    <row r="3818" spans="3:4" x14ac:dyDescent="0.25">
      <c r="C3818" s="8"/>
    </row>
    <row r="3819" spans="3:4" x14ac:dyDescent="0.25">
      <c r="C3819" s="8"/>
    </row>
    <row r="3820" spans="3:4" x14ac:dyDescent="0.25">
      <c r="C3820" s="8"/>
    </row>
    <row r="3821" spans="3:4" x14ac:dyDescent="0.25">
      <c r="C3821" s="8"/>
    </row>
    <row r="3822" spans="3:4" x14ac:dyDescent="0.25">
      <c r="C3822" s="8"/>
    </row>
    <row r="3823" spans="3:4" x14ac:dyDescent="0.25">
      <c r="C3823" s="8"/>
    </row>
    <row r="3824" spans="3:4" x14ac:dyDescent="0.25">
      <c r="C3824" s="8"/>
    </row>
    <row r="3825" spans="3:3" x14ac:dyDescent="0.25">
      <c r="C3825" s="8"/>
    </row>
    <row r="3826" spans="3:3" x14ac:dyDescent="0.25">
      <c r="C3826" s="8"/>
    </row>
    <row r="3827" spans="3:3" x14ac:dyDescent="0.25">
      <c r="C3827" s="8"/>
    </row>
    <row r="3828" spans="3:3" x14ac:dyDescent="0.25">
      <c r="C3828" s="8"/>
    </row>
    <row r="3829" spans="3:3" x14ac:dyDescent="0.25">
      <c r="C3829" s="8"/>
    </row>
    <row r="3830" spans="3:3" x14ac:dyDescent="0.25">
      <c r="C3830" s="8"/>
    </row>
    <row r="3831" spans="3:3" x14ac:dyDescent="0.25">
      <c r="C3831" s="8"/>
    </row>
    <row r="3832" spans="3:3" x14ac:dyDescent="0.25">
      <c r="C3832" s="8"/>
    </row>
    <row r="3833" spans="3:3" x14ac:dyDescent="0.25">
      <c r="C3833" s="8"/>
    </row>
    <row r="3834" spans="3:3" x14ac:dyDescent="0.25">
      <c r="C3834" s="8"/>
    </row>
    <row r="3835" spans="3:3" x14ac:dyDescent="0.25">
      <c r="C3835" s="8"/>
    </row>
    <row r="3836" spans="3:3" x14ac:dyDescent="0.25">
      <c r="C3836" s="8"/>
    </row>
    <row r="3837" spans="3:3" x14ac:dyDescent="0.25">
      <c r="C3837" s="8"/>
    </row>
    <row r="3838" spans="3:3" x14ac:dyDescent="0.25">
      <c r="C3838" s="8"/>
    </row>
    <row r="3839" spans="3:3" x14ac:dyDescent="0.25">
      <c r="C3839" s="8"/>
    </row>
    <row r="3840" spans="3:3" x14ac:dyDescent="0.25">
      <c r="C3840" s="8"/>
    </row>
    <row r="3841" spans="3:3" x14ac:dyDescent="0.25">
      <c r="C3841" s="8"/>
    </row>
    <row r="3842" spans="3:3" x14ac:dyDescent="0.25">
      <c r="C3842" s="8"/>
    </row>
    <row r="3843" spans="3:3" x14ac:dyDescent="0.25">
      <c r="C3843" s="8"/>
    </row>
    <row r="3844" spans="3:3" x14ac:dyDescent="0.25">
      <c r="C3844" s="8"/>
    </row>
    <row r="3845" spans="3:3" x14ac:dyDescent="0.25">
      <c r="C3845" s="8"/>
    </row>
    <row r="3846" spans="3:3" x14ac:dyDescent="0.25">
      <c r="C3846" s="8"/>
    </row>
    <row r="3847" spans="3:3" x14ac:dyDescent="0.25">
      <c r="C3847" s="8"/>
    </row>
    <row r="3848" spans="3:3" x14ac:dyDescent="0.25">
      <c r="C3848" s="8"/>
    </row>
    <row r="3849" spans="3:3" x14ac:dyDescent="0.25">
      <c r="C3849" s="8"/>
    </row>
    <row r="3850" spans="3:3" x14ac:dyDescent="0.25">
      <c r="C3850" s="8"/>
    </row>
    <row r="3851" spans="3:3" x14ac:dyDescent="0.25">
      <c r="C3851" s="8"/>
    </row>
    <row r="3852" spans="3:3" x14ac:dyDescent="0.25">
      <c r="C3852" s="8"/>
    </row>
    <row r="3853" spans="3:3" x14ac:dyDescent="0.25">
      <c r="C3853" s="8"/>
    </row>
    <row r="3854" spans="3:3" x14ac:dyDescent="0.25">
      <c r="C3854" s="8"/>
    </row>
    <row r="3855" spans="3:3" x14ac:dyDescent="0.25">
      <c r="C3855" s="8"/>
    </row>
    <row r="3856" spans="3:3" x14ac:dyDescent="0.25">
      <c r="C3856" s="8"/>
    </row>
    <row r="3857" spans="3:3" x14ac:dyDescent="0.25">
      <c r="C3857" s="8"/>
    </row>
    <row r="3858" spans="3:3" x14ac:dyDescent="0.25">
      <c r="C3858" s="8"/>
    </row>
    <row r="3859" spans="3:3" x14ac:dyDescent="0.25">
      <c r="C3859" s="8"/>
    </row>
    <row r="3860" spans="3:3" x14ac:dyDescent="0.25">
      <c r="C3860" s="8"/>
    </row>
    <row r="3861" spans="3:3" x14ac:dyDescent="0.25">
      <c r="C3861" s="8"/>
    </row>
    <row r="3862" spans="3:3" x14ac:dyDescent="0.25">
      <c r="C3862" s="8"/>
    </row>
    <row r="3863" spans="3:3" x14ac:dyDescent="0.25">
      <c r="C3863" s="8"/>
    </row>
    <row r="3864" spans="3:3" x14ac:dyDescent="0.25">
      <c r="C3864" s="8"/>
    </row>
    <row r="3865" spans="3:3" x14ac:dyDescent="0.25">
      <c r="C3865" s="8"/>
    </row>
    <row r="3866" spans="3:3" x14ac:dyDescent="0.25">
      <c r="C3866" s="8"/>
    </row>
    <row r="3867" spans="3:3" x14ac:dyDescent="0.25">
      <c r="C3867" s="8"/>
    </row>
    <row r="3868" spans="3:3" x14ac:dyDescent="0.25">
      <c r="C3868" s="8"/>
    </row>
    <row r="3869" spans="3:3" x14ac:dyDescent="0.25">
      <c r="C3869" s="8"/>
    </row>
    <row r="3870" spans="3:3" x14ac:dyDescent="0.25">
      <c r="C3870" s="8"/>
    </row>
    <row r="3871" spans="3:3" x14ac:dyDescent="0.25">
      <c r="C3871" s="8"/>
    </row>
    <row r="3872" spans="3:3" x14ac:dyDescent="0.25">
      <c r="C3872" s="8"/>
    </row>
    <row r="3873" spans="3:3" x14ac:dyDescent="0.25">
      <c r="C3873" s="8"/>
    </row>
    <row r="3874" spans="3:3" x14ac:dyDescent="0.25">
      <c r="C3874" s="8"/>
    </row>
    <row r="3875" spans="3:3" x14ac:dyDescent="0.25">
      <c r="C3875" s="8"/>
    </row>
    <row r="3876" spans="3:3" x14ac:dyDescent="0.25">
      <c r="C3876" s="8"/>
    </row>
    <row r="3877" spans="3:3" x14ac:dyDescent="0.25">
      <c r="C3877" s="8"/>
    </row>
    <row r="3878" spans="3:3" x14ac:dyDescent="0.25">
      <c r="C3878" s="8"/>
    </row>
    <row r="3879" spans="3:3" x14ac:dyDescent="0.25">
      <c r="C3879" s="8"/>
    </row>
    <row r="3880" spans="3:3" x14ac:dyDescent="0.25">
      <c r="C3880" s="8"/>
    </row>
    <row r="3881" spans="3:3" x14ac:dyDescent="0.25">
      <c r="C3881" s="8"/>
    </row>
    <row r="3882" spans="3:3" x14ac:dyDescent="0.25">
      <c r="C3882" s="8"/>
    </row>
    <row r="3883" spans="3:3" x14ac:dyDescent="0.25">
      <c r="C3883" s="8"/>
    </row>
    <row r="3884" spans="3:3" x14ac:dyDescent="0.25">
      <c r="C3884" s="8"/>
    </row>
    <row r="3885" spans="3:3" x14ac:dyDescent="0.25">
      <c r="C3885" s="8"/>
    </row>
    <row r="3886" spans="3:3" x14ac:dyDescent="0.25">
      <c r="C3886" s="8"/>
    </row>
    <row r="3887" spans="3:3" x14ac:dyDescent="0.25">
      <c r="C3887" s="8"/>
    </row>
    <row r="3888" spans="3:3" x14ac:dyDescent="0.25">
      <c r="C3888" s="8"/>
    </row>
    <row r="3889" spans="3:3" x14ac:dyDescent="0.25">
      <c r="C3889" s="8"/>
    </row>
    <row r="3890" spans="3:3" x14ac:dyDescent="0.25">
      <c r="C3890" s="8"/>
    </row>
    <row r="3891" spans="3:3" x14ac:dyDescent="0.25">
      <c r="C3891" s="8"/>
    </row>
    <row r="3892" spans="3:3" x14ac:dyDescent="0.25">
      <c r="C3892" s="8"/>
    </row>
    <row r="3893" spans="3:3" x14ac:dyDescent="0.25">
      <c r="C3893" s="8"/>
    </row>
    <row r="3894" spans="3:3" x14ac:dyDescent="0.25">
      <c r="C3894" s="8"/>
    </row>
    <row r="3895" spans="3:3" x14ac:dyDescent="0.25">
      <c r="C3895" s="8"/>
    </row>
    <row r="3896" spans="3:3" x14ac:dyDescent="0.25">
      <c r="C3896" s="8"/>
    </row>
    <row r="3897" spans="3:3" x14ac:dyDescent="0.25">
      <c r="C3897" s="8"/>
    </row>
    <row r="3898" spans="3:3" x14ac:dyDescent="0.25">
      <c r="C3898" s="8"/>
    </row>
    <row r="3899" spans="3:3" x14ac:dyDescent="0.25">
      <c r="C3899" s="8"/>
    </row>
    <row r="3900" spans="3:3" x14ac:dyDescent="0.25">
      <c r="C3900" s="8"/>
    </row>
    <row r="3901" spans="3:3" x14ac:dyDescent="0.25">
      <c r="C3901" s="8"/>
    </row>
    <row r="3902" spans="3:3" x14ac:dyDescent="0.25">
      <c r="C3902" s="8"/>
    </row>
    <row r="3903" spans="3:3" x14ac:dyDescent="0.25">
      <c r="C3903" s="8"/>
    </row>
    <row r="3904" spans="3:3" x14ac:dyDescent="0.25">
      <c r="C3904" s="8"/>
    </row>
    <row r="3905" spans="3:3" x14ac:dyDescent="0.25">
      <c r="C3905" s="8"/>
    </row>
    <row r="3906" spans="3:3" x14ac:dyDescent="0.25">
      <c r="C3906" s="8"/>
    </row>
    <row r="3907" spans="3:3" x14ac:dyDescent="0.25">
      <c r="C3907" s="8"/>
    </row>
    <row r="3908" spans="3:3" x14ac:dyDescent="0.25">
      <c r="C3908" s="8"/>
    </row>
    <row r="3909" spans="3:3" x14ac:dyDescent="0.25">
      <c r="C3909" s="8"/>
    </row>
    <row r="3910" spans="3:3" x14ac:dyDescent="0.25">
      <c r="C3910" s="8"/>
    </row>
    <row r="3911" spans="3:3" x14ac:dyDescent="0.25">
      <c r="C3911" s="8"/>
    </row>
    <row r="3912" spans="3:3" x14ac:dyDescent="0.25">
      <c r="C3912" s="8"/>
    </row>
    <row r="3913" spans="3:3" x14ac:dyDescent="0.25">
      <c r="C3913" s="8"/>
    </row>
    <row r="3914" spans="3:3" x14ac:dyDescent="0.25">
      <c r="C3914" s="8"/>
    </row>
    <row r="3915" spans="3:3" x14ac:dyDescent="0.25">
      <c r="C3915" s="8"/>
    </row>
    <row r="3916" spans="3:3" x14ac:dyDescent="0.25">
      <c r="C3916" s="8"/>
    </row>
    <row r="3917" spans="3:3" x14ac:dyDescent="0.25">
      <c r="C3917" s="8"/>
    </row>
    <row r="3918" spans="3:3" x14ac:dyDescent="0.25">
      <c r="C3918" s="8"/>
    </row>
    <row r="3919" spans="3:3" x14ac:dyDescent="0.25">
      <c r="C3919" s="8"/>
    </row>
    <row r="3920" spans="3:3" x14ac:dyDescent="0.25">
      <c r="C3920" s="8"/>
    </row>
    <row r="3921" spans="3:3" x14ac:dyDescent="0.25">
      <c r="C3921" s="8"/>
    </row>
    <row r="3922" spans="3:3" x14ac:dyDescent="0.25">
      <c r="C3922" s="8"/>
    </row>
    <row r="3923" spans="3:3" x14ac:dyDescent="0.25">
      <c r="C3923" s="8"/>
    </row>
    <row r="3924" spans="3:3" x14ac:dyDescent="0.25">
      <c r="C3924" s="8"/>
    </row>
    <row r="3925" spans="3:3" x14ac:dyDescent="0.25">
      <c r="C3925" s="8"/>
    </row>
    <row r="3926" spans="3:3" x14ac:dyDescent="0.25">
      <c r="C3926" s="8"/>
    </row>
    <row r="3927" spans="3:3" x14ac:dyDescent="0.25">
      <c r="C3927" s="8"/>
    </row>
    <row r="3928" spans="3:3" x14ac:dyDescent="0.25">
      <c r="C3928" s="8"/>
    </row>
    <row r="3929" spans="3:3" x14ac:dyDescent="0.25">
      <c r="C3929" s="8"/>
    </row>
    <row r="3930" spans="3:3" x14ac:dyDescent="0.25">
      <c r="C3930" s="8"/>
    </row>
    <row r="3931" spans="3:3" x14ac:dyDescent="0.25">
      <c r="C3931" s="8"/>
    </row>
    <row r="3932" spans="3:3" x14ac:dyDescent="0.25">
      <c r="C3932" s="8"/>
    </row>
    <row r="3933" spans="3:3" x14ac:dyDescent="0.25">
      <c r="C3933" s="8"/>
    </row>
    <row r="3934" spans="3:3" x14ac:dyDescent="0.25">
      <c r="C3934" s="8"/>
    </row>
    <row r="3935" spans="3:3" x14ac:dyDescent="0.25">
      <c r="C3935" s="8"/>
    </row>
    <row r="3936" spans="3:3" x14ac:dyDescent="0.25">
      <c r="C3936" s="8"/>
    </row>
    <row r="3937" spans="3:3" x14ac:dyDescent="0.25">
      <c r="C3937" s="8"/>
    </row>
    <row r="3938" spans="3:3" x14ac:dyDescent="0.25">
      <c r="C3938" s="8"/>
    </row>
    <row r="3939" spans="3:3" x14ac:dyDescent="0.25">
      <c r="C3939" s="8"/>
    </row>
    <row r="3940" spans="3:3" x14ac:dyDescent="0.25">
      <c r="C3940" s="8"/>
    </row>
    <row r="3941" spans="3:3" x14ac:dyDescent="0.25">
      <c r="C3941" s="8"/>
    </row>
    <row r="3942" spans="3:3" x14ac:dyDescent="0.25">
      <c r="C3942" s="8"/>
    </row>
    <row r="3943" spans="3:3" x14ac:dyDescent="0.25">
      <c r="C3943" s="8"/>
    </row>
    <row r="3944" spans="3:3" x14ac:dyDescent="0.25">
      <c r="C3944" s="8"/>
    </row>
    <row r="3945" spans="3:3" x14ac:dyDescent="0.25">
      <c r="C3945" s="8"/>
    </row>
    <row r="3946" spans="3:3" x14ac:dyDescent="0.25">
      <c r="C3946" s="8"/>
    </row>
    <row r="3947" spans="3:3" x14ac:dyDescent="0.25">
      <c r="C3947" s="8"/>
    </row>
    <row r="3948" spans="3:3" x14ac:dyDescent="0.25">
      <c r="C3948" s="8"/>
    </row>
    <row r="3949" spans="3:3" x14ac:dyDescent="0.25">
      <c r="C3949" s="8"/>
    </row>
    <row r="3950" spans="3:3" x14ac:dyDescent="0.25">
      <c r="C3950" s="8"/>
    </row>
    <row r="3951" spans="3:3" x14ac:dyDescent="0.25">
      <c r="C3951" s="8"/>
    </row>
    <row r="3952" spans="3:3" x14ac:dyDescent="0.25">
      <c r="C3952" s="8"/>
    </row>
    <row r="3953" spans="3:3" x14ac:dyDescent="0.25">
      <c r="C3953" s="8"/>
    </row>
    <row r="3954" spans="3:3" x14ac:dyDescent="0.25">
      <c r="C3954" s="8"/>
    </row>
    <row r="3955" spans="3:3" x14ac:dyDescent="0.25">
      <c r="C3955" s="8"/>
    </row>
    <row r="3956" spans="3:3" x14ac:dyDescent="0.25">
      <c r="C3956" s="8"/>
    </row>
    <row r="3957" spans="3:3" x14ac:dyDescent="0.25">
      <c r="C3957" s="8"/>
    </row>
    <row r="3958" spans="3:3" x14ac:dyDescent="0.25">
      <c r="C3958" s="8"/>
    </row>
    <row r="3959" spans="3:3" x14ac:dyDescent="0.25">
      <c r="C3959" s="8"/>
    </row>
    <row r="3960" spans="3:3" x14ac:dyDescent="0.25">
      <c r="C3960" s="8"/>
    </row>
    <row r="3961" spans="3:3" x14ac:dyDescent="0.25">
      <c r="C3961" s="8"/>
    </row>
    <row r="3962" spans="3:3" x14ac:dyDescent="0.25">
      <c r="C3962" s="8"/>
    </row>
    <row r="3963" spans="3:3" x14ac:dyDescent="0.25">
      <c r="C3963" s="8"/>
    </row>
    <row r="3964" spans="3:3" x14ac:dyDescent="0.25">
      <c r="C3964" s="8"/>
    </row>
    <row r="3965" spans="3:3" x14ac:dyDescent="0.25">
      <c r="C3965" s="8"/>
    </row>
    <row r="3966" spans="3:3" x14ac:dyDescent="0.25">
      <c r="C3966" s="8"/>
    </row>
    <row r="3967" spans="3:3" x14ac:dyDescent="0.25">
      <c r="C3967" s="8"/>
    </row>
    <row r="3968" spans="3:3" x14ac:dyDescent="0.25">
      <c r="C3968" s="8"/>
    </row>
    <row r="3969" spans="3:3" x14ac:dyDescent="0.25">
      <c r="C3969" s="8"/>
    </row>
    <row r="3970" spans="3:3" x14ac:dyDescent="0.25">
      <c r="C3970" s="8"/>
    </row>
    <row r="3971" spans="3:3" x14ac:dyDescent="0.25">
      <c r="C3971" s="8"/>
    </row>
    <row r="3972" spans="3:3" x14ac:dyDescent="0.25">
      <c r="C3972" s="8"/>
    </row>
    <row r="3973" spans="3:3" x14ac:dyDescent="0.25">
      <c r="C3973" s="8"/>
    </row>
    <row r="3974" spans="3:3" x14ac:dyDescent="0.25">
      <c r="C3974" s="8"/>
    </row>
    <row r="3975" spans="3:3" x14ac:dyDescent="0.25">
      <c r="C3975" s="8"/>
    </row>
    <row r="3976" spans="3:3" x14ac:dyDescent="0.25">
      <c r="C3976" s="8"/>
    </row>
    <row r="3977" spans="3:3" x14ac:dyDescent="0.25">
      <c r="C3977" s="8"/>
    </row>
    <row r="3978" spans="3:3" x14ac:dyDescent="0.25">
      <c r="C3978" s="8"/>
    </row>
    <row r="3979" spans="3:3" x14ac:dyDescent="0.25">
      <c r="C3979" s="8"/>
    </row>
    <row r="3980" spans="3:3" x14ac:dyDescent="0.25">
      <c r="C3980" s="8"/>
    </row>
    <row r="3981" spans="3:3" x14ac:dyDescent="0.25">
      <c r="C3981" s="8"/>
    </row>
    <row r="3982" spans="3:3" x14ac:dyDescent="0.25">
      <c r="C3982" s="8"/>
    </row>
    <row r="3983" spans="3:3" x14ac:dyDescent="0.25">
      <c r="C3983" s="8"/>
    </row>
    <row r="3984" spans="3:3" x14ac:dyDescent="0.25">
      <c r="C3984" s="8"/>
    </row>
    <row r="3985" spans="3:3" x14ac:dyDescent="0.25">
      <c r="C3985" s="8"/>
    </row>
    <row r="3986" spans="3:3" x14ac:dyDescent="0.25">
      <c r="C3986" s="8"/>
    </row>
    <row r="3987" spans="3:3" x14ac:dyDescent="0.25">
      <c r="C3987" s="8"/>
    </row>
    <row r="3988" spans="3:3" x14ac:dyDescent="0.25">
      <c r="C3988" s="8"/>
    </row>
    <row r="3989" spans="3:3" x14ac:dyDescent="0.25">
      <c r="C3989" s="8"/>
    </row>
    <row r="3990" spans="3:3" x14ac:dyDescent="0.25">
      <c r="C3990" s="8"/>
    </row>
    <row r="3991" spans="3:3" x14ac:dyDescent="0.25">
      <c r="C3991" s="8"/>
    </row>
    <row r="3992" spans="3:3" x14ac:dyDescent="0.25">
      <c r="C3992" s="8"/>
    </row>
    <row r="3993" spans="3:3" x14ac:dyDescent="0.25">
      <c r="C3993" s="8"/>
    </row>
    <row r="3994" spans="3:3" x14ac:dyDescent="0.25">
      <c r="C3994" s="8"/>
    </row>
    <row r="3995" spans="3:3" x14ac:dyDescent="0.25">
      <c r="C3995" s="8"/>
    </row>
    <row r="3996" spans="3:3" x14ac:dyDescent="0.25">
      <c r="C3996" s="8"/>
    </row>
    <row r="3997" spans="3:3" x14ac:dyDescent="0.25">
      <c r="C3997" s="8"/>
    </row>
    <row r="3998" spans="3:3" x14ac:dyDescent="0.25">
      <c r="C3998" s="8"/>
    </row>
    <row r="3999" spans="3:3" x14ac:dyDescent="0.25">
      <c r="C3999" s="8"/>
    </row>
    <row r="4000" spans="3:3" x14ac:dyDescent="0.25">
      <c r="C4000" s="8"/>
    </row>
    <row r="4001" spans="3:3" x14ac:dyDescent="0.25">
      <c r="C4001" s="8"/>
    </row>
    <row r="4002" spans="3:3" x14ac:dyDescent="0.25">
      <c r="C4002" s="8"/>
    </row>
    <row r="4003" spans="3:3" x14ac:dyDescent="0.25">
      <c r="C4003" s="8"/>
    </row>
    <row r="4004" spans="3:3" x14ac:dyDescent="0.25">
      <c r="C4004" s="8"/>
    </row>
    <row r="4005" spans="3:3" x14ac:dyDescent="0.25">
      <c r="C4005" s="8"/>
    </row>
    <row r="4006" spans="3:3" x14ac:dyDescent="0.25">
      <c r="C4006" s="8"/>
    </row>
    <row r="4007" spans="3:3" x14ac:dyDescent="0.25">
      <c r="C4007" s="8"/>
    </row>
    <row r="4008" spans="3:3" x14ac:dyDescent="0.25">
      <c r="C4008" s="8"/>
    </row>
    <row r="4009" spans="3:3" x14ac:dyDescent="0.25">
      <c r="C4009" s="8"/>
    </row>
    <row r="4010" spans="3:3" x14ac:dyDescent="0.25">
      <c r="C4010" s="8"/>
    </row>
    <row r="4011" spans="3:3" x14ac:dyDescent="0.25">
      <c r="C4011" s="8"/>
    </row>
    <row r="4012" spans="3:3" x14ac:dyDescent="0.25">
      <c r="C4012" s="8"/>
    </row>
    <row r="4013" spans="3:3" x14ac:dyDescent="0.25">
      <c r="C4013" s="8"/>
    </row>
    <row r="4014" spans="3:3" x14ac:dyDescent="0.25">
      <c r="C4014" s="8"/>
    </row>
    <row r="4015" spans="3:3" x14ac:dyDescent="0.25">
      <c r="C4015" s="8"/>
    </row>
    <row r="4016" spans="3:3" x14ac:dyDescent="0.25">
      <c r="C4016" s="8"/>
    </row>
    <row r="4017" spans="3:3" x14ac:dyDescent="0.25">
      <c r="C4017" s="8"/>
    </row>
    <row r="4018" spans="3:3" x14ac:dyDescent="0.25">
      <c r="C4018" s="8"/>
    </row>
    <row r="4019" spans="3:3" x14ac:dyDescent="0.25">
      <c r="C4019" s="8"/>
    </row>
    <row r="4020" spans="3:3" x14ac:dyDescent="0.25">
      <c r="C4020" s="8"/>
    </row>
    <row r="4021" spans="3:3" x14ac:dyDescent="0.25">
      <c r="C4021" s="8"/>
    </row>
    <row r="4022" spans="3:3" x14ac:dyDescent="0.25">
      <c r="C4022" s="8"/>
    </row>
    <row r="4023" spans="3:3" x14ac:dyDescent="0.25">
      <c r="C4023" s="8"/>
    </row>
    <row r="4024" spans="3:3" x14ac:dyDescent="0.25">
      <c r="C4024" s="8"/>
    </row>
    <row r="4025" spans="3:3" x14ac:dyDescent="0.25">
      <c r="C4025" s="8"/>
    </row>
    <row r="4026" spans="3:3" x14ac:dyDescent="0.25">
      <c r="C4026" s="8"/>
    </row>
    <row r="4027" spans="3:3" x14ac:dyDescent="0.25">
      <c r="C4027" s="8"/>
    </row>
    <row r="4028" spans="3:3" x14ac:dyDescent="0.25">
      <c r="C4028" s="8"/>
    </row>
    <row r="4029" spans="3:3" x14ac:dyDescent="0.25">
      <c r="C4029" s="8"/>
    </row>
    <row r="4030" spans="3:3" x14ac:dyDescent="0.25">
      <c r="C4030" s="8"/>
    </row>
    <row r="4031" spans="3:3" x14ac:dyDescent="0.25">
      <c r="C4031" s="8"/>
    </row>
    <row r="4032" spans="3:3" x14ac:dyDescent="0.25">
      <c r="C4032" s="8"/>
    </row>
    <row r="4033" spans="3:3" x14ac:dyDescent="0.25">
      <c r="C4033" s="8"/>
    </row>
    <row r="4034" spans="3:3" x14ac:dyDescent="0.25">
      <c r="C4034" s="8"/>
    </row>
    <row r="4035" spans="3:3" x14ac:dyDescent="0.25">
      <c r="C4035" s="8"/>
    </row>
    <row r="4036" spans="3:3" x14ac:dyDescent="0.25">
      <c r="C4036" s="8"/>
    </row>
    <row r="4037" spans="3:3" x14ac:dyDescent="0.25">
      <c r="C4037" s="8"/>
    </row>
    <row r="4038" spans="3:3" x14ac:dyDescent="0.25">
      <c r="C4038" s="8"/>
    </row>
    <row r="4039" spans="3:3" x14ac:dyDescent="0.25">
      <c r="C4039" s="8"/>
    </row>
    <row r="4040" spans="3:3" x14ac:dyDescent="0.25">
      <c r="C4040" s="8"/>
    </row>
    <row r="4041" spans="3:3" x14ac:dyDescent="0.25">
      <c r="C4041" s="8"/>
    </row>
    <row r="4042" spans="3:3" x14ac:dyDescent="0.25">
      <c r="C4042" s="8"/>
    </row>
    <row r="4043" spans="3:3" x14ac:dyDescent="0.25">
      <c r="C4043" s="8"/>
    </row>
    <row r="4044" spans="3:3" x14ac:dyDescent="0.25">
      <c r="C4044" s="8"/>
    </row>
    <row r="4045" spans="3:3" x14ac:dyDescent="0.25">
      <c r="C4045" s="8"/>
    </row>
    <row r="4046" spans="3:3" x14ac:dyDescent="0.25">
      <c r="C4046" s="8"/>
    </row>
    <row r="4047" spans="3:3" x14ac:dyDescent="0.25">
      <c r="C4047" s="8"/>
    </row>
    <row r="4048" spans="3:3" x14ac:dyDescent="0.25">
      <c r="C4048" s="8"/>
    </row>
    <row r="4049" spans="3:3" x14ac:dyDescent="0.25">
      <c r="C4049" s="8"/>
    </row>
    <row r="4050" spans="3:3" x14ac:dyDescent="0.25">
      <c r="C4050" s="8"/>
    </row>
    <row r="4051" spans="3:3" x14ac:dyDescent="0.25">
      <c r="C4051" s="8"/>
    </row>
    <row r="4052" spans="3:3" x14ac:dyDescent="0.25">
      <c r="C4052" s="8"/>
    </row>
    <row r="4053" spans="3:3" x14ac:dyDescent="0.25">
      <c r="C4053" s="8"/>
    </row>
    <row r="4054" spans="3:3" x14ac:dyDescent="0.25">
      <c r="C4054" s="8"/>
    </row>
    <row r="4055" spans="3:3" x14ac:dyDescent="0.25">
      <c r="C4055" s="8"/>
    </row>
    <row r="4056" spans="3:3" x14ac:dyDescent="0.25">
      <c r="C4056" s="8"/>
    </row>
    <row r="4057" spans="3:3" x14ac:dyDescent="0.25">
      <c r="C4057" s="8"/>
    </row>
    <row r="4058" spans="3:3" x14ac:dyDescent="0.25">
      <c r="C4058" s="8"/>
    </row>
    <row r="4059" spans="3:3" x14ac:dyDescent="0.25">
      <c r="C4059" s="8"/>
    </row>
    <row r="4060" spans="3:3" x14ac:dyDescent="0.25">
      <c r="C4060" s="8"/>
    </row>
    <row r="4061" spans="3:3" x14ac:dyDescent="0.25">
      <c r="C4061" s="8"/>
    </row>
    <row r="4062" spans="3:3" x14ac:dyDescent="0.25">
      <c r="C4062" s="8"/>
    </row>
    <row r="4063" spans="3:3" x14ac:dyDescent="0.25">
      <c r="C4063" s="8"/>
    </row>
    <row r="4064" spans="3:3" x14ac:dyDescent="0.25">
      <c r="C4064" s="8"/>
    </row>
    <row r="4065" spans="3:3" x14ac:dyDescent="0.25">
      <c r="C4065" s="8"/>
    </row>
    <row r="4066" spans="3:3" x14ac:dyDescent="0.25">
      <c r="C4066" s="8"/>
    </row>
    <row r="4067" spans="3:3" x14ac:dyDescent="0.25">
      <c r="C4067" s="8"/>
    </row>
    <row r="4068" spans="3:3" x14ac:dyDescent="0.25">
      <c r="C4068" s="8"/>
    </row>
    <row r="4069" spans="3:3" x14ac:dyDescent="0.25">
      <c r="C4069" s="8"/>
    </row>
    <row r="4070" spans="3:3" x14ac:dyDescent="0.25">
      <c r="C4070" s="8"/>
    </row>
    <row r="4071" spans="3:3" x14ac:dyDescent="0.25">
      <c r="C4071" s="8"/>
    </row>
    <row r="4072" spans="3:3" x14ac:dyDescent="0.25">
      <c r="C4072" s="8"/>
    </row>
    <row r="4073" spans="3:3" x14ac:dyDescent="0.25">
      <c r="C4073" s="8"/>
    </row>
    <row r="4074" spans="3:3" x14ac:dyDescent="0.25">
      <c r="C4074" s="8"/>
    </row>
    <row r="4075" spans="3:3" x14ac:dyDescent="0.25">
      <c r="C4075" s="8"/>
    </row>
    <row r="4076" spans="3:3" x14ac:dyDescent="0.25">
      <c r="C4076" s="8"/>
    </row>
    <row r="4077" spans="3:3" x14ac:dyDescent="0.25">
      <c r="C4077" s="8"/>
    </row>
    <row r="4078" spans="3:3" x14ac:dyDescent="0.25">
      <c r="C4078" s="8"/>
    </row>
    <row r="4079" spans="3:3" x14ac:dyDescent="0.25">
      <c r="C4079" s="8"/>
    </row>
    <row r="4080" spans="3:3" x14ac:dyDescent="0.25">
      <c r="C4080" s="8"/>
    </row>
    <row r="4081" spans="3:3" x14ac:dyDescent="0.25">
      <c r="C4081" s="8"/>
    </row>
    <row r="4082" spans="3:3" x14ac:dyDescent="0.25">
      <c r="C4082" s="8"/>
    </row>
    <row r="4083" spans="3:3" x14ac:dyDescent="0.25">
      <c r="C4083" s="8"/>
    </row>
    <row r="4084" spans="3:3" x14ac:dyDescent="0.25">
      <c r="C4084" s="8"/>
    </row>
    <row r="4085" spans="3:3" x14ac:dyDescent="0.25">
      <c r="C4085" s="8"/>
    </row>
    <row r="4086" spans="3:3" x14ac:dyDescent="0.25">
      <c r="C4086" s="8"/>
    </row>
    <row r="4087" spans="3:3" x14ac:dyDescent="0.25">
      <c r="C4087" s="8"/>
    </row>
    <row r="4088" spans="3:3" x14ac:dyDescent="0.25">
      <c r="C4088" s="8"/>
    </row>
    <row r="4089" spans="3:3" x14ac:dyDescent="0.25">
      <c r="C4089" s="8"/>
    </row>
    <row r="4090" spans="3:3" x14ac:dyDescent="0.25">
      <c r="C4090" s="8"/>
    </row>
    <row r="4091" spans="3:3" x14ac:dyDescent="0.25">
      <c r="C4091" s="8"/>
    </row>
    <row r="4092" spans="3:3" x14ac:dyDescent="0.25">
      <c r="C4092" s="8"/>
    </row>
    <row r="4093" spans="3:3" x14ac:dyDescent="0.25">
      <c r="C4093" s="8"/>
    </row>
    <row r="4094" spans="3:3" x14ac:dyDescent="0.25">
      <c r="C4094" s="8"/>
    </row>
    <row r="4095" spans="3:3" x14ac:dyDescent="0.25">
      <c r="C4095" s="8"/>
    </row>
    <row r="4096" spans="3:3" x14ac:dyDescent="0.25">
      <c r="C4096" s="8"/>
    </row>
    <row r="4097" spans="3:3" x14ac:dyDescent="0.25">
      <c r="C4097" s="8"/>
    </row>
    <row r="4098" spans="3:3" x14ac:dyDescent="0.25">
      <c r="C4098" s="8"/>
    </row>
    <row r="4099" spans="3:3" x14ac:dyDescent="0.25">
      <c r="C4099" s="8"/>
    </row>
    <row r="4100" spans="3:3" x14ac:dyDescent="0.25">
      <c r="C4100" s="8"/>
    </row>
    <row r="4101" spans="3:3" x14ac:dyDescent="0.25">
      <c r="C4101" s="8"/>
    </row>
    <row r="4102" spans="3:3" x14ac:dyDescent="0.25">
      <c r="C4102" s="8"/>
    </row>
    <row r="4103" spans="3:3" x14ac:dyDescent="0.25">
      <c r="C4103" s="8"/>
    </row>
    <row r="4104" spans="3:3" x14ac:dyDescent="0.25">
      <c r="C4104" s="8"/>
    </row>
    <row r="4105" spans="3:3" x14ac:dyDescent="0.25">
      <c r="C4105" s="8"/>
    </row>
    <row r="4106" spans="3:3" x14ac:dyDescent="0.25">
      <c r="C4106" s="8"/>
    </row>
    <row r="4107" spans="3:3" x14ac:dyDescent="0.25">
      <c r="C4107" s="8"/>
    </row>
    <row r="4108" spans="3:3" x14ac:dyDescent="0.25">
      <c r="C4108" s="8"/>
    </row>
    <row r="4109" spans="3:3" x14ac:dyDescent="0.25">
      <c r="C4109" s="8"/>
    </row>
    <row r="4110" spans="3:3" x14ac:dyDescent="0.25">
      <c r="C4110" s="8"/>
    </row>
    <row r="4111" spans="3:3" x14ac:dyDescent="0.25">
      <c r="C4111" s="8"/>
    </row>
    <row r="4112" spans="3:3" x14ac:dyDescent="0.25">
      <c r="C4112" s="8"/>
    </row>
    <row r="4113" spans="3:3" x14ac:dyDescent="0.25">
      <c r="C4113" s="8"/>
    </row>
    <row r="4114" spans="3:3" x14ac:dyDescent="0.25">
      <c r="C4114" s="8"/>
    </row>
    <row r="4115" spans="3:3" x14ac:dyDescent="0.25">
      <c r="C4115" s="8"/>
    </row>
    <row r="4116" spans="3:3" x14ac:dyDescent="0.25">
      <c r="C4116" s="8"/>
    </row>
    <row r="4117" spans="3:3" x14ac:dyDescent="0.25">
      <c r="C4117" s="8"/>
    </row>
    <row r="4118" spans="3:3" x14ac:dyDescent="0.25">
      <c r="C4118" s="8"/>
    </row>
    <row r="4119" spans="3:3" x14ac:dyDescent="0.25">
      <c r="C4119" s="8"/>
    </row>
    <row r="4120" spans="3:3" x14ac:dyDescent="0.25">
      <c r="C4120" s="8"/>
    </row>
    <row r="4121" spans="3:3" x14ac:dyDescent="0.25">
      <c r="C4121" s="8"/>
    </row>
    <row r="4122" spans="3:3" x14ac:dyDescent="0.25">
      <c r="C4122" s="8"/>
    </row>
    <row r="4123" spans="3:3" x14ac:dyDescent="0.25">
      <c r="C4123" s="8"/>
    </row>
    <row r="4124" spans="3:3" x14ac:dyDescent="0.25">
      <c r="C4124" s="8"/>
    </row>
    <row r="4125" spans="3:3" x14ac:dyDescent="0.25">
      <c r="C4125" s="8"/>
    </row>
    <row r="4126" spans="3:3" x14ac:dyDescent="0.25">
      <c r="C4126" s="8"/>
    </row>
    <row r="4127" spans="3:3" x14ac:dyDescent="0.25">
      <c r="C4127" s="8"/>
    </row>
    <row r="4128" spans="3:3" x14ac:dyDescent="0.25">
      <c r="C4128" s="8"/>
    </row>
    <row r="4129" spans="3:3" x14ac:dyDescent="0.25">
      <c r="C4129" s="8"/>
    </row>
    <row r="4130" spans="3:3" x14ac:dyDescent="0.25">
      <c r="C4130" s="8"/>
    </row>
    <row r="4131" spans="3:3" x14ac:dyDescent="0.25">
      <c r="C4131" s="8"/>
    </row>
    <row r="4132" spans="3:3" x14ac:dyDescent="0.25">
      <c r="C4132" s="8"/>
    </row>
    <row r="4133" spans="3:3" x14ac:dyDescent="0.25">
      <c r="C4133" s="8"/>
    </row>
    <row r="4134" spans="3:3" x14ac:dyDescent="0.25">
      <c r="C4134" s="8"/>
    </row>
    <row r="4135" spans="3:3" x14ac:dyDescent="0.25">
      <c r="C4135" s="8"/>
    </row>
    <row r="4136" spans="3:3" x14ac:dyDescent="0.25">
      <c r="C4136" s="8"/>
    </row>
    <row r="4137" spans="3:3" x14ac:dyDescent="0.25">
      <c r="C4137" s="8"/>
    </row>
    <row r="4138" spans="3:3" x14ac:dyDescent="0.25">
      <c r="C4138" s="8"/>
    </row>
    <row r="4139" spans="3:3" x14ac:dyDescent="0.25">
      <c r="C4139" s="8"/>
    </row>
    <row r="4140" spans="3:3" x14ac:dyDescent="0.25">
      <c r="C4140" s="8"/>
    </row>
    <row r="4141" spans="3:3" x14ac:dyDescent="0.25">
      <c r="C4141" s="8"/>
    </row>
    <row r="4142" spans="3:3" x14ac:dyDescent="0.25">
      <c r="C4142" s="8"/>
    </row>
    <row r="4143" spans="3:3" x14ac:dyDescent="0.25">
      <c r="C4143" s="8"/>
    </row>
    <row r="4144" spans="3:3" x14ac:dyDescent="0.25">
      <c r="C4144" s="8"/>
    </row>
    <row r="4145" spans="3:3" x14ac:dyDescent="0.25">
      <c r="C4145" s="8"/>
    </row>
    <row r="4146" spans="3:3" x14ac:dyDescent="0.25">
      <c r="C4146" s="8"/>
    </row>
    <row r="4147" spans="3:3" x14ac:dyDescent="0.25">
      <c r="C4147" s="8"/>
    </row>
    <row r="4148" spans="3:3" x14ac:dyDescent="0.25">
      <c r="C4148" s="8"/>
    </row>
    <row r="4149" spans="3:3" x14ac:dyDescent="0.25">
      <c r="C4149" s="8"/>
    </row>
    <row r="4150" spans="3:3" x14ac:dyDescent="0.25">
      <c r="C4150" s="8"/>
    </row>
    <row r="4151" spans="3:3" x14ac:dyDescent="0.25">
      <c r="C4151" s="8"/>
    </row>
    <row r="4152" spans="3:3" x14ac:dyDescent="0.25">
      <c r="C4152" s="8"/>
    </row>
    <row r="4153" spans="3:3" x14ac:dyDescent="0.25">
      <c r="C4153" s="8"/>
    </row>
    <row r="4154" spans="3:3" x14ac:dyDescent="0.25">
      <c r="C4154" s="8"/>
    </row>
    <row r="4155" spans="3:3" x14ac:dyDescent="0.25">
      <c r="C4155" s="8"/>
    </row>
    <row r="4156" spans="3:3" x14ac:dyDescent="0.25">
      <c r="C4156" s="8"/>
    </row>
    <row r="4157" spans="3:3" x14ac:dyDescent="0.25">
      <c r="C4157" s="8"/>
    </row>
    <row r="4158" spans="3:3" x14ac:dyDescent="0.25">
      <c r="C4158" s="8"/>
    </row>
    <row r="4159" spans="3:3" x14ac:dyDescent="0.25">
      <c r="C4159" s="8"/>
    </row>
    <row r="4160" spans="3:3" x14ac:dyDescent="0.25">
      <c r="C4160" s="8"/>
    </row>
    <row r="4161" spans="3:3" x14ac:dyDescent="0.25">
      <c r="C4161" s="8"/>
    </row>
    <row r="4162" spans="3:3" x14ac:dyDescent="0.25">
      <c r="C4162" s="8"/>
    </row>
    <row r="4163" spans="3:3" x14ac:dyDescent="0.25">
      <c r="C4163" s="8"/>
    </row>
    <row r="4164" spans="3:3" x14ac:dyDescent="0.25">
      <c r="C4164" s="8"/>
    </row>
    <row r="4165" spans="3:3" x14ac:dyDescent="0.25">
      <c r="C4165" s="8"/>
    </row>
    <row r="4166" spans="3:3" x14ac:dyDescent="0.25">
      <c r="C4166" s="8"/>
    </row>
    <row r="4167" spans="3:3" x14ac:dyDescent="0.25">
      <c r="C4167" s="8"/>
    </row>
    <row r="4168" spans="3:3" x14ac:dyDescent="0.25">
      <c r="C4168" s="8"/>
    </row>
    <row r="4169" spans="3:3" x14ac:dyDescent="0.25">
      <c r="C4169" s="8"/>
    </row>
    <row r="4170" spans="3:3" x14ac:dyDescent="0.25">
      <c r="C4170" s="8"/>
    </row>
    <row r="4171" spans="3:3" x14ac:dyDescent="0.25">
      <c r="C4171" s="8"/>
    </row>
    <row r="4172" spans="3:3" x14ac:dyDescent="0.25">
      <c r="C4172" s="8"/>
    </row>
    <row r="4173" spans="3:3" x14ac:dyDescent="0.25">
      <c r="C4173" s="8"/>
    </row>
    <row r="4174" spans="3:3" x14ac:dyDescent="0.25">
      <c r="C4174" s="8"/>
    </row>
    <row r="4175" spans="3:3" x14ac:dyDescent="0.25">
      <c r="C4175" s="8"/>
    </row>
    <row r="4176" spans="3:3" x14ac:dyDescent="0.25">
      <c r="C4176" s="8"/>
    </row>
    <row r="4177" spans="3:3" x14ac:dyDescent="0.25">
      <c r="C4177" s="8"/>
    </row>
    <row r="4178" spans="3:3" x14ac:dyDescent="0.25">
      <c r="C4178" s="8"/>
    </row>
    <row r="4179" spans="3:3" x14ac:dyDescent="0.25">
      <c r="C4179" s="8"/>
    </row>
    <row r="4180" spans="3:3" x14ac:dyDescent="0.25">
      <c r="C4180" s="8"/>
    </row>
    <row r="4181" spans="3:3" x14ac:dyDescent="0.25">
      <c r="C4181" s="8"/>
    </row>
    <row r="4182" spans="3:3" x14ac:dyDescent="0.25">
      <c r="C4182" s="8"/>
    </row>
    <row r="4183" spans="3:3" x14ac:dyDescent="0.25">
      <c r="C4183" s="8"/>
    </row>
    <row r="4184" spans="3:3" x14ac:dyDescent="0.25">
      <c r="C4184" s="8"/>
    </row>
    <row r="4185" spans="3:3" x14ac:dyDescent="0.25">
      <c r="C4185" s="8"/>
    </row>
    <row r="4186" spans="3:3" x14ac:dyDescent="0.25">
      <c r="C4186" s="8"/>
    </row>
    <row r="4187" spans="3:3" x14ac:dyDescent="0.25">
      <c r="C4187" s="8"/>
    </row>
    <row r="4188" spans="3:3" x14ac:dyDescent="0.25">
      <c r="C4188" s="8"/>
    </row>
    <row r="4189" spans="3:3" x14ac:dyDescent="0.25">
      <c r="C4189" s="8"/>
    </row>
    <row r="4190" spans="3:3" x14ac:dyDescent="0.25">
      <c r="C4190" s="8"/>
    </row>
    <row r="4191" spans="3:3" x14ac:dyDescent="0.25">
      <c r="C4191" s="8"/>
    </row>
    <row r="4192" spans="3:3" x14ac:dyDescent="0.25">
      <c r="C4192" s="8"/>
    </row>
    <row r="4193" spans="3:3" x14ac:dyDescent="0.25">
      <c r="C4193" s="8"/>
    </row>
    <row r="4194" spans="3:3" x14ac:dyDescent="0.25">
      <c r="C4194" s="8"/>
    </row>
    <row r="4195" spans="3:3" x14ac:dyDescent="0.25">
      <c r="C4195" s="8"/>
    </row>
    <row r="4196" spans="3:3" x14ac:dyDescent="0.25">
      <c r="C4196" s="8"/>
    </row>
    <row r="4197" spans="3:3" x14ac:dyDescent="0.25">
      <c r="C4197" s="8"/>
    </row>
    <row r="4198" spans="3:3" x14ac:dyDescent="0.25">
      <c r="C4198" s="8"/>
    </row>
    <row r="4199" spans="3:3" x14ac:dyDescent="0.25">
      <c r="C4199" s="8"/>
    </row>
    <row r="4200" spans="3:3" x14ac:dyDescent="0.25">
      <c r="C4200" s="8"/>
    </row>
    <row r="4201" spans="3:3" x14ac:dyDescent="0.25">
      <c r="C4201" s="8"/>
    </row>
    <row r="4202" spans="3:3" x14ac:dyDescent="0.25">
      <c r="C4202" s="8"/>
    </row>
    <row r="4203" spans="3:3" x14ac:dyDescent="0.25">
      <c r="C4203" s="8"/>
    </row>
    <row r="4204" spans="3:3" x14ac:dyDescent="0.25">
      <c r="C4204" s="8"/>
    </row>
    <row r="4205" spans="3:3" x14ac:dyDescent="0.25">
      <c r="C4205" s="8"/>
    </row>
    <row r="4206" spans="3:3" x14ac:dyDescent="0.25">
      <c r="C4206" s="8"/>
    </row>
    <row r="4207" spans="3:3" x14ac:dyDescent="0.25">
      <c r="C4207" s="8"/>
    </row>
    <row r="4208" spans="3:3" x14ac:dyDescent="0.25">
      <c r="C4208" s="8"/>
    </row>
    <row r="4209" spans="3:3" x14ac:dyDescent="0.25">
      <c r="C4209" s="8"/>
    </row>
    <row r="4210" spans="3:3" x14ac:dyDescent="0.25">
      <c r="C4210" s="8"/>
    </row>
    <row r="4211" spans="3:3" x14ac:dyDescent="0.25">
      <c r="C4211" s="8"/>
    </row>
    <row r="4212" spans="3:3" x14ac:dyDescent="0.25">
      <c r="C4212" s="8"/>
    </row>
    <row r="4213" spans="3:3" x14ac:dyDescent="0.25">
      <c r="C4213" s="8"/>
    </row>
    <row r="4214" spans="3:3" x14ac:dyDescent="0.25">
      <c r="C4214" s="8"/>
    </row>
    <row r="4215" spans="3:3" x14ac:dyDescent="0.25">
      <c r="C4215" s="8"/>
    </row>
    <row r="4216" spans="3:3" x14ac:dyDescent="0.25">
      <c r="C4216" s="8"/>
    </row>
    <row r="4217" spans="3:3" x14ac:dyDescent="0.25">
      <c r="C4217" s="8"/>
    </row>
    <row r="4218" spans="3:3" x14ac:dyDescent="0.25">
      <c r="C4218" s="8"/>
    </row>
    <row r="4219" spans="3:3" x14ac:dyDescent="0.25">
      <c r="C4219" s="8"/>
    </row>
    <row r="4220" spans="3:3" x14ac:dyDescent="0.25">
      <c r="C4220" s="8"/>
    </row>
    <row r="4221" spans="3:3" x14ac:dyDescent="0.25">
      <c r="C4221" s="8"/>
    </row>
    <row r="4222" spans="3:3" x14ac:dyDescent="0.25">
      <c r="C4222" s="8"/>
    </row>
    <row r="4223" spans="3:3" x14ac:dyDescent="0.25">
      <c r="C4223" s="8"/>
    </row>
    <row r="4224" spans="3:3" x14ac:dyDescent="0.25">
      <c r="C4224" s="8"/>
    </row>
    <row r="4225" spans="3:3" x14ac:dyDescent="0.25">
      <c r="C4225" s="8"/>
    </row>
    <row r="4226" spans="3:3" x14ac:dyDescent="0.25">
      <c r="C4226" s="8"/>
    </row>
    <row r="4227" spans="3:3" x14ac:dyDescent="0.25">
      <c r="C4227" s="8"/>
    </row>
    <row r="4228" spans="3:3" x14ac:dyDescent="0.25">
      <c r="C4228" s="8"/>
    </row>
    <row r="4229" spans="3:3" x14ac:dyDescent="0.25">
      <c r="C4229" s="8"/>
    </row>
    <row r="4230" spans="3:3" x14ac:dyDescent="0.25">
      <c r="C4230" s="8"/>
    </row>
    <row r="4231" spans="3:3" x14ac:dyDescent="0.25">
      <c r="C4231" s="8"/>
    </row>
    <row r="4232" spans="3:3" x14ac:dyDescent="0.25">
      <c r="C4232" s="8"/>
    </row>
    <row r="4233" spans="3:3" x14ac:dyDescent="0.25">
      <c r="C4233" s="8"/>
    </row>
    <row r="4234" spans="3:3" x14ac:dyDescent="0.25">
      <c r="C4234" s="8"/>
    </row>
    <row r="4235" spans="3:3" x14ac:dyDescent="0.25">
      <c r="C4235" s="8"/>
    </row>
    <row r="4236" spans="3:3" x14ac:dyDescent="0.25">
      <c r="C4236" s="8"/>
    </row>
    <row r="4237" spans="3:3" x14ac:dyDescent="0.25">
      <c r="C4237" s="8"/>
    </row>
    <row r="4238" spans="3:3" x14ac:dyDescent="0.25">
      <c r="C4238" s="8"/>
    </row>
    <row r="4239" spans="3:3" x14ac:dyDescent="0.25">
      <c r="C4239" s="8"/>
    </row>
    <row r="4240" spans="3:3" x14ac:dyDescent="0.25">
      <c r="C4240" s="8"/>
    </row>
    <row r="4241" spans="3:3" x14ac:dyDescent="0.25">
      <c r="C4241" s="8"/>
    </row>
    <row r="4242" spans="3:3" x14ac:dyDescent="0.25">
      <c r="C4242" s="8"/>
    </row>
    <row r="4243" spans="3:3" x14ac:dyDescent="0.25">
      <c r="C4243" s="8"/>
    </row>
    <row r="4244" spans="3:3" x14ac:dyDescent="0.25">
      <c r="C4244" s="8"/>
    </row>
    <row r="4245" spans="3:3" x14ac:dyDescent="0.25">
      <c r="C4245" s="8"/>
    </row>
    <row r="4246" spans="3:3" x14ac:dyDescent="0.25">
      <c r="C4246" s="8"/>
    </row>
    <row r="4247" spans="3:3" x14ac:dyDescent="0.25">
      <c r="C4247" s="8"/>
    </row>
    <row r="4248" spans="3:3" x14ac:dyDescent="0.25">
      <c r="C4248" s="8"/>
    </row>
    <row r="4249" spans="3:3" x14ac:dyDescent="0.25">
      <c r="C4249" s="8"/>
    </row>
    <row r="4250" spans="3:3" x14ac:dyDescent="0.25">
      <c r="C4250" s="8"/>
    </row>
    <row r="4251" spans="3:3" x14ac:dyDescent="0.25">
      <c r="C4251" s="8"/>
    </row>
    <row r="4252" spans="3:3" x14ac:dyDescent="0.25">
      <c r="C4252" s="8"/>
    </row>
    <row r="4253" spans="3:3" x14ac:dyDescent="0.25">
      <c r="C4253" s="8"/>
    </row>
    <row r="4254" spans="3:3" x14ac:dyDescent="0.25">
      <c r="C4254" s="8"/>
    </row>
    <row r="4255" spans="3:3" x14ac:dyDescent="0.25">
      <c r="C4255" s="8"/>
    </row>
    <row r="4256" spans="3:3" x14ac:dyDescent="0.25">
      <c r="C4256" s="8"/>
    </row>
    <row r="4257" spans="3:3" x14ac:dyDescent="0.25">
      <c r="C4257" s="8"/>
    </row>
    <row r="4258" spans="3:3" x14ac:dyDescent="0.25">
      <c r="C4258" s="8"/>
    </row>
    <row r="4259" spans="3:3" x14ac:dyDescent="0.25">
      <c r="C4259" s="8"/>
    </row>
    <row r="4260" spans="3:3" x14ac:dyDescent="0.25">
      <c r="C4260" s="8"/>
    </row>
    <row r="4261" spans="3:3" x14ac:dyDescent="0.25">
      <c r="C4261" s="8"/>
    </row>
    <row r="4262" spans="3:3" x14ac:dyDescent="0.25">
      <c r="C4262" s="8"/>
    </row>
    <row r="4263" spans="3:3" x14ac:dyDescent="0.25">
      <c r="C4263" s="8"/>
    </row>
    <row r="4264" spans="3:3" x14ac:dyDescent="0.25">
      <c r="C4264" s="8"/>
    </row>
    <row r="4265" spans="3:3" x14ac:dyDescent="0.25">
      <c r="C4265" s="8"/>
    </row>
    <row r="4266" spans="3:3" x14ac:dyDescent="0.25">
      <c r="C4266" s="8"/>
    </row>
    <row r="4267" spans="3:3" x14ac:dyDescent="0.25">
      <c r="C4267" s="8"/>
    </row>
    <row r="4268" spans="3:3" x14ac:dyDescent="0.25">
      <c r="C4268" s="8"/>
    </row>
    <row r="4269" spans="3:3" x14ac:dyDescent="0.25">
      <c r="C4269" s="8"/>
    </row>
    <row r="4270" spans="3:3" x14ac:dyDescent="0.25">
      <c r="C4270" s="8"/>
    </row>
    <row r="4271" spans="3:3" x14ac:dyDescent="0.25">
      <c r="C4271" s="8"/>
    </row>
    <row r="4272" spans="3:3" x14ac:dyDescent="0.25">
      <c r="C4272" s="8"/>
    </row>
    <row r="4273" spans="3:3" x14ac:dyDescent="0.25">
      <c r="C4273" s="8"/>
    </row>
    <row r="4274" spans="3:3" x14ac:dyDescent="0.25">
      <c r="C4274" s="8"/>
    </row>
    <row r="4275" spans="3:3" x14ac:dyDescent="0.25">
      <c r="C4275" s="8"/>
    </row>
    <row r="4276" spans="3:3" x14ac:dyDescent="0.25">
      <c r="C4276" s="8"/>
    </row>
    <row r="4277" spans="3:3" x14ac:dyDescent="0.25">
      <c r="C4277" s="8"/>
    </row>
    <row r="4278" spans="3:3" x14ac:dyDescent="0.25">
      <c r="C4278" s="8"/>
    </row>
    <row r="4279" spans="3:3" x14ac:dyDescent="0.25">
      <c r="C4279" s="8"/>
    </row>
    <row r="4280" spans="3:3" x14ac:dyDescent="0.25">
      <c r="C4280" s="8"/>
    </row>
    <row r="4281" spans="3:3" x14ac:dyDescent="0.25">
      <c r="C4281" s="8"/>
    </row>
    <row r="4282" spans="3:3" x14ac:dyDescent="0.25">
      <c r="C4282" s="8"/>
    </row>
    <row r="4283" spans="3:3" x14ac:dyDescent="0.25">
      <c r="C4283" s="8"/>
    </row>
    <row r="4284" spans="3:3" x14ac:dyDescent="0.25">
      <c r="C4284" s="8"/>
    </row>
    <row r="4285" spans="3:3" x14ac:dyDescent="0.25">
      <c r="C4285" s="8"/>
    </row>
    <row r="4286" spans="3:3" x14ac:dyDescent="0.25">
      <c r="C4286" s="8"/>
    </row>
    <row r="4287" spans="3:3" x14ac:dyDescent="0.25">
      <c r="C4287" s="8"/>
    </row>
    <row r="4288" spans="3:3" x14ac:dyDescent="0.25">
      <c r="C4288" s="8"/>
    </row>
    <row r="4289" spans="3:10" x14ac:dyDescent="0.25">
      <c r="C4289" s="8"/>
    </row>
    <row r="4290" spans="3:10" x14ac:dyDescent="0.25">
      <c r="C4290" s="8"/>
    </row>
    <row r="4291" spans="3:10" x14ac:dyDescent="0.25">
      <c r="C4291" s="8"/>
    </row>
    <row r="4292" spans="3:10" x14ac:dyDescent="0.25">
      <c r="C4292" s="8"/>
    </row>
    <row r="4293" spans="3:10" x14ac:dyDescent="0.25">
      <c r="C4293" s="8"/>
    </row>
    <row r="4294" spans="3:10" x14ac:dyDescent="0.25">
      <c r="C4294" s="8"/>
    </row>
    <row r="4295" spans="3:10" x14ac:dyDescent="0.25">
      <c r="C4295" s="8"/>
    </row>
    <row r="4296" spans="3:10" x14ac:dyDescent="0.25">
      <c r="C4296" s="8"/>
    </row>
    <row r="4297" spans="3:10" x14ac:dyDescent="0.25">
      <c r="C4297" s="8"/>
      <c r="J4297" s="15"/>
    </row>
    <row r="4298" spans="3:10" x14ac:dyDescent="0.25">
      <c r="C4298" s="8"/>
    </row>
    <row r="4299" spans="3:10" x14ac:dyDescent="0.25">
      <c r="C4299" s="8"/>
    </row>
    <row r="4300" spans="3:10" x14ac:dyDescent="0.25">
      <c r="C4300" s="8"/>
    </row>
    <row r="4301" spans="3:10" x14ac:dyDescent="0.25">
      <c r="C4301" s="8"/>
    </row>
    <row r="4302" spans="3:10" x14ac:dyDescent="0.25">
      <c r="C4302" s="8"/>
    </row>
    <row r="4303" spans="3:10" x14ac:dyDescent="0.25">
      <c r="C4303" s="8"/>
    </row>
    <row r="4304" spans="3:10" x14ac:dyDescent="0.25">
      <c r="C4304" s="8"/>
    </row>
    <row r="4305" spans="3:3" x14ac:dyDescent="0.25">
      <c r="C4305" s="8"/>
    </row>
    <row r="4306" spans="3:3" x14ac:dyDescent="0.25">
      <c r="C4306" s="8"/>
    </row>
    <row r="4307" spans="3:3" x14ac:dyDescent="0.25">
      <c r="C4307" s="8"/>
    </row>
    <row r="4308" spans="3:3" x14ac:dyDescent="0.25">
      <c r="C4308" s="8"/>
    </row>
    <row r="4309" spans="3:3" x14ac:dyDescent="0.25">
      <c r="C4309" s="8"/>
    </row>
    <row r="4310" spans="3:3" x14ac:dyDescent="0.25">
      <c r="C4310" s="8"/>
    </row>
    <row r="4311" spans="3:3" x14ac:dyDescent="0.25">
      <c r="C4311" s="8"/>
    </row>
    <row r="4312" spans="3:3" x14ac:dyDescent="0.25">
      <c r="C4312" s="8"/>
    </row>
    <row r="4313" spans="3:3" x14ac:dyDescent="0.25">
      <c r="C4313" s="8"/>
    </row>
    <row r="4314" spans="3:3" x14ac:dyDescent="0.25">
      <c r="C4314" s="8"/>
    </row>
    <row r="4315" spans="3:3" x14ac:dyDescent="0.25">
      <c r="C4315" s="8"/>
    </row>
    <row r="4316" spans="3:3" x14ac:dyDescent="0.25">
      <c r="C4316" s="8"/>
    </row>
    <row r="4317" spans="3:3" x14ac:dyDescent="0.25">
      <c r="C4317" s="8"/>
    </row>
    <row r="4318" spans="3:3" x14ac:dyDescent="0.25">
      <c r="C4318" s="8"/>
    </row>
    <row r="4319" spans="3:3" x14ac:dyDescent="0.25">
      <c r="C4319" s="8"/>
    </row>
    <row r="4320" spans="3:3" x14ac:dyDescent="0.25">
      <c r="C4320" s="8"/>
    </row>
    <row r="4321" spans="3:3" x14ac:dyDescent="0.25">
      <c r="C4321" s="8"/>
    </row>
    <row r="4322" spans="3:3" x14ac:dyDescent="0.25">
      <c r="C4322" s="8"/>
    </row>
    <row r="4323" spans="3:3" x14ac:dyDescent="0.25">
      <c r="C4323" s="8"/>
    </row>
    <row r="4324" spans="3:3" x14ac:dyDescent="0.25">
      <c r="C4324" s="8"/>
    </row>
    <row r="4325" spans="3:3" x14ac:dyDescent="0.25">
      <c r="C4325" s="8"/>
    </row>
    <row r="4326" spans="3:3" x14ac:dyDescent="0.25">
      <c r="C4326" s="8"/>
    </row>
    <row r="4327" spans="3:3" x14ac:dyDescent="0.25">
      <c r="C4327" s="8"/>
    </row>
    <row r="4328" spans="3:3" x14ac:dyDescent="0.25">
      <c r="C4328" s="8"/>
    </row>
    <row r="4329" spans="3:3" x14ac:dyDescent="0.25">
      <c r="C4329" s="8"/>
    </row>
    <row r="4330" spans="3:3" x14ac:dyDescent="0.25">
      <c r="C4330" s="8"/>
    </row>
    <row r="4331" spans="3:3" x14ac:dyDescent="0.25">
      <c r="C4331" s="8"/>
    </row>
    <row r="4332" spans="3:3" x14ac:dyDescent="0.25">
      <c r="C4332" s="8"/>
    </row>
    <row r="4333" spans="3:3" x14ac:dyDescent="0.25">
      <c r="C4333" s="8"/>
    </row>
    <row r="4334" spans="3:3" x14ac:dyDescent="0.25">
      <c r="C4334" s="8"/>
    </row>
    <row r="4335" spans="3:3" x14ac:dyDescent="0.25">
      <c r="C4335" s="8"/>
    </row>
    <row r="4336" spans="3:3" x14ac:dyDescent="0.25">
      <c r="C4336" s="8"/>
    </row>
    <row r="4337" spans="3:3" x14ac:dyDescent="0.25">
      <c r="C4337" s="8"/>
    </row>
    <row r="4338" spans="3:3" x14ac:dyDescent="0.25">
      <c r="C4338" s="8"/>
    </row>
    <row r="4339" spans="3:3" x14ac:dyDescent="0.25">
      <c r="C4339" s="8"/>
    </row>
    <row r="4340" spans="3:3" x14ac:dyDescent="0.25">
      <c r="C4340" s="8"/>
    </row>
    <row r="4341" spans="3:3" x14ac:dyDescent="0.25">
      <c r="C4341" s="8"/>
    </row>
    <row r="4342" spans="3:3" x14ac:dyDescent="0.25">
      <c r="C4342" s="8"/>
    </row>
    <row r="4343" spans="3:3" x14ac:dyDescent="0.25">
      <c r="C4343" s="8"/>
    </row>
    <row r="4344" spans="3:3" x14ac:dyDescent="0.25">
      <c r="C4344" s="8"/>
    </row>
    <row r="4345" spans="3:3" x14ac:dyDescent="0.25">
      <c r="C4345" s="8"/>
    </row>
    <row r="4346" spans="3:3" x14ac:dyDescent="0.25">
      <c r="C4346" s="8"/>
    </row>
    <row r="4347" spans="3:3" x14ac:dyDescent="0.25">
      <c r="C4347" s="8"/>
    </row>
    <row r="4348" spans="3:3" x14ac:dyDescent="0.25">
      <c r="C4348" s="8"/>
    </row>
    <row r="4349" spans="3:3" x14ac:dyDescent="0.25">
      <c r="C4349" s="8"/>
    </row>
    <row r="4350" spans="3:3" x14ac:dyDescent="0.25">
      <c r="C4350" s="8"/>
    </row>
    <row r="4351" spans="3:3" x14ac:dyDescent="0.25">
      <c r="C4351" s="8"/>
    </row>
    <row r="4352" spans="3:3" x14ac:dyDescent="0.25">
      <c r="C4352" s="8"/>
    </row>
    <row r="4353" spans="3:3" x14ac:dyDescent="0.25">
      <c r="C4353" s="8"/>
    </row>
    <row r="4354" spans="3:3" x14ac:dyDescent="0.25">
      <c r="C4354" s="8"/>
    </row>
    <row r="4355" spans="3:3" x14ac:dyDescent="0.25">
      <c r="C4355" s="8"/>
    </row>
    <row r="4356" spans="3:3" x14ac:dyDescent="0.25">
      <c r="C4356" s="8"/>
    </row>
    <row r="4357" spans="3:3" x14ac:dyDescent="0.25">
      <c r="C4357" s="8"/>
    </row>
    <row r="4358" spans="3:3" x14ac:dyDescent="0.25">
      <c r="C4358" s="8"/>
    </row>
    <row r="4359" spans="3:3" x14ac:dyDescent="0.25">
      <c r="C4359" s="8"/>
    </row>
    <row r="4360" spans="3:3" x14ac:dyDescent="0.25">
      <c r="C4360" s="8"/>
    </row>
    <row r="4361" spans="3:3" x14ac:dyDescent="0.25">
      <c r="C4361" s="8"/>
    </row>
    <row r="4362" spans="3:3" x14ac:dyDescent="0.25">
      <c r="C4362" s="8"/>
    </row>
    <row r="4363" spans="3:3" x14ac:dyDescent="0.25">
      <c r="C4363" s="8"/>
    </row>
    <row r="4364" spans="3:3" x14ac:dyDescent="0.25">
      <c r="C4364" s="8"/>
    </row>
    <row r="4365" spans="3:3" x14ac:dyDescent="0.25">
      <c r="C4365" s="8"/>
    </row>
    <row r="4366" spans="3:3" x14ac:dyDescent="0.25">
      <c r="C4366" s="8"/>
    </row>
    <row r="4367" spans="3:3" x14ac:dyDescent="0.25">
      <c r="C4367" s="8"/>
    </row>
    <row r="4368" spans="3:3" x14ac:dyDescent="0.25">
      <c r="C4368" s="8"/>
    </row>
    <row r="4369" spans="3:13" x14ac:dyDescent="0.25">
      <c r="C4369" s="8"/>
      <c r="M4369" s="40"/>
    </row>
    <row r="4370" spans="3:13" x14ac:dyDescent="0.25">
      <c r="C4370" s="8"/>
    </row>
    <row r="4371" spans="3:13" x14ac:dyDescent="0.25">
      <c r="C4371" s="8"/>
    </row>
    <row r="4372" spans="3:13" x14ac:dyDescent="0.25">
      <c r="C4372" s="8"/>
    </row>
    <row r="4373" spans="3:13" x14ac:dyDescent="0.25">
      <c r="C4373" s="8"/>
    </row>
    <row r="4374" spans="3:13" x14ac:dyDescent="0.25">
      <c r="C4374" s="8"/>
    </row>
    <row r="4375" spans="3:13" x14ac:dyDescent="0.25">
      <c r="C4375" s="8"/>
    </row>
    <row r="4376" spans="3:13" x14ac:dyDescent="0.25">
      <c r="C4376" s="8"/>
    </row>
    <row r="4377" spans="3:13" x14ac:dyDescent="0.25">
      <c r="C4377" s="8"/>
    </row>
    <row r="4378" spans="3:13" x14ac:dyDescent="0.25">
      <c r="C4378" s="8"/>
    </row>
    <row r="4379" spans="3:13" x14ac:dyDescent="0.25">
      <c r="C4379" s="8"/>
    </row>
    <row r="4380" spans="3:13" x14ac:dyDescent="0.25">
      <c r="C4380" s="8"/>
    </row>
    <row r="4381" spans="3:13" x14ac:dyDescent="0.25">
      <c r="C4381" s="8"/>
    </row>
    <row r="4382" spans="3:13" x14ac:dyDescent="0.25">
      <c r="C4382" s="8"/>
    </row>
    <row r="4383" spans="3:13" x14ac:dyDescent="0.25">
      <c r="C4383" s="8"/>
    </row>
    <row r="4384" spans="3:13" x14ac:dyDescent="0.25">
      <c r="C4384" s="8"/>
    </row>
    <row r="4385" spans="3:14" x14ac:dyDescent="0.25">
      <c r="C4385" s="8"/>
    </row>
    <row r="4386" spans="3:14" x14ac:dyDescent="0.25">
      <c r="C4386" s="8"/>
    </row>
    <row r="4387" spans="3:14" x14ac:dyDescent="0.25">
      <c r="C4387" s="8"/>
    </row>
    <row r="4388" spans="3:14" x14ac:dyDescent="0.25">
      <c r="C4388" s="8"/>
    </row>
    <row r="4389" spans="3:14" x14ac:dyDescent="0.25">
      <c r="C4389" s="8"/>
    </row>
    <row r="4390" spans="3:14" x14ac:dyDescent="0.25">
      <c r="C4390" s="8"/>
    </row>
    <row r="4391" spans="3:14" x14ac:dyDescent="0.25">
      <c r="C4391" s="8"/>
    </row>
    <row r="4392" spans="3:14" x14ac:dyDescent="0.25">
      <c r="C4392" s="8"/>
      <c r="N4392" s="16"/>
    </row>
    <row r="4393" spans="3:14" x14ac:dyDescent="0.25">
      <c r="C4393" s="8"/>
    </row>
    <row r="4394" spans="3:14" x14ac:dyDescent="0.25">
      <c r="C4394" s="8"/>
    </row>
    <row r="4395" spans="3:14" x14ac:dyDescent="0.25">
      <c r="C4395" s="8"/>
    </row>
    <row r="4396" spans="3:14" x14ac:dyDescent="0.25">
      <c r="C4396" s="8"/>
    </row>
    <row r="4397" spans="3:14" x14ac:dyDescent="0.25">
      <c r="C4397" s="8"/>
    </row>
    <row r="4398" spans="3:14" x14ac:dyDescent="0.25">
      <c r="C4398" s="8"/>
    </row>
    <row r="4399" spans="3:14" x14ac:dyDescent="0.25">
      <c r="C4399" s="8"/>
    </row>
    <row r="4400" spans="3:14" x14ac:dyDescent="0.25">
      <c r="C4400" s="8"/>
    </row>
    <row r="4401" spans="3:3" x14ac:dyDescent="0.25">
      <c r="C4401" s="8"/>
    </row>
    <row r="4402" spans="3:3" x14ac:dyDescent="0.25">
      <c r="C4402" s="8"/>
    </row>
    <row r="4403" spans="3:3" x14ac:dyDescent="0.25">
      <c r="C4403" s="8"/>
    </row>
    <row r="4404" spans="3:3" x14ac:dyDescent="0.25">
      <c r="C4404" s="8"/>
    </row>
    <row r="4405" spans="3:3" x14ac:dyDescent="0.25">
      <c r="C4405" s="8"/>
    </row>
    <row r="4406" spans="3:3" x14ac:dyDescent="0.25">
      <c r="C4406" s="8"/>
    </row>
    <row r="4407" spans="3:3" x14ac:dyDescent="0.25">
      <c r="C4407" s="8"/>
    </row>
    <row r="4408" spans="3:3" x14ac:dyDescent="0.25">
      <c r="C4408" s="8"/>
    </row>
    <row r="4409" spans="3:3" x14ac:dyDescent="0.25">
      <c r="C4409" s="8"/>
    </row>
    <row r="4410" spans="3:3" x14ac:dyDescent="0.25">
      <c r="C4410" s="8"/>
    </row>
    <row r="4411" spans="3:3" x14ac:dyDescent="0.25">
      <c r="C4411" s="8"/>
    </row>
    <row r="4412" spans="3:3" x14ac:dyDescent="0.25">
      <c r="C4412" s="8"/>
    </row>
    <row r="4413" spans="3:3" x14ac:dyDescent="0.25">
      <c r="C4413" s="8"/>
    </row>
    <row r="4414" spans="3:3" x14ac:dyDescent="0.25">
      <c r="C4414" s="8"/>
    </row>
    <row r="4415" spans="3:3" x14ac:dyDescent="0.25">
      <c r="C4415" s="8"/>
    </row>
    <row r="4416" spans="3:3" x14ac:dyDescent="0.25">
      <c r="C4416" s="8"/>
    </row>
    <row r="4417" spans="3:3" x14ac:dyDescent="0.25">
      <c r="C4417" s="8"/>
    </row>
    <row r="4418" spans="3:3" x14ac:dyDescent="0.25">
      <c r="C4418" s="8"/>
    </row>
    <row r="4419" spans="3:3" x14ac:dyDescent="0.25">
      <c r="C4419" s="8"/>
    </row>
    <row r="4420" spans="3:3" x14ac:dyDescent="0.25">
      <c r="C4420" s="8"/>
    </row>
    <row r="4421" spans="3:3" x14ac:dyDescent="0.25">
      <c r="C4421" s="8"/>
    </row>
    <row r="4422" spans="3:3" x14ac:dyDescent="0.25">
      <c r="C4422" s="8"/>
    </row>
    <row r="4423" spans="3:3" x14ac:dyDescent="0.25">
      <c r="C4423" s="8"/>
    </row>
    <row r="4424" spans="3:3" x14ac:dyDescent="0.25">
      <c r="C4424" s="8"/>
    </row>
    <row r="4425" spans="3:3" x14ac:dyDescent="0.25">
      <c r="C4425" s="8"/>
    </row>
    <row r="4426" spans="3:3" x14ac:dyDescent="0.25">
      <c r="C4426" s="8"/>
    </row>
    <row r="4427" spans="3:3" x14ac:dyDescent="0.25">
      <c r="C4427" s="8"/>
    </row>
    <row r="4428" spans="3:3" x14ac:dyDescent="0.25">
      <c r="C4428" s="8"/>
    </row>
    <row r="4429" spans="3:3" x14ac:dyDescent="0.25">
      <c r="C4429" s="8"/>
    </row>
    <row r="4430" spans="3:3" x14ac:dyDescent="0.25">
      <c r="C4430" s="8"/>
    </row>
    <row r="4431" spans="3:3" x14ac:dyDescent="0.25">
      <c r="C4431" s="8"/>
    </row>
    <row r="4432" spans="3:3" x14ac:dyDescent="0.25">
      <c r="C4432" s="8"/>
    </row>
    <row r="4433" spans="3:10" x14ac:dyDescent="0.25">
      <c r="C4433" s="8"/>
      <c r="D4433" s="20"/>
      <c r="E4433" s="16"/>
      <c r="H4433" s="16"/>
      <c r="I4433" s="56"/>
      <c r="J4433" s="23"/>
    </row>
    <row r="4434" spans="3:10" x14ac:dyDescent="0.25">
      <c r="C4434" s="8"/>
    </row>
    <row r="4435" spans="3:10" x14ac:dyDescent="0.25">
      <c r="C4435" s="8"/>
    </row>
    <row r="4436" spans="3:10" x14ac:dyDescent="0.25">
      <c r="C4436" s="8"/>
    </row>
    <row r="4437" spans="3:10" x14ac:dyDescent="0.25">
      <c r="C4437" s="8"/>
    </row>
    <row r="4438" spans="3:10" x14ac:dyDescent="0.25">
      <c r="C4438" s="8"/>
    </row>
    <row r="4439" spans="3:10" x14ac:dyDescent="0.25">
      <c r="C4439" s="8"/>
    </row>
    <row r="4440" spans="3:10" x14ac:dyDescent="0.25">
      <c r="C4440" s="8"/>
    </row>
    <row r="4441" spans="3:10" x14ac:dyDescent="0.25">
      <c r="C4441" s="8"/>
    </row>
    <row r="4442" spans="3:10" x14ac:dyDescent="0.25">
      <c r="C4442" s="8"/>
    </row>
    <row r="4443" spans="3:10" x14ac:dyDescent="0.25">
      <c r="C4443" s="8"/>
    </row>
    <row r="4444" spans="3:10" x14ac:dyDescent="0.25">
      <c r="C4444" s="8"/>
    </row>
    <row r="4445" spans="3:10" x14ac:dyDescent="0.25">
      <c r="C4445" s="8"/>
    </row>
    <row r="4446" spans="3:10" x14ac:dyDescent="0.25">
      <c r="C4446" s="8"/>
    </row>
    <row r="4447" spans="3:10" x14ac:dyDescent="0.25">
      <c r="C4447" s="8"/>
    </row>
    <row r="4448" spans="3:10" x14ac:dyDescent="0.25">
      <c r="C4448" s="8"/>
    </row>
    <row r="4449" spans="3:3" x14ac:dyDescent="0.25">
      <c r="C4449" s="8"/>
    </row>
    <row r="4450" spans="3:3" x14ac:dyDescent="0.25">
      <c r="C4450" s="8"/>
    </row>
    <row r="4451" spans="3:3" x14ac:dyDescent="0.25">
      <c r="C4451" s="8"/>
    </row>
    <row r="4452" spans="3:3" x14ac:dyDescent="0.25">
      <c r="C4452" s="8"/>
    </row>
    <row r="4453" spans="3:3" x14ac:dyDescent="0.25">
      <c r="C4453" s="8"/>
    </row>
    <row r="4454" spans="3:3" x14ac:dyDescent="0.25">
      <c r="C4454" s="8"/>
    </row>
    <row r="4455" spans="3:3" x14ac:dyDescent="0.25">
      <c r="C4455" s="8"/>
    </row>
    <row r="4456" spans="3:3" x14ac:dyDescent="0.25">
      <c r="C4456" s="8"/>
    </row>
    <row r="4457" spans="3:3" x14ac:dyDescent="0.25">
      <c r="C4457" s="8"/>
    </row>
    <row r="4458" spans="3:3" x14ac:dyDescent="0.25">
      <c r="C4458" s="8"/>
    </row>
    <row r="4459" spans="3:3" x14ac:dyDescent="0.25">
      <c r="C4459" s="8"/>
    </row>
    <row r="4460" spans="3:3" x14ac:dyDescent="0.25">
      <c r="C4460" s="8"/>
    </row>
    <row r="4461" spans="3:3" x14ac:dyDescent="0.25">
      <c r="C4461" s="8"/>
    </row>
    <row r="4462" spans="3:3" x14ac:dyDescent="0.25">
      <c r="C4462" s="8"/>
    </row>
    <row r="4463" spans="3:3" x14ac:dyDescent="0.25">
      <c r="C4463" s="8"/>
    </row>
    <row r="4464" spans="3:3" x14ac:dyDescent="0.25">
      <c r="C4464" s="8"/>
    </row>
    <row r="4465" spans="3:3" x14ac:dyDescent="0.25">
      <c r="C4465" s="8"/>
    </row>
    <row r="4466" spans="3:3" x14ac:dyDescent="0.25">
      <c r="C4466" s="8"/>
    </row>
    <row r="4467" spans="3:3" x14ac:dyDescent="0.25">
      <c r="C4467" s="8"/>
    </row>
    <row r="4468" spans="3:3" x14ac:dyDescent="0.25">
      <c r="C4468" s="8"/>
    </row>
    <row r="4469" spans="3:3" x14ac:dyDescent="0.25">
      <c r="C4469" s="8"/>
    </row>
    <row r="4470" spans="3:3" x14ac:dyDescent="0.25">
      <c r="C4470" s="8"/>
    </row>
    <row r="4471" spans="3:3" x14ac:dyDescent="0.25">
      <c r="C4471" s="8"/>
    </row>
    <row r="4472" spans="3:3" x14ac:dyDescent="0.25">
      <c r="C4472" s="8"/>
    </row>
    <row r="4473" spans="3:3" x14ac:dyDescent="0.25">
      <c r="C4473" s="8"/>
    </row>
    <row r="4474" spans="3:3" x14ac:dyDescent="0.25">
      <c r="C4474" s="8"/>
    </row>
    <row r="4475" spans="3:3" x14ac:dyDescent="0.25">
      <c r="C4475" s="8"/>
    </row>
    <row r="4476" spans="3:3" x14ac:dyDescent="0.25">
      <c r="C4476" s="8"/>
    </row>
    <row r="4477" spans="3:3" x14ac:dyDescent="0.25">
      <c r="C4477" s="8"/>
    </row>
    <row r="4478" spans="3:3" x14ac:dyDescent="0.25">
      <c r="C4478" s="8"/>
    </row>
    <row r="4479" spans="3:3" x14ac:dyDescent="0.25">
      <c r="C4479" s="8"/>
    </row>
    <row r="4480" spans="3:3" x14ac:dyDescent="0.25">
      <c r="C4480" s="8"/>
    </row>
    <row r="4481" spans="3:3" x14ac:dyDescent="0.25">
      <c r="C4481" s="8"/>
    </row>
    <row r="4482" spans="3:3" x14ac:dyDescent="0.25">
      <c r="C4482" s="8"/>
    </row>
    <row r="4483" spans="3:3" x14ac:dyDescent="0.25">
      <c r="C4483" s="8"/>
    </row>
    <row r="4484" spans="3:3" x14ac:dyDescent="0.25">
      <c r="C4484" s="8"/>
    </row>
    <row r="4485" spans="3:3" x14ac:dyDescent="0.25">
      <c r="C4485" s="8"/>
    </row>
    <row r="4486" spans="3:3" x14ac:dyDescent="0.25">
      <c r="C4486" s="8"/>
    </row>
    <row r="4487" spans="3:3" x14ac:dyDescent="0.25">
      <c r="C4487" s="8"/>
    </row>
    <row r="4488" spans="3:3" x14ac:dyDescent="0.25">
      <c r="C4488" s="8"/>
    </row>
    <row r="4489" spans="3:3" x14ac:dyDescent="0.25">
      <c r="C4489" s="8"/>
    </row>
    <row r="4490" spans="3:3" x14ac:dyDescent="0.25">
      <c r="C4490" s="8"/>
    </row>
    <row r="4491" spans="3:3" x14ac:dyDescent="0.25">
      <c r="C4491" s="8"/>
    </row>
    <row r="4492" spans="3:3" x14ac:dyDescent="0.25">
      <c r="C4492" s="8"/>
    </row>
    <row r="4493" spans="3:3" x14ac:dyDescent="0.25">
      <c r="C4493" s="8"/>
    </row>
    <row r="4494" spans="3:3" x14ac:dyDescent="0.25">
      <c r="C4494" s="8"/>
    </row>
    <row r="4495" spans="3:3" x14ac:dyDescent="0.25">
      <c r="C4495" s="8"/>
    </row>
    <row r="4496" spans="3:3" x14ac:dyDescent="0.25">
      <c r="C4496" s="8"/>
    </row>
    <row r="4497" spans="3:14" x14ac:dyDescent="0.25">
      <c r="C4497" s="8"/>
    </row>
    <row r="4498" spans="3:14" x14ac:dyDescent="0.25">
      <c r="C4498" s="8"/>
    </row>
    <row r="4499" spans="3:14" x14ac:dyDescent="0.25">
      <c r="C4499" s="8"/>
    </row>
    <row r="4500" spans="3:14" x14ac:dyDescent="0.25">
      <c r="C4500" s="8"/>
    </row>
    <row r="4501" spans="3:14" x14ac:dyDescent="0.25">
      <c r="C4501" s="8"/>
    </row>
    <row r="4502" spans="3:14" x14ac:dyDescent="0.25">
      <c r="C4502" s="8"/>
    </row>
    <row r="4503" spans="3:14" x14ac:dyDescent="0.25">
      <c r="C4503" s="8"/>
    </row>
    <row r="4504" spans="3:14" x14ac:dyDescent="0.25">
      <c r="C4504" s="8"/>
    </row>
    <row r="4505" spans="3:14" x14ac:dyDescent="0.25">
      <c r="C4505" s="8"/>
    </row>
    <row r="4506" spans="3:14" x14ac:dyDescent="0.25">
      <c r="C4506" s="8"/>
      <c r="N4506" s="16"/>
    </row>
    <row r="4507" spans="3:14" x14ac:dyDescent="0.25">
      <c r="C4507" s="8"/>
    </row>
    <row r="4508" spans="3:14" x14ac:dyDescent="0.25">
      <c r="C4508" s="8"/>
    </row>
    <row r="4509" spans="3:14" x14ac:dyDescent="0.25">
      <c r="C4509" s="8"/>
    </row>
    <row r="4510" spans="3:14" x14ac:dyDescent="0.25">
      <c r="C4510" s="8"/>
    </row>
    <row r="4511" spans="3:14" x14ac:dyDescent="0.25">
      <c r="C4511" s="8"/>
    </row>
    <row r="4512" spans="3:14" x14ac:dyDescent="0.25">
      <c r="C4512" s="8"/>
    </row>
    <row r="4513" spans="3:14" x14ac:dyDescent="0.25">
      <c r="C4513" s="8"/>
    </row>
    <row r="4514" spans="3:14" x14ac:dyDescent="0.25">
      <c r="C4514" s="8"/>
    </row>
    <row r="4515" spans="3:14" x14ac:dyDescent="0.25">
      <c r="C4515" s="8"/>
      <c r="N4515" s="16"/>
    </row>
    <row r="4516" spans="3:14" x14ac:dyDescent="0.25">
      <c r="C4516" s="8"/>
    </row>
    <row r="4517" spans="3:14" x14ac:dyDescent="0.25">
      <c r="C4517" s="8"/>
    </row>
    <row r="4518" spans="3:14" x14ac:dyDescent="0.25">
      <c r="C4518" s="8"/>
    </row>
    <row r="4519" spans="3:14" x14ac:dyDescent="0.25">
      <c r="C4519" s="8"/>
    </row>
    <row r="4520" spans="3:14" x14ac:dyDescent="0.25">
      <c r="C4520" s="8"/>
    </row>
    <row r="4521" spans="3:14" x14ac:dyDescent="0.25">
      <c r="C4521" s="8"/>
    </row>
    <row r="4522" spans="3:14" x14ac:dyDescent="0.25">
      <c r="C4522" s="8"/>
    </row>
    <row r="4523" spans="3:14" x14ac:dyDescent="0.25">
      <c r="C4523" s="8"/>
    </row>
    <row r="4524" spans="3:14" x14ac:dyDescent="0.25">
      <c r="C4524" s="8"/>
    </row>
    <row r="4525" spans="3:14" x14ac:dyDescent="0.25">
      <c r="C4525" s="8"/>
    </row>
    <row r="4526" spans="3:14" x14ac:dyDescent="0.25">
      <c r="C4526" s="8"/>
    </row>
    <row r="4527" spans="3:14" x14ac:dyDescent="0.25">
      <c r="C4527" s="8"/>
    </row>
    <row r="4528" spans="3:14" x14ac:dyDescent="0.25">
      <c r="C4528" s="8"/>
    </row>
    <row r="4529" spans="3:3" x14ac:dyDescent="0.25">
      <c r="C4529" s="8"/>
    </row>
    <row r="4530" spans="3:3" x14ac:dyDescent="0.25">
      <c r="C4530" s="8"/>
    </row>
    <row r="4531" spans="3:3" x14ac:dyDescent="0.25">
      <c r="C4531" s="8"/>
    </row>
    <row r="4532" spans="3:3" x14ac:dyDescent="0.25">
      <c r="C4532" s="8"/>
    </row>
    <row r="4533" spans="3:3" x14ac:dyDescent="0.25">
      <c r="C4533" s="8"/>
    </row>
    <row r="4534" spans="3:3" x14ac:dyDescent="0.25">
      <c r="C4534" s="8"/>
    </row>
    <row r="4535" spans="3:3" x14ac:dyDescent="0.25">
      <c r="C4535" s="8"/>
    </row>
    <row r="4536" spans="3:3" x14ac:dyDescent="0.25">
      <c r="C4536" s="8"/>
    </row>
    <row r="4537" spans="3:3" x14ac:dyDescent="0.25">
      <c r="C4537" s="8"/>
    </row>
    <row r="4538" spans="3:3" x14ac:dyDescent="0.25">
      <c r="C4538" s="8"/>
    </row>
    <row r="4539" spans="3:3" x14ac:dyDescent="0.25">
      <c r="C4539" s="8"/>
    </row>
    <row r="4540" spans="3:3" x14ac:dyDescent="0.25">
      <c r="C4540" s="8"/>
    </row>
    <row r="4541" spans="3:3" x14ac:dyDescent="0.25">
      <c r="C4541" s="8"/>
    </row>
    <row r="4542" spans="3:3" x14ac:dyDescent="0.25">
      <c r="C4542" s="8"/>
    </row>
    <row r="4543" spans="3:3" x14ac:dyDescent="0.25">
      <c r="C4543" s="8"/>
    </row>
    <row r="4544" spans="3:3" x14ac:dyDescent="0.25">
      <c r="C4544" s="8"/>
    </row>
    <row r="4545" spans="3:3" x14ac:dyDescent="0.25">
      <c r="C4545" s="8"/>
    </row>
    <row r="4546" spans="3:3" x14ac:dyDescent="0.25">
      <c r="C4546" s="8"/>
    </row>
    <row r="4547" spans="3:3" x14ac:dyDescent="0.25">
      <c r="C4547" s="8"/>
    </row>
    <row r="4548" spans="3:3" x14ac:dyDescent="0.25">
      <c r="C4548" s="8"/>
    </row>
    <row r="4549" spans="3:3" x14ac:dyDescent="0.25">
      <c r="C4549" s="8"/>
    </row>
    <row r="4550" spans="3:3" x14ac:dyDescent="0.25">
      <c r="C4550" s="8"/>
    </row>
    <row r="4551" spans="3:3" x14ac:dyDescent="0.25">
      <c r="C4551" s="8"/>
    </row>
    <row r="4552" spans="3:3" x14ac:dyDescent="0.25">
      <c r="C4552" s="8"/>
    </row>
    <row r="4553" spans="3:3" x14ac:dyDescent="0.25">
      <c r="C4553" s="8"/>
    </row>
    <row r="4554" spans="3:3" x14ac:dyDescent="0.25">
      <c r="C4554" s="8"/>
    </row>
    <row r="4555" spans="3:3" x14ac:dyDescent="0.25">
      <c r="C4555" s="8"/>
    </row>
    <row r="4556" spans="3:3" x14ac:dyDescent="0.25">
      <c r="C4556" s="8"/>
    </row>
    <row r="4557" spans="3:3" x14ac:dyDescent="0.25">
      <c r="C4557" s="8"/>
    </row>
    <row r="4558" spans="3:3" x14ac:dyDescent="0.25">
      <c r="C4558" s="8"/>
    </row>
    <row r="4559" spans="3:3" x14ac:dyDescent="0.25">
      <c r="C4559" s="8"/>
    </row>
    <row r="4560" spans="3:3" x14ac:dyDescent="0.25">
      <c r="C4560" s="8"/>
    </row>
    <row r="4561" spans="3:3" x14ac:dyDescent="0.25">
      <c r="C4561" s="8"/>
    </row>
    <row r="4562" spans="3:3" x14ac:dyDescent="0.25">
      <c r="C4562" s="8"/>
    </row>
    <row r="4563" spans="3:3" x14ac:dyDescent="0.25">
      <c r="C4563" s="8"/>
    </row>
    <row r="4564" spans="3:3" x14ac:dyDescent="0.25">
      <c r="C4564" s="8"/>
    </row>
    <row r="4565" spans="3:3" x14ac:dyDescent="0.25">
      <c r="C4565" s="8"/>
    </row>
    <row r="4566" spans="3:3" x14ac:dyDescent="0.25">
      <c r="C4566" s="8"/>
    </row>
    <row r="4567" spans="3:3" x14ac:dyDescent="0.25">
      <c r="C4567" s="8"/>
    </row>
    <row r="4568" spans="3:3" x14ac:dyDescent="0.25">
      <c r="C4568" s="8"/>
    </row>
    <row r="4569" spans="3:3" x14ac:dyDescent="0.25">
      <c r="C4569" s="8"/>
    </row>
    <row r="4570" spans="3:3" x14ac:dyDescent="0.25">
      <c r="C4570" s="8"/>
    </row>
    <row r="4571" spans="3:3" x14ac:dyDescent="0.25">
      <c r="C4571" s="8"/>
    </row>
    <row r="4572" spans="3:3" x14ac:dyDescent="0.25">
      <c r="C4572" s="8"/>
    </row>
    <row r="4573" spans="3:3" x14ac:dyDescent="0.25">
      <c r="C4573" s="8"/>
    </row>
    <row r="4574" spans="3:3" x14ac:dyDescent="0.25">
      <c r="C4574" s="8"/>
    </row>
    <row r="4575" spans="3:3" x14ac:dyDescent="0.25">
      <c r="C4575" s="8"/>
    </row>
    <row r="4576" spans="3:3" x14ac:dyDescent="0.25">
      <c r="C4576" s="8"/>
    </row>
    <row r="4577" spans="3:3" x14ac:dyDescent="0.25">
      <c r="C4577" s="8"/>
    </row>
    <row r="4578" spans="3:3" x14ac:dyDescent="0.25">
      <c r="C4578" s="8"/>
    </row>
    <row r="4579" spans="3:3" x14ac:dyDescent="0.25">
      <c r="C4579" s="8"/>
    </row>
    <row r="4580" spans="3:3" x14ac:dyDescent="0.25">
      <c r="C4580" s="8"/>
    </row>
    <row r="4581" spans="3:3" x14ac:dyDescent="0.25">
      <c r="C4581" s="8"/>
    </row>
    <row r="4582" spans="3:3" x14ac:dyDescent="0.25">
      <c r="C4582" s="8"/>
    </row>
    <row r="4583" spans="3:3" x14ac:dyDescent="0.25">
      <c r="C4583" s="8"/>
    </row>
    <row r="4584" spans="3:3" x14ac:dyDescent="0.25">
      <c r="C4584" s="8"/>
    </row>
    <row r="4585" spans="3:3" x14ac:dyDescent="0.25">
      <c r="C4585" s="8"/>
    </row>
    <row r="4586" spans="3:3" x14ac:dyDescent="0.25">
      <c r="C4586" s="8"/>
    </row>
    <row r="4587" spans="3:3" x14ac:dyDescent="0.25">
      <c r="C4587" s="8"/>
    </row>
    <row r="4588" spans="3:3" x14ac:dyDescent="0.25">
      <c r="C4588" s="8"/>
    </row>
    <row r="4589" spans="3:3" x14ac:dyDescent="0.25">
      <c r="C4589" s="8"/>
    </row>
    <row r="4590" spans="3:3" x14ac:dyDescent="0.25">
      <c r="C4590" s="8"/>
    </row>
    <row r="4591" spans="3:3" x14ac:dyDescent="0.25">
      <c r="C4591" s="8"/>
    </row>
    <row r="4592" spans="3:3" x14ac:dyDescent="0.25">
      <c r="C4592" s="8"/>
    </row>
    <row r="4593" spans="3:3" x14ac:dyDescent="0.25">
      <c r="C4593" s="8"/>
    </row>
    <row r="4594" spans="3:3" x14ac:dyDescent="0.25">
      <c r="C4594" s="8"/>
    </row>
    <row r="4595" spans="3:3" x14ac:dyDescent="0.25">
      <c r="C4595" s="8"/>
    </row>
    <row r="4596" spans="3:3" x14ac:dyDescent="0.25">
      <c r="C4596" s="8"/>
    </row>
    <row r="4597" spans="3:3" x14ac:dyDescent="0.25">
      <c r="C4597" s="8"/>
    </row>
    <row r="4598" spans="3:3" x14ac:dyDescent="0.25">
      <c r="C4598" s="8"/>
    </row>
    <row r="4599" spans="3:3" x14ac:dyDescent="0.25">
      <c r="C4599" s="8"/>
    </row>
    <row r="4600" spans="3:3" x14ac:dyDescent="0.25">
      <c r="C4600" s="8"/>
    </row>
    <row r="4601" spans="3:3" x14ac:dyDescent="0.25">
      <c r="C4601" s="8"/>
    </row>
    <row r="4602" spans="3:3" x14ac:dyDescent="0.25">
      <c r="C4602" s="8"/>
    </row>
    <row r="4603" spans="3:3" x14ac:dyDescent="0.25">
      <c r="C4603" s="8"/>
    </row>
    <row r="4604" spans="3:3" x14ac:dyDescent="0.25">
      <c r="C4604" s="8"/>
    </row>
    <row r="4605" spans="3:3" x14ac:dyDescent="0.25">
      <c r="C4605" s="8"/>
    </row>
    <row r="4606" spans="3:3" x14ac:dyDescent="0.25">
      <c r="C4606" s="8"/>
    </row>
    <row r="4607" spans="3:3" x14ac:dyDescent="0.25">
      <c r="C4607" s="8"/>
    </row>
    <row r="4608" spans="3:3" x14ac:dyDescent="0.25">
      <c r="C4608" s="8"/>
    </row>
    <row r="4609" spans="3:14" x14ac:dyDescent="0.25">
      <c r="C4609" s="8"/>
    </row>
    <row r="4610" spans="3:14" x14ac:dyDescent="0.25">
      <c r="C4610" s="8"/>
    </row>
    <row r="4611" spans="3:14" x14ac:dyDescent="0.25">
      <c r="C4611" s="8"/>
    </row>
    <row r="4612" spans="3:14" x14ac:dyDescent="0.25">
      <c r="C4612" s="8"/>
    </row>
    <row r="4613" spans="3:14" x14ac:dyDescent="0.25">
      <c r="C4613" s="8"/>
    </row>
    <row r="4614" spans="3:14" x14ac:dyDescent="0.25">
      <c r="C4614" s="8"/>
    </row>
    <row r="4615" spans="3:14" x14ac:dyDescent="0.25">
      <c r="C4615" s="8"/>
    </row>
    <row r="4616" spans="3:14" x14ac:dyDescent="0.25">
      <c r="C4616" s="8"/>
    </row>
    <row r="4617" spans="3:14" x14ac:dyDescent="0.25">
      <c r="C4617" s="8"/>
    </row>
    <row r="4618" spans="3:14" x14ac:dyDescent="0.25">
      <c r="C4618" s="8"/>
    </row>
    <row r="4619" spans="3:14" x14ac:dyDescent="0.25">
      <c r="C4619" s="8"/>
    </row>
    <row r="4620" spans="3:14" x14ac:dyDescent="0.25">
      <c r="C4620" s="8"/>
    </row>
    <row r="4621" spans="3:14" x14ac:dyDescent="0.25">
      <c r="C4621" s="8"/>
    </row>
    <row r="4622" spans="3:14" x14ac:dyDescent="0.25">
      <c r="C4622" s="8"/>
      <c r="N4622" s="16"/>
    </row>
    <row r="4623" spans="3:14" x14ac:dyDescent="0.25">
      <c r="C4623" s="8"/>
    </row>
    <row r="4624" spans="3:14" x14ac:dyDescent="0.25">
      <c r="C4624" s="8"/>
    </row>
    <row r="4625" spans="3:3" x14ac:dyDescent="0.25">
      <c r="C4625" s="8"/>
    </row>
    <row r="4626" spans="3:3" x14ac:dyDescent="0.25">
      <c r="C4626" s="8"/>
    </row>
    <row r="4627" spans="3:3" x14ac:dyDescent="0.25">
      <c r="C4627" s="8"/>
    </row>
    <row r="4628" spans="3:3" x14ac:dyDescent="0.25">
      <c r="C4628" s="8"/>
    </row>
    <row r="4629" spans="3:3" x14ac:dyDescent="0.25">
      <c r="C4629" s="8"/>
    </row>
    <row r="4630" spans="3:3" x14ac:dyDescent="0.25">
      <c r="C4630" s="8"/>
    </row>
    <row r="4631" spans="3:3" x14ac:dyDescent="0.25">
      <c r="C4631" s="8"/>
    </row>
    <row r="4632" spans="3:3" x14ac:dyDescent="0.25">
      <c r="C4632" s="8"/>
    </row>
    <row r="4633" spans="3:3" x14ac:dyDescent="0.25">
      <c r="C4633" s="8"/>
    </row>
    <row r="4634" spans="3:3" x14ac:dyDescent="0.25">
      <c r="C4634" s="8"/>
    </row>
    <row r="4635" spans="3:3" x14ac:dyDescent="0.25">
      <c r="C4635" s="8"/>
    </row>
    <row r="4636" spans="3:3" x14ac:dyDescent="0.25">
      <c r="C4636" s="8"/>
    </row>
    <row r="4637" spans="3:3" x14ac:dyDescent="0.25">
      <c r="C4637" s="8"/>
    </row>
    <row r="4638" spans="3:3" x14ac:dyDescent="0.25">
      <c r="C4638" s="8"/>
    </row>
    <row r="4639" spans="3:3" x14ac:dyDescent="0.25">
      <c r="C4639" s="8"/>
    </row>
    <row r="4640" spans="3:3" x14ac:dyDescent="0.25">
      <c r="C4640" s="8"/>
    </row>
    <row r="4641" spans="3:3" x14ac:dyDescent="0.25">
      <c r="C4641" s="8"/>
    </row>
    <row r="4642" spans="3:3" x14ac:dyDescent="0.25">
      <c r="C4642" s="8"/>
    </row>
    <row r="4643" spans="3:3" x14ac:dyDescent="0.25">
      <c r="C4643" s="8"/>
    </row>
    <row r="4644" spans="3:3" x14ac:dyDescent="0.25">
      <c r="C4644" s="8"/>
    </row>
    <row r="4645" spans="3:3" x14ac:dyDescent="0.25">
      <c r="C4645" s="8"/>
    </row>
    <row r="4646" spans="3:3" x14ac:dyDescent="0.25">
      <c r="C4646" s="8"/>
    </row>
    <row r="4647" spans="3:3" x14ac:dyDescent="0.25">
      <c r="C4647" s="8"/>
    </row>
    <row r="4648" spans="3:3" x14ac:dyDescent="0.25">
      <c r="C4648" s="8"/>
    </row>
    <row r="4649" spans="3:3" x14ac:dyDescent="0.25">
      <c r="C4649" s="8"/>
    </row>
    <row r="4650" spans="3:3" x14ac:dyDescent="0.25">
      <c r="C4650" s="8"/>
    </row>
    <row r="4651" spans="3:3" x14ac:dyDescent="0.25">
      <c r="C4651" s="8"/>
    </row>
    <row r="4652" spans="3:3" x14ac:dyDescent="0.25">
      <c r="C4652" s="8"/>
    </row>
    <row r="4653" spans="3:3" x14ac:dyDescent="0.25">
      <c r="C4653" s="8"/>
    </row>
    <row r="4654" spans="3:3" x14ac:dyDescent="0.25">
      <c r="C4654" s="8"/>
    </row>
    <row r="4655" spans="3:3" x14ac:dyDescent="0.25">
      <c r="C4655" s="8"/>
    </row>
    <row r="4656" spans="3:3" x14ac:dyDescent="0.25">
      <c r="C4656" s="8"/>
    </row>
    <row r="4657" spans="3:3" x14ac:dyDescent="0.25">
      <c r="C4657" s="8"/>
    </row>
    <row r="4658" spans="3:3" x14ac:dyDescent="0.25">
      <c r="C4658" s="8"/>
    </row>
    <row r="4659" spans="3:3" x14ac:dyDescent="0.25">
      <c r="C4659" s="8"/>
    </row>
    <row r="4660" spans="3:3" x14ac:dyDescent="0.25">
      <c r="C4660" s="8"/>
    </row>
    <row r="4661" spans="3:3" x14ac:dyDescent="0.25">
      <c r="C4661" s="8"/>
    </row>
    <row r="4662" spans="3:3" x14ac:dyDescent="0.25">
      <c r="C4662" s="8"/>
    </row>
    <row r="4663" spans="3:3" x14ac:dyDescent="0.25">
      <c r="C4663" s="8"/>
    </row>
    <row r="4664" spans="3:3" x14ac:dyDescent="0.25">
      <c r="C4664" s="8"/>
    </row>
    <row r="4665" spans="3:3" x14ac:dyDescent="0.25">
      <c r="C4665" s="8"/>
    </row>
    <row r="4666" spans="3:3" x14ac:dyDescent="0.25">
      <c r="C4666" s="8"/>
    </row>
    <row r="4667" spans="3:3" x14ac:dyDescent="0.25">
      <c r="C4667" s="8"/>
    </row>
    <row r="4668" spans="3:3" x14ac:dyDescent="0.25">
      <c r="C4668" s="8"/>
    </row>
    <row r="4669" spans="3:3" x14ac:dyDescent="0.25">
      <c r="C4669" s="8"/>
    </row>
    <row r="4670" spans="3:3" x14ac:dyDescent="0.25">
      <c r="C4670" s="8"/>
    </row>
    <row r="4671" spans="3:3" x14ac:dyDescent="0.25">
      <c r="C4671" s="8"/>
    </row>
    <row r="4672" spans="3:3" x14ac:dyDescent="0.25">
      <c r="C4672" s="8"/>
    </row>
    <row r="4673" spans="3:3" x14ac:dyDescent="0.25">
      <c r="C4673" s="8"/>
    </row>
    <row r="4674" spans="3:3" x14ac:dyDescent="0.25">
      <c r="C4674" s="8"/>
    </row>
    <row r="4675" spans="3:3" x14ac:dyDescent="0.25">
      <c r="C4675" s="8"/>
    </row>
    <row r="4676" spans="3:3" x14ac:dyDescent="0.25">
      <c r="C4676" s="8"/>
    </row>
    <row r="4677" spans="3:3" x14ac:dyDescent="0.25">
      <c r="C4677" s="8"/>
    </row>
    <row r="4678" spans="3:3" x14ac:dyDescent="0.25">
      <c r="C4678" s="8"/>
    </row>
    <row r="4679" spans="3:3" x14ac:dyDescent="0.25">
      <c r="C4679" s="8"/>
    </row>
    <row r="4680" spans="3:3" x14ac:dyDescent="0.25">
      <c r="C4680" s="8"/>
    </row>
    <row r="4681" spans="3:3" x14ac:dyDescent="0.25">
      <c r="C4681" s="8"/>
    </row>
    <row r="4682" spans="3:3" x14ac:dyDescent="0.25">
      <c r="C4682" s="8"/>
    </row>
    <row r="4683" spans="3:3" x14ac:dyDescent="0.25">
      <c r="C4683" s="8"/>
    </row>
    <row r="4684" spans="3:3" x14ac:dyDescent="0.25">
      <c r="C4684" s="8"/>
    </row>
    <row r="4685" spans="3:3" x14ac:dyDescent="0.25">
      <c r="C4685" s="8"/>
    </row>
    <row r="4686" spans="3:3" x14ac:dyDescent="0.25">
      <c r="C4686" s="8"/>
    </row>
    <row r="4687" spans="3:3" x14ac:dyDescent="0.25">
      <c r="C4687" s="8"/>
    </row>
    <row r="4688" spans="3:3" x14ac:dyDescent="0.25">
      <c r="C4688" s="8"/>
    </row>
    <row r="4689" spans="3:3" x14ac:dyDescent="0.25">
      <c r="C4689" s="8"/>
    </row>
    <row r="4690" spans="3:3" x14ac:dyDescent="0.25">
      <c r="C4690" s="8"/>
    </row>
    <row r="4691" spans="3:3" x14ac:dyDescent="0.25">
      <c r="C4691" s="8"/>
    </row>
    <row r="4692" spans="3:3" x14ac:dyDescent="0.25">
      <c r="C4692" s="8"/>
    </row>
    <row r="4693" spans="3:3" x14ac:dyDescent="0.25">
      <c r="C4693" s="8"/>
    </row>
    <row r="4694" spans="3:3" x14ac:dyDescent="0.25">
      <c r="C4694" s="8"/>
    </row>
    <row r="4695" spans="3:3" x14ac:dyDescent="0.25">
      <c r="C4695" s="8"/>
    </row>
    <row r="4696" spans="3:3" x14ac:dyDescent="0.25">
      <c r="C4696" s="8"/>
    </row>
    <row r="4697" spans="3:3" x14ac:dyDescent="0.25">
      <c r="C4697" s="8"/>
    </row>
    <row r="4698" spans="3:3" x14ac:dyDescent="0.25">
      <c r="C4698" s="8"/>
    </row>
    <row r="4699" spans="3:3" x14ac:dyDescent="0.25">
      <c r="C4699" s="8"/>
    </row>
    <row r="4700" spans="3:3" x14ac:dyDescent="0.25">
      <c r="C4700" s="8"/>
    </row>
    <row r="4701" spans="3:3" x14ac:dyDescent="0.25">
      <c r="C4701" s="8"/>
    </row>
    <row r="4702" spans="3:3" x14ac:dyDescent="0.25">
      <c r="C4702" s="8"/>
    </row>
    <row r="4703" spans="3:3" x14ac:dyDescent="0.25">
      <c r="C4703" s="8"/>
    </row>
    <row r="4704" spans="3:3" x14ac:dyDescent="0.25">
      <c r="C4704" s="8"/>
    </row>
    <row r="4705" spans="3:3" x14ac:dyDescent="0.25">
      <c r="C4705" s="8"/>
    </row>
    <row r="4706" spans="3:3" x14ac:dyDescent="0.25">
      <c r="C4706" s="8"/>
    </row>
    <row r="4707" spans="3:3" x14ac:dyDescent="0.25">
      <c r="C4707" s="8"/>
    </row>
    <row r="4708" spans="3:3" x14ac:dyDescent="0.25">
      <c r="C4708" s="8"/>
    </row>
    <row r="4709" spans="3:3" x14ac:dyDescent="0.25">
      <c r="C4709" s="8"/>
    </row>
    <row r="4710" spans="3:3" x14ac:dyDescent="0.25">
      <c r="C4710" s="8"/>
    </row>
    <row r="4711" spans="3:3" x14ac:dyDescent="0.25">
      <c r="C4711" s="8"/>
    </row>
    <row r="4712" spans="3:3" x14ac:dyDescent="0.25">
      <c r="C4712" s="8"/>
    </row>
    <row r="4713" spans="3:3" x14ac:dyDescent="0.25">
      <c r="C4713" s="8"/>
    </row>
    <row r="4714" spans="3:3" x14ac:dyDescent="0.25">
      <c r="C4714" s="8"/>
    </row>
    <row r="4715" spans="3:3" x14ac:dyDescent="0.25">
      <c r="C4715" s="8"/>
    </row>
    <row r="4716" spans="3:3" x14ac:dyDescent="0.25">
      <c r="C4716" s="8"/>
    </row>
    <row r="4717" spans="3:3" x14ac:dyDescent="0.25">
      <c r="C4717" s="8"/>
    </row>
    <row r="4718" spans="3:3" x14ac:dyDescent="0.25">
      <c r="C4718" s="8"/>
    </row>
    <row r="4719" spans="3:3" x14ac:dyDescent="0.25">
      <c r="C4719" s="8"/>
    </row>
    <row r="4720" spans="3:3" x14ac:dyDescent="0.25">
      <c r="C4720" s="8"/>
    </row>
    <row r="4721" spans="3:13" x14ac:dyDescent="0.25">
      <c r="C4721" s="8"/>
    </row>
    <row r="4722" spans="3:13" x14ac:dyDescent="0.25">
      <c r="C4722" s="8"/>
    </row>
    <row r="4723" spans="3:13" x14ac:dyDescent="0.25">
      <c r="C4723" s="8"/>
    </row>
    <row r="4724" spans="3:13" x14ac:dyDescent="0.25">
      <c r="C4724" s="8"/>
    </row>
    <row r="4725" spans="3:13" x14ac:dyDescent="0.25">
      <c r="C4725" s="8"/>
    </row>
    <row r="4726" spans="3:13" x14ac:dyDescent="0.25">
      <c r="C4726" s="8"/>
    </row>
    <row r="4727" spans="3:13" x14ac:dyDescent="0.25">
      <c r="C4727" s="8"/>
    </row>
    <row r="4728" spans="3:13" x14ac:dyDescent="0.25">
      <c r="C4728" s="8"/>
    </row>
    <row r="4729" spans="3:13" x14ac:dyDescent="0.25">
      <c r="C4729" s="8"/>
    </row>
    <row r="4730" spans="3:13" x14ac:dyDescent="0.25">
      <c r="C4730" s="8"/>
    </row>
    <row r="4731" spans="3:13" x14ac:dyDescent="0.25">
      <c r="C4731" s="8"/>
      <c r="M4731" s="62"/>
    </row>
    <row r="4732" spans="3:13" x14ac:dyDescent="0.25">
      <c r="C4732" s="8"/>
    </row>
    <row r="4733" spans="3:13" x14ac:dyDescent="0.25">
      <c r="C4733" s="8"/>
    </row>
    <row r="4734" spans="3:13" x14ac:dyDescent="0.25">
      <c r="C4734" s="8"/>
    </row>
    <row r="4735" spans="3:13" x14ac:dyDescent="0.25">
      <c r="C4735" s="8"/>
    </row>
    <row r="4736" spans="3:13" x14ac:dyDescent="0.25">
      <c r="C4736" s="8"/>
    </row>
    <row r="4737" spans="3:3" x14ac:dyDescent="0.25">
      <c r="C4737" s="8"/>
    </row>
    <row r="4738" spans="3:3" x14ac:dyDescent="0.25">
      <c r="C4738" s="8"/>
    </row>
    <row r="4739" spans="3:3" x14ac:dyDescent="0.25">
      <c r="C4739" s="8"/>
    </row>
    <row r="4740" spans="3:3" x14ac:dyDescent="0.25">
      <c r="C4740" s="8"/>
    </row>
    <row r="4741" spans="3:3" x14ac:dyDescent="0.25">
      <c r="C4741" s="8"/>
    </row>
    <row r="4742" spans="3:3" x14ac:dyDescent="0.25">
      <c r="C4742" s="8"/>
    </row>
    <row r="4743" spans="3:3" x14ac:dyDescent="0.25">
      <c r="C4743" s="8"/>
    </row>
    <row r="4744" spans="3:3" x14ac:dyDescent="0.25">
      <c r="C4744" s="8"/>
    </row>
    <row r="4745" spans="3:3" x14ac:dyDescent="0.25">
      <c r="C4745" s="8"/>
    </row>
    <row r="4746" spans="3:3" x14ac:dyDescent="0.25">
      <c r="C4746" s="8"/>
    </row>
    <row r="4747" spans="3:3" x14ac:dyDescent="0.25">
      <c r="C4747" s="8"/>
    </row>
    <row r="4748" spans="3:3" x14ac:dyDescent="0.25">
      <c r="C4748" s="8"/>
    </row>
    <row r="4749" spans="3:3" x14ac:dyDescent="0.25">
      <c r="C4749" s="8"/>
    </row>
    <row r="4750" spans="3:3" x14ac:dyDescent="0.25">
      <c r="C4750" s="8"/>
    </row>
    <row r="4751" spans="3:3" x14ac:dyDescent="0.25">
      <c r="C4751" s="8"/>
    </row>
    <row r="4752" spans="3:3" x14ac:dyDescent="0.25">
      <c r="C4752" s="8"/>
    </row>
    <row r="4753" spans="3:4" x14ac:dyDescent="0.25">
      <c r="C4753" s="8"/>
    </row>
    <row r="4754" spans="3:4" x14ac:dyDescent="0.25">
      <c r="C4754" s="8"/>
    </row>
    <row r="4755" spans="3:4" x14ac:dyDescent="0.25">
      <c r="C4755" s="8"/>
    </row>
    <row r="4756" spans="3:4" x14ac:dyDescent="0.25">
      <c r="C4756" s="8"/>
    </row>
    <row r="4757" spans="3:4" x14ac:dyDescent="0.25">
      <c r="C4757" s="8"/>
    </row>
    <row r="4758" spans="3:4" x14ac:dyDescent="0.25">
      <c r="C4758" s="8"/>
    </row>
    <row r="4759" spans="3:4" x14ac:dyDescent="0.25">
      <c r="C4759" s="8"/>
    </row>
    <row r="4760" spans="3:4" x14ac:dyDescent="0.25">
      <c r="C4760" s="8"/>
    </row>
    <row r="4761" spans="3:4" x14ac:dyDescent="0.25">
      <c r="C4761" s="8"/>
    </row>
    <row r="4762" spans="3:4" x14ac:dyDescent="0.25">
      <c r="C4762" s="8"/>
    </row>
    <row r="4763" spans="3:4" x14ac:dyDescent="0.25">
      <c r="C4763" s="8"/>
    </row>
    <row r="4764" spans="3:4" x14ac:dyDescent="0.25">
      <c r="C4764" s="8"/>
      <c r="D4764" s="33"/>
    </row>
    <row r="4765" spans="3:4" x14ac:dyDescent="0.25">
      <c r="C4765" s="8"/>
    </row>
    <row r="4766" spans="3:4" x14ac:dyDescent="0.25">
      <c r="C4766" s="8"/>
    </row>
    <row r="4767" spans="3:4" x14ac:dyDescent="0.25">
      <c r="C4767" s="8"/>
    </row>
    <row r="4768" spans="3:4" x14ac:dyDescent="0.25">
      <c r="C4768" s="8"/>
    </row>
    <row r="4769" spans="3:3" x14ac:dyDescent="0.25">
      <c r="C4769" s="8"/>
    </row>
    <row r="4770" spans="3:3" x14ac:dyDescent="0.25">
      <c r="C4770" s="8"/>
    </row>
    <row r="4771" spans="3:3" x14ac:dyDescent="0.25">
      <c r="C4771" s="8"/>
    </row>
    <row r="4772" spans="3:3" x14ac:dyDescent="0.25">
      <c r="C4772" s="8"/>
    </row>
    <row r="4773" spans="3:3" x14ac:dyDescent="0.25">
      <c r="C4773" s="8"/>
    </row>
    <row r="4774" spans="3:3" x14ac:dyDescent="0.25">
      <c r="C4774" s="8"/>
    </row>
    <row r="4775" spans="3:3" x14ac:dyDescent="0.25">
      <c r="C4775" s="8"/>
    </row>
    <row r="4776" spans="3:3" x14ac:dyDescent="0.25">
      <c r="C4776" s="8"/>
    </row>
    <row r="4777" spans="3:3" x14ac:dyDescent="0.25">
      <c r="C4777" s="8"/>
    </row>
    <row r="4778" spans="3:3" x14ac:dyDescent="0.25">
      <c r="C4778" s="8"/>
    </row>
    <row r="4779" spans="3:3" x14ac:dyDescent="0.25">
      <c r="C4779" s="8"/>
    </row>
    <row r="4780" spans="3:3" x14ac:dyDescent="0.25">
      <c r="C4780" s="8"/>
    </row>
    <row r="4781" spans="3:3" x14ac:dyDescent="0.25">
      <c r="C4781" s="8"/>
    </row>
    <row r="4782" spans="3:3" x14ac:dyDescent="0.25">
      <c r="C4782" s="8"/>
    </row>
    <row r="4783" spans="3:3" x14ac:dyDescent="0.25">
      <c r="C4783" s="8"/>
    </row>
    <row r="4784" spans="3:3" x14ac:dyDescent="0.25">
      <c r="C4784" s="8"/>
    </row>
    <row r="4785" spans="3:3" x14ac:dyDescent="0.25">
      <c r="C4785" s="8"/>
    </row>
    <row r="4786" spans="3:3" x14ac:dyDescent="0.25">
      <c r="C4786" s="8"/>
    </row>
    <row r="4787" spans="3:3" x14ac:dyDescent="0.25">
      <c r="C4787" s="8"/>
    </row>
    <row r="4788" spans="3:3" x14ac:dyDescent="0.25">
      <c r="C4788" s="8"/>
    </row>
    <row r="4789" spans="3:3" x14ac:dyDescent="0.25">
      <c r="C4789" s="8"/>
    </row>
    <row r="4790" spans="3:3" x14ac:dyDescent="0.25">
      <c r="C4790" s="8"/>
    </row>
    <row r="4791" spans="3:3" x14ac:dyDescent="0.25">
      <c r="C4791" s="8"/>
    </row>
    <row r="4792" spans="3:3" x14ac:dyDescent="0.25">
      <c r="C4792" s="8"/>
    </row>
    <row r="4793" spans="3:3" x14ac:dyDescent="0.25">
      <c r="C4793" s="8"/>
    </row>
    <row r="4794" spans="3:3" x14ac:dyDescent="0.25">
      <c r="C4794" s="8"/>
    </row>
    <row r="4795" spans="3:3" x14ac:dyDescent="0.25">
      <c r="C4795" s="8"/>
    </row>
    <row r="4796" spans="3:3" x14ac:dyDescent="0.25">
      <c r="C4796" s="8"/>
    </row>
    <row r="4797" spans="3:3" x14ac:dyDescent="0.25">
      <c r="C4797" s="8"/>
    </row>
    <row r="4798" spans="3:3" x14ac:dyDescent="0.25">
      <c r="C4798" s="8"/>
    </row>
    <row r="4799" spans="3:3" x14ac:dyDescent="0.25">
      <c r="C4799" s="8"/>
    </row>
    <row r="4800" spans="3:3" x14ac:dyDescent="0.25">
      <c r="C4800" s="8"/>
    </row>
    <row r="4801" spans="3:13" x14ac:dyDescent="0.25">
      <c r="C4801" s="8"/>
    </row>
    <row r="4802" spans="3:13" x14ac:dyDescent="0.25">
      <c r="C4802" s="8"/>
    </row>
    <row r="4803" spans="3:13" x14ac:dyDescent="0.25">
      <c r="C4803" s="8"/>
    </row>
    <row r="4804" spans="3:13" x14ac:dyDescent="0.25">
      <c r="C4804" s="8"/>
    </row>
    <row r="4805" spans="3:13" x14ac:dyDescent="0.25">
      <c r="C4805" s="8"/>
      <c r="M4805" s="62"/>
    </row>
    <row r="4806" spans="3:13" x14ac:dyDescent="0.25">
      <c r="C4806" s="8"/>
    </row>
    <row r="4807" spans="3:13" x14ac:dyDescent="0.25">
      <c r="C4807" s="8"/>
    </row>
    <row r="4808" spans="3:13" x14ac:dyDescent="0.25">
      <c r="C4808" s="8"/>
      <c r="M4808" s="62"/>
    </row>
    <row r="4809" spans="3:13" x14ac:dyDescent="0.25">
      <c r="C4809" s="8"/>
    </row>
    <row r="4810" spans="3:13" x14ac:dyDescent="0.25">
      <c r="C4810" s="8"/>
    </row>
    <row r="4811" spans="3:13" x14ac:dyDescent="0.25">
      <c r="C4811" s="8"/>
    </row>
    <row r="4812" spans="3:13" x14ac:dyDescent="0.25">
      <c r="C4812" s="8"/>
    </row>
    <row r="4813" spans="3:13" x14ac:dyDescent="0.25">
      <c r="C4813" s="8"/>
    </row>
    <row r="4814" spans="3:13" x14ac:dyDescent="0.25">
      <c r="C4814" s="8"/>
    </row>
    <row r="4815" spans="3:13" x14ac:dyDescent="0.25">
      <c r="C4815" s="8"/>
    </row>
    <row r="4816" spans="3:13" x14ac:dyDescent="0.25">
      <c r="C4816" s="8"/>
    </row>
    <row r="4817" spans="3:3" x14ac:dyDescent="0.25">
      <c r="C4817" s="8"/>
    </row>
    <row r="4818" spans="3:3" x14ac:dyDescent="0.25">
      <c r="C4818" s="8"/>
    </row>
    <row r="4819" spans="3:3" x14ac:dyDescent="0.25">
      <c r="C4819" s="8"/>
    </row>
    <row r="4820" spans="3:3" x14ac:dyDescent="0.25">
      <c r="C4820" s="8"/>
    </row>
    <row r="4821" spans="3:3" x14ac:dyDescent="0.25">
      <c r="C4821" s="8"/>
    </row>
    <row r="4822" spans="3:3" x14ac:dyDescent="0.25">
      <c r="C4822" s="8"/>
    </row>
    <row r="4823" spans="3:3" x14ac:dyDescent="0.25">
      <c r="C4823" s="8"/>
    </row>
    <row r="4824" spans="3:3" x14ac:dyDescent="0.25">
      <c r="C4824" s="8"/>
    </row>
    <row r="4825" spans="3:3" x14ac:dyDescent="0.25">
      <c r="C4825" s="8"/>
    </row>
    <row r="4826" spans="3:3" x14ac:dyDescent="0.25">
      <c r="C4826" s="8"/>
    </row>
    <row r="4827" spans="3:3" x14ac:dyDescent="0.25">
      <c r="C4827" s="8"/>
    </row>
    <row r="4828" spans="3:3" x14ac:dyDescent="0.25">
      <c r="C4828" s="8"/>
    </row>
    <row r="4829" spans="3:3" x14ac:dyDescent="0.25">
      <c r="C4829" s="8"/>
    </row>
    <row r="4830" spans="3:3" x14ac:dyDescent="0.25">
      <c r="C4830" s="8"/>
    </row>
    <row r="4831" spans="3:3" x14ac:dyDescent="0.25">
      <c r="C4831" s="8"/>
    </row>
    <row r="4832" spans="3:3" x14ac:dyDescent="0.25">
      <c r="C4832" s="8"/>
    </row>
    <row r="4833" spans="3:3" x14ac:dyDescent="0.25">
      <c r="C4833" s="8"/>
    </row>
    <row r="4834" spans="3:3" x14ac:dyDescent="0.25">
      <c r="C4834" s="8"/>
    </row>
    <row r="4835" spans="3:3" x14ac:dyDescent="0.25">
      <c r="C4835" s="8"/>
    </row>
    <row r="4836" spans="3:3" x14ac:dyDescent="0.25">
      <c r="C4836" s="8"/>
    </row>
    <row r="4837" spans="3:3" x14ac:dyDescent="0.25">
      <c r="C4837" s="8"/>
    </row>
    <row r="4838" spans="3:3" x14ac:dyDescent="0.25">
      <c r="C4838" s="8"/>
    </row>
    <row r="4839" spans="3:3" x14ac:dyDescent="0.25">
      <c r="C4839" s="8"/>
    </row>
    <row r="4840" spans="3:3" x14ac:dyDescent="0.25">
      <c r="C4840" s="8"/>
    </row>
    <row r="4841" spans="3:3" x14ac:dyDescent="0.25">
      <c r="C4841" s="8"/>
    </row>
    <row r="4842" spans="3:3" x14ac:dyDescent="0.25">
      <c r="C4842" s="8"/>
    </row>
    <row r="4843" spans="3:3" x14ac:dyDescent="0.25">
      <c r="C4843" s="8"/>
    </row>
    <row r="4844" spans="3:3" x14ac:dyDescent="0.25">
      <c r="C4844" s="8"/>
    </row>
    <row r="4845" spans="3:3" x14ac:dyDescent="0.25">
      <c r="C4845" s="8"/>
    </row>
    <row r="4846" spans="3:3" x14ac:dyDescent="0.25">
      <c r="C4846" s="8"/>
    </row>
    <row r="4847" spans="3:3" x14ac:dyDescent="0.25">
      <c r="C4847" s="8"/>
    </row>
    <row r="4848" spans="3:3" x14ac:dyDescent="0.25">
      <c r="C4848" s="8"/>
    </row>
    <row r="4849" spans="2:14" x14ac:dyDescent="0.25">
      <c r="C4849" s="8"/>
    </row>
    <row r="4850" spans="2:14" x14ac:dyDescent="0.25">
      <c r="C4850" s="8"/>
    </row>
    <row r="4851" spans="2:14" x14ac:dyDescent="0.25">
      <c r="C4851" s="8"/>
    </row>
    <row r="4852" spans="2:14" x14ac:dyDescent="0.25">
      <c r="C4852" s="8"/>
    </row>
    <row r="4853" spans="2:14" x14ac:dyDescent="0.25">
      <c r="C4853" s="8"/>
    </row>
    <row r="4854" spans="2:14" x14ac:dyDescent="0.25">
      <c r="C4854" s="8"/>
    </row>
    <row r="4855" spans="2:14" x14ac:dyDescent="0.25">
      <c r="C4855" s="8"/>
    </row>
    <row r="4856" spans="2:14" x14ac:dyDescent="0.25">
      <c r="C4856" s="8"/>
    </row>
    <row r="4857" spans="2:14" x14ac:dyDescent="0.25">
      <c r="C4857" s="8"/>
    </row>
    <row r="4858" spans="2:14" x14ac:dyDescent="0.25">
      <c r="C4858" s="8"/>
    </row>
    <row r="4859" spans="2:14" x14ac:dyDescent="0.25">
      <c r="C4859" s="8"/>
    </row>
    <row r="4860" spans="2:14" x14ac:dyDescent="0.25">
      <c r="C4860" s="8"/>
    </row>
    <row r="4861" spans="2:14" x14ac:dyDescent="0.25">
      <c r="C4861" s="8"/>
    </row>
    <row r="4862" spans="2:14" x14ac:dyDescent="0.25">
      <c r="C4862" s="8"/>
    </row>
    <row r="4863" spans="2:14" x14ac:dyDescent="0.25">
      <c r="B4863" s="20"/>
      <c r="C4863" s="8"/>
      <c r="D4863" s="20"/>
      <c r="E4863" s="16"/>
      <c r="N4863" s="16"/>
    </row>
    <row r="4864" spans="2:14" x14ac:dyDescent="0.25">
      <c r="B4864" s="20"/>
      <c r="C4864" s="8"/>
      <c r="D4864" s="20"/>
      <c r="E4864" s="16"/>
      <c r="N4864" s="16"/>
    </row>
    <row r="4865" spans="2:15" x14ac:dyDescent="0.25">
      <c r="B4865" s="20"/>
      <c r="C4865" s="8"/>
      <c r="D4865" s="20"/>
      <c r="E4865" s="16"/>
      <c r="N4865" s="16"/>
    </row>
    <row r="4866" spans="2:15" x14ac:dyDescent="0.25">
      <c r="C4866" s="8"/>
      <c r="O4866" s="17"/>
    </row>
    <row r="4867" spans="2:15" x14ac:dyDescent="0.25">
      <c r="C4867" s="8"/>
    </row>
    <row r="4868" spans="2:15" x14ac:dyDescent="0.25">
      <c r="C4868" s="8"/>
    </row>
    <row r="4869" spans="2:15" x14ac:dyDescent="0.25">
      <c r="C4869" s="8"/>
    </row>
    <row r="4870" spans="2:15" x14ac:dyDescent="0.25">
      <c r="C4870" s="8"/>
    </row>
    <row r="4871" spans="2:15" x14ac:dyDescent="0.25">
      <c r="C4871" s="8"/>
    </row>
    <row r="4872" spans="2:15" x14ac:dyDescent="0.25">
      <c r="C4872" s="8"/>
      <c r="M4872" s="62"/>
    </row>
    <row r="4873" spans="2:15" x14ac:dyDescent="0.25">
      <c r="C4873" s="8"/>
    </row>
    <row r="4874" spans="2:15" x14ac:dyDescent="0.25">
      <c r="C4874" s="8"/>
    </row>
    <row r="4875" spans="2:15" x14ac:dyDescent="0.25">
      <c r="C4875" s="8"/>
    </row>
    <row r="4876" spans="2:15" x14ac:dyDescent="0.25">
      <c r="C4876" s="8"/>
    </row>
    <row r="4877" spans="2:15" x14ac:dyDescent="0.25">
      <c r="C4877" s="8"/>
    </row>
    <row r="4878" spans="2:15" x14ac:dyDescent="0.25">
      <c r="C4878" s="8"/>
    </row>
    <row r="4879" spans="2:15" x14ac:dyDescent="0.25">
      <c r="C4879" s="8"/>
    </row>
    <row r="4880" spans="2:15" x14ac:dyDescent="0.25">
      <c r="C4880" s="8"/>
    </row>
    <row r="4881" spans="3:14" x14ac:dyDescent="0.25">
      <c r="C4881" s="8"/>
    </row>
    <row r="4882" spans="3:14" x14ac:dyDescent="0.25">
      <c r="C4882" s="8"/>
    </row>
    <row r="4883" spans="3:14" x14ac:dyDescent="0.25">
      <c r="C4883" s="8"/>
    </row>
    <row r="4884" spans="3:14" x14ac:dyDescent="0.25">
      <c r="C4884" s="8"/>
    </row>
    <row r="4885" spans="3:14" x14ac:dyDescent="0.25">
      <c r="C4885" s="8"/>
    </row>
    <row r="4886" spans="3:14" x14ac:dyDescent="0.25">
      <c r="C4886" s="8"/>
      <c r="N4886" s="16"/>
    </row>
    <row r="4887" spans="3:14" x14ac:dyDescent="0.25">
      <c r="C4887" s="8"/>
    </row>
    <row r="4888" spans="3:14" x14ac:dyDescent="0.25">
      <c r="C4888" s="8"/>
    </row>
    <row r="4889" spans="3:14" x14ac:dyDescent="0.25">
      <c r="C4889" s="8"/>
    </row>
    <row r="4890" spans="3:14" x14ac:dyDescent="0.25">
      <c r="C4890" s="8"/>
    </row>
    <row r="4891" spans="3:14" x14ac:dyDescent="0.25">
      <c r="C4891" s="8"/>
    </row>
    <row r="4892" spans="3:14" x14ac:dyDescent="0.25">
      <c r="C4892" s="8"/>
    </row>
    <row r="4893" spans="3:14" x14ac:dyDescent="0.25">
      <c r="C4893" s="8"/>
    </row>
    <row r="4894" spans="3:14" x14ac:dyDescent="0.25">
      <c r="C4894" s="8"/>
    </row>
    <row r="4895" spans="3:14" x14ac:dyDescent="0.25">
      <c r="C4895" s="8"/>
    </row>
    <row r="4896" spans="3:14" x14ac:dyDescent="0.25">
      <c r="C4896" s="8"/>
    </row>
    <row r="4897" spans="2:14" x14ac:dyDescent="0.25">
      <c r="C4897" s="8"/>
    </row>
    <row r="4898" spans="2:14" x14ac:dyDescent="0.25">
      <c r="C4898" s="8"/>
    </row>
    <row r="4899" spans="2:14" x14ac:dyDescent="0.25">
      <c r="C4899" s="8"/>
    </row>
    <row r="4900" spans="2:14" x14ac:dyDescent="0.25">
      <c r="C4900" s="8"/>
    </row>
    <row r="4901" spans="2:14" x14ac:dyDescent="0.25">
      <c r="C4901" s="8"/>
    </row>
    <row r="4902" spans="2:14" x14ac:dyDescent="0.25">
      <c r="C4902" s="8"/>
    </row>
    <row r="4903" spans="2:14" x14ac:dyDescent="0.25">
      <c r="C4903" s="8"/>
    </row>
    <row r="4904" spans="2:14" x14ac:dyDescent="0.25">
      <c r="C4904" s="8"/>
    </row>
    <row r="4905" spans="2:14" x14ac:dyDescent="0.25">
      <c r="C4905" s="8"/>
    </row>
    <row r="4906" spans="2:14" x14ac:dyDescent="0.25">
      <c r="C4906" s="8"/>
    </row>
    <row r="4907" spans="2:14" x14ac:dyDescent="0.25">
      <c r="C4907" s="8"/>
    </row>
    <row r="4908" spans="2:14" x14ac:dyDescent="0.25">
      <c r="C4908" s="8"/>
    </row>
    <row r="4909" spans="2:14" x14ac:dyDescent="0.25">
      <c r="C4909" s="8"/>
    </row>
    <row r="4910" spans="2:14" x14ac:dyDescent="0.25">
      <c r="B4910" s="20"/>
      <c r="C4910" s="21"/>
      <c r="D4910" s="20"/>
      <c r="E4910" s="16"/>
      <c r="H4910" s="16"/>
      <c r="I4910" s="56"/>
      <c r="N4910" s="16"/>
    </row>
    <row r="4911" spans="2:14" x14ac:dyDescent="0.25">
      <c r="C4911" s="8"/>
    </row>
    <row r="4912" spans="2:14" x14ac:dyDescent="0.25">
      <c r="C4912" s="8"/>
    </row>
    <row r="4913" spans="2:3" x14ac:dyDescent="0.25">
      <c r="C4913" s="8"/>
    </row>
    <row r="4914" spans="2:3" x14ac:dyDescent="0.25">
      <c r="C4914" s="8"/>
    </row>
    <row r="4915" spans="2:3" x14ac:dyDescent="0.25">
      <c r="C4915" s="8"/>
    </row>
    <row r="4916" spans="2:3" x14ac:dyDescent="0.25">
      <c r="C4916" s="8"/>
    </row>
    <row r="4917" spans="2:3" x14ac:dyDescent="0.25">
      <c r="C4917" s="8"/>
    </row>
    <row r="4918" spans="2:3" x14ac:dyDescent="0.25">
      <c r="C4918" s="8"/>
    </row>
    <row r="4919" spans="2:3" x14ac:dyDescent="0.25">
      <c r="B4919" s="52"/>
      <c r="C4919" s="8"/>
    </row>
    <row r="4920" spans="2:3" x14ac:dyDescent="0.25">
      <c r="B4920" s="52"/>
      <c r="C4920" s="8"/>
    </row>
    <row r="4921" spans="2:3" x14ac:dyDescent="0.25">
      <c r="C4921" s="8"/>
    </row>
    <row r="4922" spans="2:3" x14ac:dyDescent="0.25">
      <c r="C4922" s="8"/>
    </row>
    <row r="4923" spans="2:3" x14ac:dyDescent="0.25">
      <c r="C4923" s="8"/>
    </row>
    <row r="4924" spans="2:3" x14ac:dyDescent="0.25">
      <c r="C4924" s="8"/>
    </row>
    <row r="4925" spans="2:3" x14ac:dyDescent="0.25">
      <c r="C4925" s="8"/>
    </row>
    <row r="4926" spans="2:3" x14ac:dyDescent="0.25">
      <c r="C4926" s="8"/>
    </row>
    <row r="4927" spans="2:3" x14ac:dyDescent="0.25">
      <c r="C4927" s="8"/>
    </row>
    <row r="4928" spans="2:3" x14ac:dyDescent="0.25">
      <c r="C4928" s="8"/>
    </row>
    <row r="4929" spans="3:3" x14ac:dyDescent="0.25">
      <c r="C4929" s="8"/>
    </row>
    <row r="4930" spans="3:3" x14ac:dyDescent="0.25">
      <c r="C4930" s="8"/>
    </row>
    <row r="4931" spans="3:3" x14ac:dyDescent="0.25">
      <c r="C4931" s="8"/>
    </row>
    <row r="4932" spans="3:3" x14ac:dyDescent="0.25">
      <c r="C4932" s="8"/>
    </row>
    <row r="4933" spans="3:3" x14ac:dyDescent="0.25">
      <c r="C4933" s="8"/>
    </row>
    <row r="4934" spans="3:3" x14ac:dyDescent="0.25">
      <c r="C4934" s="8"/>
    </row>
    <row r="4935" spans="3:3" x14ac:dyDescent="0.25">
      <c r="C4935" s="8"/>
    </row>
    <row r="4936" spans="3:3" x14ac:dyDescent="0.25">
      <c r="C4936" s="8"/>
    </row>
    <row r="4937" spans="3:3" x14ac:dyDescent="0.25">
      <c r="C4937" s="8"/>
    </row>
    <row r="4938" spans="3:3" x14ac:dyDescent="0.25">
      <c r="C4938" s="8"/>
    </row>
    <row r="4939" spans="3:3" x14ac:dyDescent="0.25">
      <c r="C4939" s="8"/>
    </row>
    <row r="4940" spans="3:3" x14ac:dyDescent="0.25">
      <c r="C4940" s="8"/>
    </row>
    <row r="4941" spans="3:3" x14ac:dyDescent="0.25">
      <c r="C4941" s="8"/>
    </row>
    <row r="4942" spans="3:3" x14ac:dyDescent="0.25">
      <c r="C4942" s="8"/>
    </row>
    <row r="4943" spans="3:3" x14ac:dyDescent="0.25">
      <c r="C4943" s="8"/>
    </row>
    <row r="4944" spans="3:3" x14ac:dyDescent="0.25">
      <c r="C4944" s="8"/>
    </row>
    <row r="4945" spans="3:3" x14ac:dyDescent="0.25">
      <c r="C4945" s="8"/>
    </row>
    <row r="4946" spans="3:3" x14ac:dyDescent="0.25">
      <c r="C4946" s="8"/>
    </row>
    <row r="4947" spans="3:3" x14ac:dyDescent="0.25">
      <c r="C4947" s="8"/>
    </row>
    <row r="4948" spans="3:3" x14ac:dyDescent="0.25">
      <c r="C4948" s="8"/>
    </row>
    <row r="4949" spans="3:3" x14ac:dyDescent="0.25">
      <c r="C4949" s="8"/>
    </row>
    <row r="4950" spans="3:3" x14ac:dyDescent="0.25">
      <c r="C4950" s="8"/>
    </row>
    <row r="4951" spans="3:3" x14ac:dyDescent="0.25">
      <c r="C4951" s="8"/>
    </row>
    <row r="4952" spans="3:3" x14ac:dyDescent="0.25">
      <c r="C4952" s="8"/>
    </row>
    <row r="4953" spans="3:3" x14ac:dyDescent="0.25">
      <c r="C4953" s="8"/>
    </row>
    <row r="4954" spans="3:3" x14ac:dyDescent="0.25">
      <c r="C4954" s="8"/>
    </row>
    <row r="4955" spans="3:3" x14ac:dyDescent="0.25">
      <c r="C4955" s="8"/>
    </row>
    <row r="4956" spans="3:3" x14ac:dyDescent="0.25">
      <c r="C4956" s="8"/>
    </row>
    <row r="4957" spans="3:3" x14ac:dyDescent="0.25">
      <c r="C4957" s="8"/>
    </row>
    <row r="4958" spans="3:3" x14ac:dyDescent="0.25">
      <c r="C4958" s="8"/>
    </row>
    <row r="4959" spans="3:3" x14ac:dyDescent="0.25">
      <c r="C4959" s="8"/>
    </row>
    <row r="4960" spans="3:3" x14ac:dyDescent="0.25">
      <c r="C4960" s="8"/>
    </row>
    <row r="4961" spans="3:3" x14ac:dyDescent="0.25">
      <c r="C4961" s="8"/>
    </row>
    <row r="4962" spans="3:3" x14ac:dyDescent="0.25">
      <c r="C4962" s="8"/>
    </row>
    <row r="4963" spans="3:3" x14ac:dyDescent="0.25">
      <c r="C4963" s="8"/>
    </row>
    <row r="4964" spans="3:3" x14ac:dyDescent="0.25">
      <c r="C4964" s="8"/>
    </row>
    <row r="4965" spans="3:3" x14ac:dyDescent="0.25">
      <c r="C4965" s="8"/>
    </row>
    <row r="4966" spans="3:3" x14ac:dyDescent="0.25">
      <c r="C4966" s="8"/>
    </row>
    <row r="4967" spans="3:3" x14ac:dyDescent="0.25">
      <c r="C4967" s="8"/>
    </row>
    <row r="4968" spans="3:3" x14ac:dyDescent="0.25">
      <c r="C4968" s="8"/>
    </row>
    <row r="4969" spans="3:3" x14ac:dyDescent="0.25">
      <c r="C4969" s="8"/>
    </row>
    <row r="4970" spans="3:3" x14ac:dyDescent="0.25">
      <c r="C4970" s="8"/>
    </row>
    <row r="4971" spans="3:3" x14ac:dyDescent="0.25">
      <c r="C4971" s="8"/>
    </row>
    <row r="4972" spans="3:3" x14ac:dyDescent="0.25">
      <c r="C4972" s="8"/>
    </row>
    <row r="4973" spans="3:3" x14ac:dyDescent="0.25">
      <c r="C4973" s="8"/>
    </row>
    <row r="4974" spans="3:3" x14ac:dyDescent="0.25">
      <c r="C4974" s="8"/>
    </row>
    <row r="4975" spans="3:3" x14ac:dyDescent="0.25">
      <c r="C4975" s="8"/>
    </row>
    <row r="4976" spans="3:3" x14ac:dyDescent="0.25">
      <c r="C4976" s="8"/>
    </row>
    <row r="4977" spans="3:3" x14ac:dyDescent="0.25">
      <c r="C4977" s="8"/>
    </row>
    <row r="4978" spans="3:3" x14ac:dyDescent="0.25">
      <c r="C4978" s="8"/>
    </row>
    <row r="4979" spans="3:3" x14ac:dyDescent="0.25">
      <c r="C4979" s="8"/>
    </row>
    <row r="4980" spans="3:3" x14ac:dyDescent="0.25">
      <c r="C4980" s="8"/>
    </row>
    <row r="4981" spans="3:3" x14ac:dyDescent="0.25">
      <c r="C4981" s="8"/>
    </row>
    <row r="4982" spans="3:3" x14ac:dyDescent="0.25">
      <c r="C4982" s="8"/>
    </row>
    <row r="4983" spans="3:3" x14ac:dyDescent="0.25">
      <c r="C4983" s="8"/>
    </row>
    <row r="4984" spans="3:3" x14ac:dyDescent="0.25">
      <c r="C4984" s="8"/>
    </row>
    <row r="4985" spans="3:3" x14ac:dyDescent="0.25">
      <c r="C4985" s="8"/>
    </row>
    <row r="4986" spans="3:3" x14ac:dyDescent="0.25">
      <c r="C4986" s="8"/>
    </row>
    <row r="4987" spans="3:3" x14ac:dyDescent="0.25">
      <c r="C4987" s="8"/>
    </row>
    <row r="4988" spans="3:3" x14ac:dyDescent="0.25">
      <c r="C4988" s="8"/>
    </row>
    <row r="4989" spans="3:3" x14ac:dyDescent="0.25">
      <c r="C4989" s="8"/>
    </row>
    <row r="4990" spans="3:3" x14ac:dyDescent="0.25">
      <c r="C4990" s="8"/>
    </row>
    <row r="4991" spans="3:3" x14ac:dyDescent="0.25">
      <c r="C4991" s="8"/>
    </row>
    <row r="4992" spans="3:3" x14ac:dyDescent="0.25">
      <c r="C4992" s="8"/>
    </row>
    <row r="4993" spans="3:3" x14ac:dyDescent="0.25">
      <c r="C4993" s="8"/>
    </row>
    <row r="4994" spans="3:3" x14ac:dyDescent="0.25">
      <c r="C4994" s="8"/>
    </row>
    <row r="4995" spans="3:3" x14ac:dyDescent="0.25">
      <c r="C4995" s="8"/>
    </row>
    <row r="4996" spans="3:3" x14ac:dyDescent="0.25">
      <c r="C4996" s="8"/>
    </row>
    <row r="4997" spans="3:3" x14ac:dyDescent="0.25">
      <c r="C4997" s="8"/>
    </row>
    <row r="4998" spans="3:3" x14ac:dyDescent="0.25">
      <c r="C4998" s="8"/>
    </row>
    <row r="4999" spans="3:3" x14ac:dyDescent="0.25">
      <c r="C4999" s="8"/>
    </row>
    <row r="5000" spans="3:3" x14ac:dyDescent="0.25">
      <c r="C5000" s="8"/>
    </row>
    <row r="5001" spans="3:3" x14ac:dyDescent="0.25">
      <c r="C5001" s="8"/>
    </row>
    <row r="5002" spans="3:3" x14ac:dyDescent="0.25">
      <c r="C5002" s="8"/>
    </row>
    <row r="5003" spans="3:3" x14ac:dyDescent="0.25">
      <c r="C5003" s="8"/>
    </row>
    <row r="5004" spans="3:3" x14ac:dyDescent="0.25">
      <c r="C5004" s="8"/>
    </row>
    <row r="5005" spans="3:3" x14ac:dyDescent="0.25">
      <c r="C5005" s="8"/>
    </row>
    <row r="5006" spans="3:3" x14ac:dyDescent="0.25">
      <c r="C5006" s="8"/>
    </row>
    <row r="5007" spans="3:3" x14ac:dyDescent="0.25">
      <c r="C5007" s="8"/>
    </row>
    <row r="5008" spans="3:3" x14ac:dyDescent="0.25">
      <c r="C5008" s="8"/>
    </row>
    <row r="5009" spans="3:3" x14ac:dyDescent="0.25">
      <c r="C5009" s="8"/>
    </row>
    <row r="5010" spans="3:3" x14ac:dyDescent="0.25">
      <c r="C5010" s="8"/>
    </row>
    <row r="5011" spans="3:3" x14ac:dyDescent="0.25">
      <c r="C5011" s="8"/>
    </row>
    <row r="5012" spans="3:3" x14ac:dyDescent="0.25">
      <c r="C5012" s="8"/>
    </row>
    <row r="5013" spans="3:3" x14ac:dyDescent="0.25">
      <c r="C5013" s="8"/>
    </row>
    <row r="5014" spans="3:3" x14ac:dyDescent="0.25">
      <c r="C5014" s="8"/>
    </row>
    <row r="5015" spans="3:3" x14ac:dyDescent="0.25">
      <c r="C5015" s="8"/>
    </row>
    <row r="5016" spans="3:3" x14ac:dyDescent="0.25">
      <c r="C5016" s="8"/>
    </row>
    <row r="5017" spans="3:3" x14ac:dyDescent="0.25">
      <c r="C5017" s="8"/>
    </row>
    <row r="5018" spans="3:3" x14ac:dyDescent="0.25">
      <c r="C5018" s="8"/>
    </row>
    <row r="5019" spans="3:3" x14ac:dyDescent="0.25">
      <c r="C5019" s="8"/>
    </row>
    <row r="5020" spans="3:3" x14ac:dyDescent="0.25">
      <c r="C5020" s="8"/>
    </row>
    <row r="5021" spans="3:3" x14ac:dyDescent="0.25">
      <c r="C5021" s="8"/>
    </row>
    <row r="5022" spans="3:3" x14ac:dyDescent="0.25">
      <c r="C5022" s="8"/>
    </row>
    <row r="5023" spans="3:3" x14ac:dyDescent="0.25">
      <c r="C5023" s="8"/>
    </row>
    <row r="5024" spans="3:3" x14ac:dyDescent="0.25">
      <c r="C5024" s="8"/>
    </row>
    <row r="5025" spans="3:3" x14ac:dyDescent="0.25">
      <c r="C5025" s="8"/>
    </row>
    <row r="5026" spans="3:3" x14ac:dyDescent="0.25">
      <c r="C5026" s="8"/>
    </row>
    <row r="5027" spans="3:3" x14ac:dyDescent="0.25">
      <c r="C5027" s="8"/>
    </row>
    <row r="5028" spans="3:3" x14ac:dyDescent="0.25">
      <c r="C5028" s="8"/>
    </row>
    <row r="5029" spans="3:3" x14ac:dyDescent="0.25">
      <c r="C5029" s="8"/>
    </row>
    <row r="5030" spans="3:3" x14ac:dyDescent="0.25">
      <c r="C5030" s="8"/>
    </row>
    <row r="5031" spans="3:3" x14ac:dyDescent="0.25">
      <c r="C5031" s="8"/>
    </row>
    <row r="5032" spans="3:3" x14ac:dyDescent="0.25">
      <c r="C5032" s="8"/>
    </row>
    <row r="5033" spans="3:3" x14ac:dyDescent="0.25">
      <c r="C5033" s="8"/>
    </row>
    <row r="5034" spans="3:3" x14ac:dyDescent="0.25">
      <c r="C5034" s="8"/>
    </row>
    <row r="5035" spans="3:3" x14ac:dyDescent="0.25">
      <c r="C5035" s="8"/>
    </row>
    <row r="5036" spans="3:3" x14ac:dyDescent="0.25">
      <c r="C5036" s="8"/>
    </row>
    <row r="5037" spans="3:3" x14ac:dyDescent="0.25">
      <c r="C5037" s="8"/>
    </row>
    <row r="5038" spans="3:3" x14ac:dyDescent="0.25">
      <c r="C5038" s="8"/>
    </row>
    <row r="5039" spans="3:3" x14ac:dyDescent="0.25">
      <c r="C5039" s="8"/>
    </row>
    <row r="5040" spans="3:3" x14ac:dyDescent="0.25">
      <c r="C5040" s="8"/>
    </row>
    <row r="5041" spans="3:3" x14ac:dyDescent="0.25">
      <c r="C5041" s="8"/>
    </row>
    <row r="5042" spans="3:3" x14ac:dyDescent="0.25">
      <c r="C5042" s="8"/>
    </row>
    <row r="5043" spans="3:3" x14ac:dyDescent="0.25">
      <c r="C5043" s="8"/>
    </row>
    <row r="5044" spans="3:3" x14ac:dyDescent="0.25">
      <c r="C5044" s="8"/>
    </row>
    <row r="5045" spans="3:3" x14ac:dyDescent="0.25">
      <c r="C5045" s="8"/>
    </row>
    <row r="5046" spans="3:3" x14ac:dyDescent="0.25">
      <c r="C5046" s="8"/>
    </row>
    <row r="5047" spans="3:3" x14ac:dyDescent="0.25">
      <c r="C5047" s="8"/>
    </row>
    <row r="5048" spans="3:3" x14ac:dyDescent="0.25">
      <c r="C5048" s="8"/>
    </row>
    <row r="5049" spans="3:3" x14ac:dyDescent="0.25">
      <c r="C5049" s="8"/>
    </row>
    <row r="5050" spans="3:3" x14ac:dyDescent="0.25">
      <c r="C5050" s="8"/>
    </row>
    <row r="5051" spans="3:3" x14ac:dyDescent="0.25">
      <c r="C5051" s="8"/>
    </row>
    <row r="5052" spans="3:3" x14ac:dyDescent="0.25">
      <c r="C5052" s="8"/>
    </row>
    <row r="5053" spans="3:3" x14ac:dyDescent="0.25">
      <c r="C5053" s="8"/>
    </row>
    <row r="5054" spans="3:3" x14ac:dyDescent="0.25">
      <c r="C5054" s="8"/>
    </row>
    <row r="5055" spans="3:3" x14ac:dyDescent="0.25">
      <c r="C5055" s="8"/>
    </row>
    <row r="5056" spans="3:3" x14ac:dyDescent="0.25">
      <c r="C5056" s="8"/>
    </row>
    <row r="5057" spans="1:3" x14ac:dyDescent="0.25">
      <c r="C5057" s="8"/>
    </row>
    <row r="5058" spans="1:3" x14ac:dyDescent="0.25">
      <c r="C5058" s="8"/>
    </row>
    <row r="5059" spans="1:3" x14ac:dyDescent="0.25">
      <c r="C5059" s="8"/>
    </row>
    <row r="5060" spans="1:3" x14ac:dyDescent="0.25">
      <c r="C5060" s="8"/>
    </row>
    <row r="5061" spans="1:3" x14ac:dyDescent="0.25">
      <c r="C5061" s="8"/>
    </row>
    <row r="5062" spans="1:3" x14ac:dyDescent="0.25">
      <c r="C5062" s="8"/>
    </row>
    <row r="5063" spans="1:3" x14ac:dyDescent="0.25">
      <c r="C5063" s="8"/>
    </row>
    <row r="5064" spans="1:3" x14ac:dyDescent="0.25">
      <c r="C5064" s="8"/>
    </row>
    <row r="5065" spans="1:3" x14ac:dyDescent="0.25">
      <c r="C5065" s="8"/>
    </row>
    <row r="5066" spans="1:3" x14ac:dyDescent="0.25">
      <c r="C5066" s="8"/>
    </row>
    <row r="5067" spans="1:3" x14ac:dyDescent="0.25">
      <c r="C5067" s="8"/>
    </row>
    <row r="5068" spans="1:3" x14ac:dyDescent="0.25">
      <c r="C5068" s="8"/>
    </row>
    <row r="5069" spans="1:3" x14ac:dyDescent="0.25">
      <c r="C5069" s="8"/>
    </row>
    <row r="5070" spans="1:3" x14ac:dyDescent="0.25">
      <c r="C5070" s="8"/>
    </row>
    <row r="5071" spans="1:3" x14ac:dyDescent="0.25">
      <c r="C5071" s="8"/>
    </row>
    <row r="5072" spans="1:3" x14ac:dyDescent="0.25">
      <c r="C5072" s="8"/>
    </row>
    <row r="5073" spans="3:14" x14ac:dyDescent="0.25">
      <c r="C5073" s="8"/>
    </row>
    <row r="5074" spans="3:14" x14ac:dyDescent="0.25">
      <c r="C5074" s="8"/>
      <c r="M5074" s="62"/>
    </row>
    <row r="5075" spans="3:14" x14ac:dyDescent="0.25">
      <c r="C5075" s="8"/>
    </row>
    <row r="5076" spans="3:14" x14ac:dyDescent="0.25">
      <c r="C5076" s="8"/>
      <c r="N5076" s="16"/>
    </row>
    <row r="5077" spans="3:14" x14ac:dyDescent="0.25">
      <c r="C5077" s="8"/>
    </row>
    <row r="5078" spans="3:14" x14ac:dyDescent="0.25">
      <c r="C5078" s="8"/>
    </row>
    <row r="5079" spans="3:14" x14ac:dyDescent="0.25">
      <c r="C5079" s="8"/>
    </row>
    <row r="5080" spans="3:14" x14ac:dyDescent="0.25">
      <c r="C5080" s="8"/>
    </row>
    <row r="5081" spans="3:14" x14ac:dyDescent="0.25">
      <c r="C5081" s="8"/>
    </row>
    <row r="5082" spans="3:14" x14ac:dyDescent="0.25">
      <c r="C5082" s="8"/>
    </row>
    <row r="5083" spans="3:14" x14ac:dyDescent="0.25">
      <c r="C5083" s="8"/>
    </row>
    <row r="5084" spans="3:14" x14ac:dyDescent="0.25">
      <c r="C5084" s="8"/>
    </row>
    <row r="5085" spans="3:14" x14ac:dyDescent="0.25">
      <c r="C5085" s="8"/>
    </row>
    <row r="5086" spans="3:14" x14ac:dyDescent="0.25">
      <c r="C5086" s="8"/>
    </row>
    <row r="5087" spans="3:14" x14ac:dyDescent="0.25">
      <c r="C5087" s="8"/>
    </row>
    <row r="5088" spans="3:14" x14ac:dyDescent="0.25">
      <c r="C5088" s="8"/>
    </row>
    <row r="5089" spans="3:3" x14ac:dyDescent="0.25">
      <c r="C5089" s="8"/>
    </row>
    <row r="5090" spans="3:3" x14ac:dyDescent="0.25">
      <c r="C5090" s="8"/>
    </row>
    <row r="5091" spans="3:3" x14ac:dyDescent="0.25">
      <c r="C5091" s="8"/>
    </row>
    <row r="5092" spans="3:3" x14ac:dyDescent="0.25">
      <c r="C5092" s="8"/>
    </row>
    <row r="5093" spans="3:3" x14ac:dyDescent="0.25">
      <c r="C5093" s="8"/>
    </row>
    <row r="5094" spans="3:3" x14ac:dyDescent="0.25">
      <c r="C5094" s="8"/>
    </row>
    <row r="5095" spans="3:3" x14ac:dyDescent="0.25">
      <c r="C5095" s="8"/>
    </row>
    <row r="5096" spans="3:3" x14ac:dyDescent="0.25">
      <c r="C5096" s="8"/>
    </row>
    <row r="5097" spans="3:3" x14ac:dyDescent="0.25">
      <c r="C5097" s="8"/>
    </row>
    <row r="5098" spans="3:3" x14ac:dyDescent="0.25">
      <c r="C5098" s="8"/>
    </row>
    <row r="5099" spans="3:3" x14ac:dyDescent="0.25">
      <c r="C5099" s="8"/>
    </row>
    <row r="5100" spans="3:3" x14ac:dyDescent="0.25">
      <c r="C5100" s="8"/>
    </row>
    <row r="5101" spans="3:3" x14ac:dyDescent="0.25">
      <c r="C5101" s="8"/>
    </row>
    <row r="5102" spans="3:3" x14ac:dyDescent="0.25">
      <c r="C5102" s="8"/>
    </row>
    <row r="5103" spans="3:3" x14ac:dyDescent="0.25">
      <c r="C5103" s="8"/>
    </row>
    <row r="5104" spans="3:3" x14ac:dyDescent="0.25">
      <c r="C5104" s="8"/>
    </row>
    <row r="5105" spans="3:3" x14ac:dyDescent="0.25">
      <c r="C5105" s="8"/>
    </row>
    <row r="5106" spans="3:3" x14ac:dyDescent="0.25">
      <c r="C5106" s="8"/>
    </row>
    <row r="5107" spans="3:3" x14ac:dyDescent="0.25">
      <c r="C5107" s="8"/>
    </row>
    <row r="5108" spans="3:3" x14ac:dyDescent="0.25">
      <c r="C5108" s="8"/>
    </row>
    <row r="5109" spans="3:3" x14ac:dyDescent="0.25">
      <c r="C5109" s="8"/>
    </row>
    <row r="5110" spans="3:3" x14ac:dyDescent="0.25">
      <c r="C5110" s="8"/>
    </row>
    <row r="5111" spans="3:3" x14ac:dyDescent="0.25">
      <c r="C5111" s="8"/>
    </row>
    <row r="5112" spans="3:3" x14ac:dyDescent="0.25">
      <c r="C5112" s="8"/>
    </row>
    <row r="5113" spans="3:3" x14ac:dyDescent="0.25">
      <c r="C5113" s="8"/>
    </row>
    <row r="5114" spans="3:3" x14ac:dyDescent="0.25">
      <c r="C5114" s="8"/>
    </row>
    <row r="5115" spans="3:3" x14ac:dyDescent="0.25">
      <c r="C5115" s="8"/>
    </row>
    <row r="5116" spans="3:3" x14ac:dyDescent="0.25">
      <c r="C5116" s="8"/>
    </row>
    <row r="5117" spans="3:3" x14ac:dyDescent="0.25">
      <c r="C5117" s="8"/>
    </row>
    <row r="5118" spans="3:3" x14ac:dyDescent="0.25">
      <c r="C5118" s="8"/>
    </row>
    <row r="5119" spans="3:3" x14ac:dyDescent="0.25">
      <c r="C5119" s="8"/>
    </row>
    <row r="5120" spans="3:3" x14ac:dyDescent="0.25">
      <c r="C5120" s="8"/>
    </row>
    <row r="5121" spans="3:3" x14ac:dyDescent="0.25">
      <c r="C5121" s="8"/>
    </row>
    <row r="5122" spans="3:3" x14ac:dyDescent="0.25">
      <c r="C5122" s="8"/>
    </row>
    <row r="5123" spans="3:3" x14ac:dyDescent="0.25">
      <c r="C5123" s="8"/>
    </row>
    <row r="5124" spans="3:3" x14ac:dyDescent="0.25">
      <c r="C5124" s="8"/>
    </row>
    <row r="5125" spans="3:3" x14ac:dyDescent="0.25">
      <c r="C5125" s="8"/>
    </row>
    <row r="5126" spans="3:3" x14ac:dyDescent="0.25">
      <c r="C5126" s="8"/>
    </row>
    <row r="5127" spans="3:3" x14ac:dyDescent="0.25">
      <c r="C5127" s="8"/>
    </row>
    <row r="5128" spans="3:3" x14ac:dyDescent="0.25">
      <c r="C5128" s="8"/>
    </row>
    <row r="5129" spans="3:3" x14ac:dyDescent="0.25">
      <c r="C5129" s="8"/>
    </row>
    <row r="5130" spans="3:3" x14ac:dyDescent="0.25">
      <c r="C5130" s="8"/>
    </row>
    <row r="5131" spans="3:3" x14ac:dyDescent="0.25">
      <c r="C5131" s="8"/>
    </row>
    <row r="5132" spans="3:3" x14ac:dyDescent="0.25">
      <c r="C5132" s="8"/>
    </row>
    <row r="5133" spans="3:3" x14ac:dyDescent="0.25">
      <c r="C5133" s="8"/>
    </row>
    <row r="5134" spans="3:3" x14ac:dyDescent="0.25">
      <c r="C5134" s="8"/>
    </row>
    <row r="5135" spans="3:3" x14ac:dyDescent="0.25">
      <c r="C5135" s="8"/>
    </row>
    <row r="5136" spans="3:3" x14ac:dyDescent="0.25">
      <c r="C5136" s="8"/>
    </row>
    <row r="5137" spans="3:3" x14ac:dyDescent="0.25">
      <c r="C5137" s="8"/>
    </row>
    <row r="5138" spans="3:3" x14ac:dyDescent="0.25">
      <c r="C5138" s="8"/>
    </row>
    <row r="5139" spans="3:3" x14ac:dyDescent="0.25">
      <c r="C5139" s="8"/>
    </row>
    <row r="5140" spans="3:3" x14ac:dyDescent="0.25">
      <c r="C5140" s="8"/>
    </row>
    <row r="5141" spans="3:3" x14ac:dyDescent="0.25">
      <c r="C5141" s="8"/>
    </row>
    <row r="5142" spans="3:3" x14ac:dyDescent="0.25">
      <c r="C5142" s="8"/>
    </row>
    <row r="5143" spans="3:3" x14ac:dyDescent="0.25">
      <c r="C5143" s="8"/>
    </row>
    <row r="5144" spans="3:3" x14ac:dyDescent="0.25">
      <c r="C5144" s="8"/>
    </row>
    <row r="5145" spans="3:3" x14ac:dyDescent="0.25">
      <c r="C5145" s="8"/>
    </row>
    <row r="5146" spans="3:3" x14ac:dyDescent="0.25">
      <c r="C5146" s="8"/>
    </row>
    <row r="5147" spans="3:3" x14ac:dyDescent="0.25">
      <c r="C5147" s="8"/>
    </row>
    <row r="5148" spans="3:3" x14ac:dyDescent="0.25">
      <c r="C5148" s="8"/>
    </row>
    <row r="5149" spans="3:3" x14ac:dyDescent="0.25">
      <c r="C5149" s="8"/>
    </row>
    <row r="5150" spans="3:3" x14ac:dyDescent="0.25">
      <c r="C5150" s="8"/>
    </row>
    <row r="5151" spans="3:3" x14ac:dyDescent="0.25">
      <c r="C5151" s="8"/>
    </row>
    <row r="5152" spans="3:3" x14ac:dyDescent="0.25">
      <c r="C5152" s="8"/>
    </row>
    <row r="5153" spans="3:3" x14ac:dyDescent="0.25">
      <c r="C5153" s="8"/>
    </row>
    <row r="5154" spans="3:3" x14ac:dyDescent="0.25">
      <c r="C5154" s="8"/>
    </row>
    <row r="5155" spans="3:3" x14ac:dyDescent="0.25">
      <c r="C5155" s="8"/>
    </row>
    <row r="5156" spans="3:3" x14ac:dyDescent="0.25">
      <c r="C5156" s="8"/>
    </row>
    <row r="5157" spans="3:3" x14ac:dyDescent="0.25">
      <c r="C5157" s="8"/>
    </row>
    <row r="5158" spans="3:3" x14ac:dyDescent="0.25">
      <c r="C5158" s="8"/>
    </row>
    <row r="5159" spans="3:3" x14ac:dyDescent="0.25">
      <c r="C5159" s="8"/>
    </row>
    <row r="5160" spans="3:3" x14ac:dyDescent="0.25">
      <c r="C5160" s="8"/>
    </row>
    <row r="5161" spans="3:3" x14ac:dyDescent="0.25">
      <c r="C5161" s="8"/>
    </row>
    <row r="5162" spans="3:3" x14ac:dyDescent="0.25">
      <c r="C5162" s="8"/>
    </row>
    <row r="5163" spans="3:3" x14ac:dyDescent="0.25">
      <c r="C5163" s="8"/>
    </row>
    <row r="5164" spans="3:3" x14ac:dyDescent="0.25">
      <c r="C5164" s="8"/>
    </row>
    <row r="5165" spans="3:3" x14ac:dyDescent="0.25">
      <c r="C5165" s="8"/>
    </row>
    <row r="5166" spans="3:3" x14ac:dyDescent="0.25">
      <c r="C5166" s="8"/>
    </row>
    <row r="5167" spans="3:3" x14ac:dyDescent="0.25">
      <c r="C5167" s="8"/>
    </row>
    <row r="5168" spans="3:3" x14ac:dyDescent="0.25">
      <c r="C5168" s="8"/>
    </row>
    <row r="5169" spans="3:13" x14ac:dyDescent="0.25">
      <c r="C5169" s="8"/>
    </row>
    <row r="5170" spans="3:13" x14ac:dyDescent="0.25">
      <c r="C5170" s="8"/>
    </row>
    <row r="5171" spans="3:13" x14ac:dyDescent="0.25">
      <c r="C5171" s="8"/>
      <c r="M5171" s="62"/>
    </row>
    <row r="5172" spans="3:13" x14ac:dyDescent="0.25">
      <c r="C5172" s="8"/>
    </row>
    <row r="5173" spans="3:13" x14ac:dyDescent="0.25">
      <c r="C5173" s="8"/>
    </row>
    <row r="5174" spans="3:13" x14ac:dyDescent="0.25">
      <c r="C5174" s="8"/>
    </row>
    <row r="5257" spans="3:3" x14ac:dyDescent="0.25">
      <c r="C5257" s="8"/>
    </row>
    <row r="5258" spans="3:3" x14ac:dyDescent="0.25">
      <c r="C5258" s="8"/>
    </row>
    <row r="5259" spans="3:3" x14ac:dyDescent="0.25">
      <c r="C5259" s="8"/>
    </row>
    <row r="5260" spans="3:3" x14ac:dyDescent="0.25">
      <c r="C5260" s="8"/>
    </row>
    <row r="5261" spans="3:3" x14ac:dyDescent="0.25">
      <c r="C5261" s="8"/>
    </row>
    <row r="5262" spans="3:3" x14ac:dyDescent="0.25">
      <c r="C5262" s="8"/>
    </row>
    <row r="5263" spans="3:3" x14ac:dyDescent="0.25">
      <c r="C5263" s="8"/>
    </row>
    <row r="5264" spans="3:3" x14ac:dyDescent="0.25">
      <c r="C5264" s="8"/>
    </row>
    <row r="5265" spans="3:7" x14ac:dyDescent="0.25">
      <c r="C5265" s="8"/>
    </row>
    <row r="5266" spans="3:7" x14ac:dyDescent="0.25">
      <c r="C5266" s="8"/>
    </row>
    <row r="5267" spans="3:7" x14ac:dyDescent="0.25">
      <c r="C5267" s="8"/>
    </row>
    <row r="5268" spans="3:7" x14ac:dyDescent="0.25">
      <c r="C5268" s="8"/>
    </row>
    <row r="5269" spans="3:7" x14ac:dyDescent="0.25">
      <c r="C5269" s="8"/>
    </row>
    <row r="5270" spans="3:7" x14ac:dyDescent="0.25">
      <c r="C5270" s="8"/>
      <c r="G5270" s="11"/>
    </row>
    <row r="5271" spans="3:7" x14ac:dyDescent="0.25">
      <c r="C5271" s="8"/>
      <c r="G5271" s="11"/>
    </row>
    <row r="5272" spans="3:7" x14ac:dyDescent="0.25">
      <c r="C5272" s="8"/>
      <c r="G5272" s="11"/>
    </row>
    <row r="5273" spans="3:7" x14ac:dyDescent="0.25">
      <c r="C5273" s="8"/>
      <c r="G5273" s="11"/>
    </row>
    <row r="5274" spans="3:7" x14ac:dyDescent="0.25">
      <c r="C5274" s="8"/>
      <c r="G5274" s="11"/>
    </row>
    <row r="5275" spans="3:7" x14ac:dyDescent="0.25">
      <c r="C5275" s="8"/>
      <c r="G5275" s="11"/>
    </row>
    <row r="5276" spans="3:7" x14ac:dyDescent="0.25">
      <c r="C5276" s="8"/>
      <c r="G5276" s="11"/>
    </row>
    <row r="5277" spans="3:7" x14ac:dyDescent="0.25">
      <c r="C5277" s="8"/>
      <c r="G5277" s="11"/>
    </row>
    <row r="5278" spans="3:7" x14ac:dyDescent="0.25">
      <c r="C5278" s="8"/>
      <c r="G5278" s="11"/>
    </row>
    <row r="5279" spans="3:7" x14ac:dyDescent="0.25">
      <c r="C5279" s="8"/>
      <c r="G5279" s="11"/>
    </row>
    <row r="5280" spans="3:7" x14ac:dyDescent="0.25">
      <c r="C5280" s="8"/>
      <c r="G5280" s="11"/>
    </row>
    <row r="5281" spans="3:7" x14ac:dyDescent="0.25">
      <c r="C5281" s="8"/>
      <c r="G5281" s="11"/>
    </row>
    <row r="5282" spans="3:7" x14ac:dyDescent="0.25">
      <c r="C5282" s="8"/>
      <c r="G5282" s="11"/>
    </row>
    <row r="5283" spans="3:7" x14ac:dyDescent="0.25">
      <c r="C5283" s="8"/>
      <c r="G5283" s="11"/>
    </row>
    <row r="5284" spans="3:7" x14ac:dyDescent="0.25">
      <c r="C5284" s="8"/>
      <c r="G5284" s="11"/>
    </row>
    <row r="5285" spans="3:7" x14ac:dyDescent="0.25">
      <c r="C5285" s="8"/>
      <c r="G5285" s="11"/>
    </row>
    <row r="5286" spans="3:7" x14ac:dyDescent="0.25">
      <c r="C5286" s="8"/>
      <c r="G5286" s="11"/>
    </row>
    <row r="5287" spans="3:7" x14ac:dyDescent="0.25">
      <c r="C5287" s="8"/>
      <c r="G5287" s="11"/>
    </row>
    <row r="5288" spans="3:7" x14ac:dyDescent="0.25">
      <c r="C5288" s="8"/>
      <c r="G5288" s="11"/>
    </row>
    <row r="5289" spans="3:7" x14ac:dyDescent="0.25">
      <c r="C5289" s="8"/>
      <c r="G5289" s="11"/>
    </row>
    <row r="5290" spans="3:7" x14ac:dyDescent="0.25">
      <c r="C5290" s="8"/>
      <c r="G5290" s="11"/>
    </row>
    <row r="5291" spans="3:7" x14ac:dyDescent="0.25">
      <c r="C5291" s="8"/>
      <c r="G5291" s="11"/>
    </row>
    <row r="5292" spans="3:7" x14ac:dyDescent="0.25">
      <c r="C5292" s="8"/>
      <c r="G5292" s="11"/>
    </row>
    <row r="5293" spans="3:7" x14ac:dyDescent="0.25">
      <c r="C5293" s="8"/>
      <c r="G5293" s="11"/>
    </row>
    <row r="5294" spans="3:7" x14ac:dyDescent="0.25">
      <c r="C5294" s="8"/>
      <c r="G5294" s="11"/>
    </row>
    <row r="5295" spans="3:7" x14ac:dyDescent="0.25">
      <c r="C5295" s="8"/>
      <c r="G5295" s="11"/>
    </row>
    <row r="5296" spans="3:7" x14ac:dyDescent="0.25">
      <c r="C5296" s="8"/>
      <c r="G5296" s="11"/>
    </row>
    <row r="5297" spans="3:7" x14ac:dyDescent="0.25">
      <c r="C5297" s="8"/>
      <c r="G5297" s="11"/>
    </row>
    <row r="5298" spans="3:7" x14ac:dyDescent="0.25">
      <c r="C5298" s="8"/>
      <c r="G5298" s="11"/>
    </row>
    <row r="5299" spans="3:7" x14ac:dyDescent="0.25">
      <c r="C5299" s="8"/>
      <c r="G5299" s="11"/>
    </row>
    <row r="5300" spans="3:7" x14ac:dyDescent="0.25">
      <c r="C5300" s="8"/>
      <c r="G5300" s="11"/>
    </row>
    <row r="5301" spans="3:7" x14ac:dyDescent="0.25">
      <c r="C5301" s="8"/>
      <c r="G5301" s="11"/>
    </row>
    <row r="5302" spans="3:7" x14ac:dyDescent="0.25">
      <c r="C5302" s="8"/>
      <c r="G5302" s="11"/>
    </row>
    <row r="5303" spans="3:7" x14ac:dyDescent="0.25">
      <c r="C5303" s="8"/>
      <c r="G5303" s="11"/>
    </row>
    <row r="5304" spans="3:7" x14ac:dyDescent="0.25">
      <c r="C5304" s="8"/>
      <c r="G5304" s="11"/>
    </row>
    <row r="5305" spans="3:7" x14ac:dyDescent="0.25">
      <c r="C5305" s="8"/>
      <c r="G5305" s="11"/>
    </row>
    <row r="5306" spans="3:7" x14ac:dyDescent="0.25">
      <c r="C5306" s="8"/>
      <c r="G5306" s="11"/>
    </row>
    <row r="5307" spans="3:7" x14ac:dyDescent="0.25">
      <c r="C5307" s="8"/>
      <c r="G5307" s="11"/>
    </row>
    <row r="5308" spans="3:7" x14ac:dyDescent="0.25">
      <c r="C5308" s="8"/>
      <c r="G5308" s="11"/>
    </row>
    <row r="5309" spans="3:7" x14ac:dyDescent="0.25">
      <c r="C5309" s="8"/>
      <c r="G5309" s="11"/>
    </row>
    <row r="5310" spans="3:7" x14ac:dyDescent="0.25">
      <c r="C5310" s="8"/>
      <c r="G5310" s="11"/>
    </row>
    <row r="5311" spans="3:7" x14ac:dyDescent="0.25">
      <c r="C5311" s="8"/>
      <c r="G5311" s="11"/>
    </row>
    <row r="5312" spans="3:7" x14ac:dyDescent="0.25">
      <c r="C5312" s="8"/>
      <c r="G5312" s="11"/>
    </row>
    <row r="5313" spans="3:7" x14ac:dyDescent="0.25">
      <c r="C5313" s="8"/>
      <c r="G5313" s="11"/>
    </row>
    <row r="5314" spans="3:7" x14ac:dyDescent="0.25">
      <c r="C5314" s="8"/>
      <c r="G5314" s="11"/>
    </row>
    <row r="5315" spans="3:7" x14ac:dyDescent="0.25">
      <c r="C5315" s="8"/>
      <c r="G5315" s="11"/>
    </row>
    <row r="5316" spans="3:7" x14ac:dyDescent="0.25">
      <c r="C5316" s="8"/>
      <c r="G5316" s="11"/>
    </row>
    <row r="5317" spans="3:7" x14ac:dyDescent="0.25">
      <c r="C5317" s="8"/>
      <c r="G5317" s="11"/>
    </row>
    <row r="5318" spans="3:7" x14ac:dyDescent="0.25">
      <c r="C5318" s="8"/>
      <c r="G5318" s="11"/>
    </row>
    <row r="5319" spans="3:7" x14ac:dyDescent="0.25">
      <c r="C5319" s="8"/>
      <c r="G5319" s="11"/>
    </row>
    <row r="5320" spans="3:7" x14ac:dyDescent="0.25">
      <c r="C5320" s="8"/>
      <c r="G5320" s="11"/>
    </row>
    <row r="5321" spans="3:7" x14ac:dyDescent="0.25">
      <c r="C5321" s="8"/>
      <c r="G5321" s="11"/>
    </row>
    <row r="5322" spans="3:7" x14ac:dyDescent="0.25">
      <c r="C5322" s="8"/>
      <c r="G5322" s="11"/>
    </row>
    <row r="5323" spans="3:7" x14ac:dyDescent="0.25">
      <c r="C5323" s="8"/>
      <c r="G5323" s="11"/>
    </row>
    <row r="5324" spans="3:7" x14ac:dyDescent="0.25">
      <c r="C5324" s="8"/>
      <c r="G5324" s="11"/>
    </row>
    <row r="5325" spans="3:7" x14ac:dyDescent="0.25">
      <c r="C5325" s="8"/>
      <c r="G5325" s="11"/>
    </row>
    <row r="5326" spans="3:7" x14ac:dyDescent="0.25">
      <c r="C5326" s="8"/>
      <c r="G5326" s="11"/>
    </row>
    <row r="5327" spans="3:7" x14ac:dyDescent="0.25">
      <c r="C5327" s="8"/>
      <c r="G5327" s="11"/>
    </row>
    <row r="5328" spans="3:7" x14ac:dyDescent="0.25">
      <c r="C5328" s="8"/>
      <c r="G5328" s="11"/>
    </row>
    <row r="5329" spans="3:7" x14ac:dyDescent="0.25">
      <c r="C5329" s="8"/>
      <c r="G5329" s="11"/>
    </row>
    <row r="5330" spans="3:7" x14ac:dyDescent="0.25">
      <c r="C5330" s="8"/>
      <c r="G5330" s="11"/>
    </row>
    <row r="5331" spans="3:7" x14ac:dyDescent="0.25">
      <c r="C5331" s="8"/>
      <c r="G5331" s="11"/>
    </row>
    <row r="5332" spans="3:7" x14ac:dyDescent="0.25">
      <c r="C5332" s="8"/>
      <c r="G5332" s="11"/>
    </row>
    <row r="5333" spans="3:7" x14ac:dyDescent="0.25">
      <c r="C5333" s="8"/>
      <c r="G5333" s="11"/>
    </row>
    <row r="5334" spans="3:7" x14ac:dyDescent="0.25">
      <c r="C5334" s="8"/>
      <c r="G5334" s="11"/>
    </row>
    <row r="5335" spans="3:7" x14ac:dyDescent="0.25">
      <c r="C5335" s="8"/>
      <c r="G5335" s="11"/>
    </row>
    <row r="5336" spans="3:7" x14ac:dyDescent="0.25">
      <c r="C5336" s="8"/>
      <c r="G5336" s="11"/>
    </row>
    <row r="5337" spans="3:7" x14ac:dyDescent="0.25">
      <c r="C5337" s="8"/>
      <c r="G5337" s="11"/>
    </row>
    <row r="5338" spans="3:7" x14ac:dyDescent="0.25">
      <c r="C5338" s="8"/>
      <c r="G5338" s="11"/>
    </row>
    <row r="5339" spans="3:7" x14ac:dyDescent="0.25">
      <c r="C5339" s="8"/>
      <c r="G5339" s="11"/>
    </row>
    <row r="5340" spans="3:7" x14ac:dyDescent="0.25">
      <c r="C5340" s="8"/>
      <c r="G5340" s="11"/>
    </row>
    <row r="5341" spans="3:7" x14ac:dyDescent="0.25">
      <c r="C5341" s="8"/>
      <c r="G5341" s="11"/>
    </row>
    <row r="5342" spans="3:7" x14ac:dyDescent="0.25">
      <c r="C5342" s="8"/>
      <c r="G5342" s="11"/>
    </row>
    <row r="5343" spans="3:7" x14ac:dyDescent="0.25">
      <c r="C5343" s="8"/>
      <c r="G5343" s="11"/>
    </row>
    <row r="5344" spans="3:7" x14ac:dyDescent="0.25">
      <c r="C5344" s="8"/>
      <c r="G5344" s="11"/>
    </row>
    <row r="5345" spans="3:7" x14ac:dyDescent="0.25">
      <c r="C5345" s="8"/>
      <c r="G5345" s="11"/>
    </row>
    <row r="5346" spans="3:7" x14ac:dyDescent="0.25">
      <c r="C5346" s="8"/>
      <c r="G5346" s="11"/>
    </row>
    <row r="5347" spans="3:7" x14ac:dyDescent="0.25">
      <c r="C5347" s="8"/>
      <c r="G5347" s="11"/>
    </row>
    <row r="5348" spans="3:7" x14ac:dyDescent="0.25">
      <c r="C5348" s="8"/>
      <c r="G5348" s="11"/>
    </row>
    <row r="5349" spans="3:7" x14ac:dyDescent="0.25">
      <c r="C5349" s="8"/>
      <c r="G5349" s="11"/>
    </row>
    <row r="5350" spans="3:7" x14ac:dyDescent="0.25">
      <c r="C5350" s="8"/>
      <c r="G5350" s="11"/>
    </row>
    <row r="5351" spans="3:7" x14ac:dyDescent="0.25">
      <c r="C5351" s="8"/>
      <c r="G5351" s="11"/>
    </row>
    <row r="5352" spans="3:7" x14ac:dyDescent="0.25">
      <c r="C5352" s="8"/>
      <c r="G5352" s="11"/>
    </row>
    <row r="5353" spans="3:7" x14ac:dyDescent="0.25">
      <c r="C5353" s="8"/>
      <c r="G5353" s="11"/>
    </row>
    <row r="5354" spans="3:7" x14ac:dyDescent="0.25">
      <c r="C5354" s="8"/>
      <c r="G5354" s="11"/>
    </row>
    <row r="5355" spans="3:7" x14ac:dyDescent="0.25">
      <c r="C5355" s="8"/>
      <c r="G5355" s="11"/>
    </row>
    <row r="5356" spans="3:7" x14ac:dyDescent="0.25">
      <c r="C5356" s="8"/>
      <c r="G5356" s="11"/>
    </row>
    <row r="5357" spans="3:7" x14ac:dyDescent="0.25">
      <c r="C5357" s="8"/>
      <c r="G5357" s="11"/>
    </row>
    <row r="5358" spans="3:7" x14ac:dyDescent="0.25">
      <c r="C5358" s="8"/>
      <c r="G5358" s="11"/>
    </row>
    <row r="5359" spans="3:7" x14ac:dyDescent="0.25">
      <c r="C5359" s="8"/>
      <c r="G5359" s="11"/>
    </row>
    <row r="5360" spans="3:7" x14ac:dyDescent="0.25">
      <c r="C5360" s="8"/>
      <c r="G5360" s="11"/>
    </row>
    <row r="5361" spans="3:7" x14ac:dyDescent="0.25">
      <c r="C5361" s="8"/>
      <c r="G5361" s="11"/>
    </row>
    <row r="5362" spans="3:7" x14ac:dyDescent="0.25">
      <c r="C5362" s="8"/>
      <c r="G5362" s="11"/>
    </row>
    <row r="5363" spans="3:7" x14ac:dyDescent="0.25">
      <c r="C5363" s="8"/>
      <c r="G5363" s="11"/>
    </row>
    <row r="5364" spans="3:7" x14ac:dyDescent="0.25">
      <c r="C5364" s="8"/>
      <c r="G5364" s="11"/>
    </row>
    <row r="5365" spans="3:7" x14ac:dyDescent="0.25">
      <c r="C5365" s="8"/>
      <c r="G5365" s="11"/>
    </row>
    <row r="5366" spans="3:7" x14ac:dyDescent="0.25">
      <c r="C5366" s="8"/>
      <c r="G5366" s="11"/>
    </row>
    <row r="5367" spans="3:7" x14ac:dyDescent="0.25">
      <c r="C5367" s="8"/>
      <c r="G5367" s="11"/>
    </row>
    <row r="5368" spans="3:7" x14ac:dyDescent="0.25">
      <c r="C5368" s="8"/>
      <c r="G5368" s="11"/>
    </row>
    <row r="5369" spans="3:7" x14ac:dyDescent="0.25">
      <c r="C5369" s="8"/>
      <c r="G5369" s="11"/>
    </row>
    <row r="5370" spans="3:7" x14ac:dyDescent="0.25">
      <c r="C5370" s="8"/>
      <c r="G5370" s="11"/>
    </row>
    <row r="5371" spans="3:7" x14ac:dyDescent="0.25">
      <c r="C5371" s="8"/>
      <c r="G5371" s="11"/>
    </row>
    <row r="5372" spans="3:7" x14ac:dyDescent="0.25">
      <c r="C5372" s="8"/>
      <c r="G5372" s="11"/>
    </row>
    <row r="5373" spans="3:7" x14ac:dyDescent="0.25">
      <c r="C5373" s="8"/>
      <c r="G5373" s="11"/>
    </row>
    <row r="5374" spans="3:7" x14ac:dyDescent="0.25">
      <c r="C5374" s="8"/>
      <c r="G5374" s="11"/>
    </row>
    <row r="5375" spans="3:7" x14ac:dyDescent="0.25">
      <c r="C5375" s="8"/>
      <c r="G5375" s="11"/>
    </row>
    <row r="5376" spans="3:7" x14ac:dyDescent="0.25">
      <c r="C5376" s="8"/>
      <c r="G5376" s="11"/>
    </row>
    <row r="5377" spans="3:7" x14ac:dyDescent="0.25">
      <c r="C5377" s="8"/>
      <c r="G5377" s="11"/>
    </row>
    <row r="5378" spans="3:7" x14ac:dyDescent="0.25">
      <c r="C5378" s="8"/>
      <c r="G5378" s="11"/>
    </row>
    <row r="5379" spans="3:7" x14ac:dyDescent="0.25">
      <c r="C5379" s="8"/>
      <c r="G5379" s="11"/>
    </row>
    <row r="5380" spans="3:7" x14ac:dyDescent="0.25">
      <c r="C5380" s="8"/>
      <c r="G5380" s="11"/>
    </row>
    <row r="5381" spans="3:7" x14ac:dyDescent="0.25">
      <c r="C5381" s="8"/>
      <c r="G5381" s="11"/>
    </row>
    <row r="5382" spans="3:7" x14ac:dyDescent="0.25">
      <c r="C5382" s="8"/>
      <c r="G5382" s="11"/>
    </row>
    <row r="5383" spans="3:7" x14ac:dyDescent="0.25">
      <c r="C5383" s="8"/>
      <c r="G5383" s="11"/>
    </row>
    <row r="5384" spans="3:7" x14ac:dyDescent="0.25">
      <c r="C5384" s="8"/>
      <c r="G5384" s="11"/>
    </row>
    <row r="5385" spans="3:7" x14ac:dyDescent="0.25">
      <c r="C5385" s="8"/>
      <c r="G5385" s="11"/>
    </row>
    <row r="5386" spans="3:7" x14ac:dyDescent="0.25">
      <c r="C5386" s="8"/>
      <c r="G5386" s="11"/>
    </row>
    <row r="5387" spans="3:7" x14ac:dyDescent="0.25">
      <c r="C5387" s="8"/>
      <c r="G5387" s="11"/>
    </row>
    <row r="5388" spans="3:7" x14ac:dyDescent="0.25">
      <c r="C5388" s="8"/>
      <c r="G5388" s="11"/>
    </row>
    <row r="5389" spans="3:7" x14ac:dyDescent="0.25">
      <c r="C5389" s="8"/>
      <c r="G5389" s="11"/>
    </row>
    <row r="5390" spans="3:7" x14ac:dyDescent="0.25">
      <c r="C5390" s="8"/>
      <c r="G5390" s="11"/>
    </row>
    <row r="5391" spans="3:7" x14ac:dyDescent="0.25">
      <c r="C5391" s="8"/>
      <c r="G5391" s="11"/>
    </row>
    <row r="5392" spans="3:7" x14ac:dyDescent="0.25">
      <c r="C5392" s="8"/>
      <c r="G5392" s="11"/>
    </row>
    <row r="5393" spans="3:7" x14ac:dyDescent="0.25">
      <c r="C5393" s="8"/>
      <c r="G5393" s="11"/>
    </row>
    <row r="5394" spans="3:7" x14ac:dyDescent="0.25">
      <c r="C5394" s="8"/>
      <c r="G5394" s="11"/>
    </row>
    <row r="5395" spans="3:7" x14ac:dyDescent="0.25">
      <c r="C5395" s="8"/>
      <c r="G5395" s="11"/>
    </row>
    <row r="5396" spans="3:7" x14ac:dyDescent="0.25">
      <c r="C5396" s="8"/>
      <c r="G5396" s="11"/>
    </row>
    <row r="5397" spans="3:7" x14ac:dyDescent="0.25">
      <c r="C5397" s="8"/>
      <c r="G5397" s="11"/>
    </row>
    <row r="5398" spans="3:7" x14ac:dyDescent="0.25">
      <c r="C5398" s="8"/>
      <c r="G5398" s="11"/>
    </row>
    <row r="5399" spans="3:7" x14ac:dyDescent="0.25">
      <c r="C5399" s="8"/>
      <c r="G5399" s="11"/>
    </row>
    <row r="5400" spans="3:7" x14ac:dyDescent="0.25">
      <c r="C5400" s="8"/>
      <c r="G5400" s="11"/>
    </row>
    <row r="5401" spans="3:7" x14ac:dyDescent="0.25">
      <c r="C5401" s="8"/>
      <c r="G5401" s="11"/>
    </row>
    <row r="5402" spans="3:7" x14ac:dyDescent="0.25">
      <c r="C5402" s="8"/>
      <c r="G5402" s="11"/>
    </row>
    <row r="5403" spans="3:7" x14ac:dyDescent="0.25">
      <c r="C5403" s="8"/>
      <c r="G5403" s="11"/>
    </row>
    <row r="5404" spans="3:7" x14ac:dyDescent="0.25">
      <c r="C5404" s="8"/>
      <c r="G5404" s="11"/>
    </row>
    <row r="5405" spans="3:7" x14ac:dyDescent="0.25">
      <c r="C5405" s="8"/>
      <c r="G5405" s="11"/>
    </row>
    <row r="5406" spans="3:7" x14ac:dyDescent="0.25">
      <c r="C5406" s="8"/>
      <c r="G5406" s="11"/>
    </row>
    <row r="5407" spans="3:7" x14ac:dyDescent="0.25">
      <c r="C5407" s="8"/>
      <c r="G5407" s="11"/>
    </row>
    <row r="5408" spans="3:7" x14ac:dyDescent="0.25">
      <c r="C5408" s="8"/>
      <c r="G5408" s="11"/>
    </row>
    <row r="5409" spans="3:7" x14ac:dyDescent="0.25">
      <c r="C5409" s="8"/>
      <c r="G5409" s="11"/>
    </row>
    <row r="5410" spans="3:7" x14ac:dyDescent="0.25">
      <c r="C5410" s="8"/>
      <c r="G5410" s="11"/>
    </row>
    <row r="5411" spans="3:7" x14ac:dyDescent="0.25">
      <c r="C5411" s="8"/>
      <c r="G5411" s="11"/>
    </row>
    <row r="5412" spans="3:7" x14ac:dyDescent="0.25">
      <c r="C5412" s="8"/>
      <c r="G5412" s="11"/>
    </row>
    <row r="5413" spans="3:7" x14ac:dyDescent="0.25">
      <c r="C5413" s="8"/>
      <c r="G5413" s="11"/>
    </row>
    <row r="5414" spans="3:7" x14ac:dyDescent="0.25">
      <c r="C5414" s="8"/>
      <c r="G5414" s="11"/>
    </row>
    <row r="5415" spans="3:7" x14ac:dyDescent="0.25">
      <c r="C5415" s="8"/>
      <c r="G5415" s="11"/>
    </row>
    <row r="5416" spans="3:7" x14ac:dyDescent="0.25">
      <c r="C5416" s="8"/>
      <c r="G5416" s="11"/>
    </row>
    <row r="5417" spans="3:7" x14ac:dyDescent="0.25">
      <c r="C5417" s="8"/>
      <c r="G5417" s="11"/>
    </row>
    <row r="5418" spans="3:7" x14ac:dyDescent="0.25">
      <c r="C5418" s="8"/>
      <c r="G5418" s="11"/>
    </row>
    <row r="5419" spans="3:7" x14ac:dyDescent="0.25">
      <c r="C5419" s="8"/>
      <c r="G5419" s="11"/>
    </row>
    <row r="5420" spans="3:7" x14ac:dyDescent="0.25">
      <c r="C5420" s="8"/>
      <c r="G5420" s="11"/>
    </row>
    <row r="5421" spans="3:7" x14ac:dyDescent="0.25">
      <c r="C5421" s="8"/>
      <c r="G5421" s="11"/>
    </row>
    <row r="5422" spans="3:7" x14ac:dyDescent="0.25">
      <c r="C5422" s="8"/>
      <c r="G5422" s="11"/>
    </row>
    <row r="5423" spans="3:7" x14ac:dyDescent="0.25">
      <c r="C5423" s="8"/>
      <c r="G5423" s="11"/>
    </row>
    <row r="5424" spans="3:7" x14ac:dyDescent="0.25">
      <c r="C5424" s="8"/>
      <c r="G5424" s="11"/>
    </row>
    <row r="5425" spans="3:7" x14ac:dyDescent="0.25">
      <c r="C5425" s="8"/>
      <c r="G5425" s="11"/>
    </row>
    <row r="5426" spans="3:7" x14ac:dyDescent="0.25">
      <c r="C5426" s="8"/>
      <c r="G5426" s="11"/>
    </row>
    <row r="5427" spans="3:7" x14ac:dyDescent="0.25">
      <c r="C5427" s="8"/>
      <c r="G5427" s="11"/>
    </row>
    <row r="5428" spans="3:7" x14ac:dyDescent="0.25">
      <c r="C5428" s="8"/>
      <c r="G5428" s="11"/>
    </row>
    <row r="5429" spans="3:7" x14ac:dyDescent="0.25">
      <c r="C5429" s="8"/>
      <c r="G5429" s="11"/>
    </row>
    <row r="5430" spans="3:7" x14ac:dyDescent="0.25">
      <c r="C5430" s="8"/>
      <c r="G5430" s="11"/>
    </row>
    <row r="5431" spans="3:7" x14ac:dyDescent="0.25">
      <c r="C5431" s="8"/>
      <c r="G5431" s="11"/>
    </row>
    <row r="5432" spans="3:7" x14ac:dyDescent="0.25">
      <c r="C5432" s="8"/>
      <c r="G5432" s="11"/>
    </row>
    <row r="5433" spans="3:7" x14ac:dyDescent="0.25">
      <c r="C5433" s="8"/>
      <c r="G5433" s="11"/>
    </row>
    <row r="5434" spans="3:7" x14ac:dyDescent="0.25">
      <c r="C5434" s="8"/>
      <c r="G5434" s="11"/>
    </row>
    <row r="5435" spans="3:7" x14ac:dyDescent="0.25">
      <c r="C5435" s="8"/>
      <c r="G5435" s="11"/>
    </row>
    <row r="5436" spans="3:7" x14ac:dyDescent="0.25">
      <c r="C5436" s="8"/>
      <c r="G5436" s="11"/>
    </row>
    <row r="5437" spans="3:7" x14ac:dyDescent="0.25">
      <c r="C5437" s="8"/>
      <c r="G5437" s="11"/>
    </row>
    <row r="5438" spans="3:7" x14ac:dyDescent="0.25">
      <c r="C5438" s="8"/>
      <c r="G5438" s="11"/>
    </row>
    <row r="5439" spans="3:7" x14ac:dyDescent="0.25">
      <c r="C5439" s="8"/>
      <c r="G5439" s="11"/>
    </row>
    <row r="5440" spans="3:7" x14ac:dyDescent="0.25">
      <c r="C5440" s="8"/>
      <c r="G5440" s="11"/>
    </row>
    <row r="5441" spans="3:7" x14ac:dyDescent="0.25">
      <c r="C5441" s="8"/>
      <c r="G5441" s="11"/>
    </row>
    <row r="5442" spans="3:7" x14ac:dyDescent="0.25">
      <c r="C5442" s="8"/>
      <c r="G5442" s="11"/>
    </row>
    <row r="5443" spans="3:7" x14ac:dyDescent="0.25">
      <c r="C5443" s="8"/>
      <c r="G5443" s="11"/>
    </row>
    <row r="5444" spans="3:7" x14ac:dyDescent="0.25">
      <c r="C5444" s="8"/>
      <c r="G5444" s="11"/>
    </row>
    <row r="5445" spans="3:7" x14ac:dyDescent="0.25">
      <c r="C5445" s="8"/>
      <c r="G5445" s="11"/>
    </row>
    <row r="5446" spans="3:7" x14ac:dyDescent="0.25">
      <c r="C5446" s="8"/>
      <c r="G5446" s="11"/>
    </row>
    <row r="5447" spans="3:7" x14ac:dyDescent="0.25">
      <c r="C5447" s="8"/>
      <c r="G5447" s="11"/>
    </row>
    <row r="5448" spans="3:7" x14ac:dyDescent="0.25">
      <c r="C5448" s="8"/>
      <c r="G5448" s="11"/>
    </row>
    <row r="5449" spans="3:7" x14ac:dyDescent="0.25">
      <c r="C5449" s="8"/>
      <c r="G5449" s="11"/>
    </row>
    <row r="5450" spans="3:7" x14ac:dyDescent="0.25">
      <c r="C5450" s="8"/>
      <c r="G5450" s="11"/>
    </row>
    <row r="5451" spans="3:7" x14ac:dyDescent="0.25">
      <c r="C5451" s="8"/>
      <c r="G5451" s="11"/>
    </row>
    <row r="5452" spans="3:7" x14ac:dyDescent="0.25">
      <c r="C5452" s="8"/>
      <c r="G5452" s="11"/>
    </row>
    <row r="5453" spans="3:7" x14ac:dyDescent="0.25">
      <c r="C5453" s="8"/>
      <c r="G5453" s="11"/>
    </row>
    <row r="5454" spans="3:7" x14ac:dyDescent="0.25">
      <c r="C5454" s="8"/>
      <c r="G5454" s="11"/>
    </row>
    <row r="5455" spans="3:7" x14ac:dyDescent="0.25">
      <c r="C5455" s="8"/>
      <c r="G5455" s="11"/>
    </row>
    <row r="5456" spans="3:7" x14ac:dyDescent="0.25">
      <c r="C5456" s="8"/>
      <c r="G5456" s="11"/>
    </row>
    <row r="5457" spans="3:7" x14ac:dyDescent="0.25">
      <c r="C5457" s="8"/>
      <c r="G5457" s="11"/>
    </row>
    <row r="5458" spans="3:7" x14ac:dyDescent="0.25">
      <c r="C5458" s="8"/>
      <c r="G5458" s="11"/>
    </row>
    <row r="5459" spans="3:7" x14ac:dyDescent="0.25">
      <c r="C5459" s="8"/>
      <c r="G5459" s="11"/>
    </row>
    <row r="5460" spans="3:7" x14ac:dyDescent="0.25">
      <c r="C5460" s="8"/>
      <c r="G5460" s="11"/>
    </row>
    <row r="5461" spans="3:7" x14ac:dyDescent="0.25">
      <c r="C5461" s="8"/>
      <c r="G5461" s="11"/>
    </row>
    <row r="5462" spans="3:7" x14ac:dyDescent="0.25">
      <c r="C5462" s="8"/>
      <c r="G5462" s="11"/>
    </row>
    <row r="5463" spans="3:7" x14ac:dyDescent="0.25">
      <c r="C5463" s="8"/>
      <c r="G5463" s="11"/>
    </row>
    <row r="5464" spans="3:7" x14ac:dyDescent="0.25">
      <c r="C5464" s="8"/>
      <c r="G5464" s="11"/>
    </row>
    <row r="5465" spans="3:7" x14ac:dyDescent="0.25">
      <c r="C5465" s="8"/>
      <c r="G5465" s="11"/>
    </row>
    <row r="5466" spans="3:7" x14ac:dyDescent="0.25">
      <c r="C5466" s="8"/>
      <c r="G5466" s="11"/>
    </row>
    <row r="5467" spans="3:7" x14ac:dyDescent="0.25">
      <c r="C5467" s="8"/>
      <c r="G5467" s="11"/>
    </row>
    <row r="5468" spans="3:7" x14ac:dyDescent="0.25">
      <c r="C5468" s="8"/>
      <c r="G5468" s="11"/>
    </row>
    <row r="5469" spans="3:7" x14ac:dyDescent="0.25">
      <c r="C5469" s="8"/>
      <c r="G5469" s="11"/>
    </row>
    <row r="5470" spans="3:7" x14ac:dyDescent="0.25">
      <c r="C5470" s="8"/>
      <c r="G5470" s="11"/>
    </row>
    <row r="5471" spans="3:7" x14ac:dyDescent="0.25">
      <c r="C5471" s="8"/>
      <c r="G5471" s="11"/>
    </row>
    <row r="5472" spans="3:7" x14ac:dyDescent="0.25">
      <c r="C5472" s="8"/>
      <c r="G5472" s="11"/>
    </row>
    <row r="5473" spans="3:7" x14ac:dyDescent="0.25">
      <c r="C5473" s="8"/>
      <c r="G5473" s="11"/>
    </row>
    <row r="5474" spans="3:7" x14ac:dyDescent="0.25">
      <c r="C5474" s="8"/>
      <c r="G5474" s="11"/>
    </row>
    <row r="5475" spans="3:7" x14ac:dyDescent="0.25">
      <c r="C5475" s="8"/>
      <c r="G5475" s="11"/>
    </row>
    <row r="5476" spans="3:7" x14ac:dyDescent="0.25">
      <c r="C5476" s="8"/>
      <c r="G5476" s="11"/>
    </row>
    <row r="5477" spans="3:7" x14ac:dyDescent="0.25">
      <c r="C5477" s="8"/>
      <c r="G5477" s="11"/>
    </row>
    <row r="5478" spans="3:7" x14ac:dyDescent="0.25">
      <c r="C5478" s="8"/>
      <c r="G5478" s="11"/>
    </row>
    <row r="5479" spans="3:7" x14ac:dyDescent="0.25">
      <c r="C5479" s="8"/>
      <c r="G5479" s="11"/>
    </row>
    <row r="5480" spans="3:7" x14ac:dyDescent="0.25">
      <c r="C5480" s="8"/>
      <c r="G5480" s="11"/>
    </row>
    <row r="5481" spans="3:7" x14ac:dyDescent="0.25">
      <c r="C5481" s="8"/>
      <c r="G5481" s="11"/>
    </row>
    <row r="5482" spans="3:7" x14ac:dyDescent="0.25">
      <c r="C5482" s="8"/>
      <c r="G5482" s="11"/>
    </row>
    <row r="5483" spans="3:7" x14ac:dyDescent="0.25">
      <c r="C5483" s="8"/>
      <c r="G5483" s="11"/>
    </row>
    <row r="5484" spans="3:7" x14ac:dyDescent="0.25">
      <c r="C5484" s="8"/>
      <c r="G5484" s="11"/>
    </row>
    <row r="5485" spans="3:7" x14ac:dyDescent="0.25">
      <c r="C5485" s="8"/>
      <c r="G5485" s="11"/>
    </row>
    <row r="5486" spans="3:7" x14ac:dyDescent="0.25">
      <c r="C5486" s="8"/>
      <c r="G5486" s="11"/>
    </row>
    <row r="5487" spans="3:7" x14ac:dyDescent="0.25">
      <c r="C5487" s="8"/>
      <c r="G5487" s="11"/>
    </row>
    <row r="5488" spans="3:7" x14ac:dyDescent="0.25">
      <c r="C5488" s="8"/>
      <c r="G5488" s="11"/>
    </row>
    <row r="5489" spans="3:7" x14ac:dyDescent="0.25">
      <c r="C5489" s="8"/>
      <c r="G5489" s="11"/>
    </row>
    <row r="5490" spans="3:7" x14ac:dyDescent="0.25">
      <c r="C5490" s="8"/>
      <c r="G5490" s="11"/>
    </row>
    <row r="5491" spans="3:7" x14ac:dyDescent="0.25">
      <c r="C5491" s="8"/>
      <c r="G5491" s="11"/>
    </row>
    <row r="5492" spans="3:7" x14ac:dyDescent="0.25">
      <c r="C5492" s="8"/>
      <c r="G5492" s="11"/>
    </row>
    <row r="5493" spans="3:7" x14ac:dyDescent="0.25">
      <c r="C5493" s="8"/>
      <c r="G5493" s="11"/>
    </row>
    <row r="5494" spans="3:7" x14ac:dyDescent="0.25">
      <c r="C5494" s="8"/>
      <c r="G5494" s="11"/>
    </row>
    <row r="5495" spans="3:7" x14ac:dyDescent="0.25">
      <c r="C5495" s="8"/>
      <c r="G5495" s="11"/>
    </row>
    <row r="5496" spans="3:7" x14ac:dyDescent="0.25">
      <c r="C5496" s="8"/>
      <c r="G5496" s="11"/>
    </row>
    <row r="5497" spans="3:7" x14ac:dyDescent="0.25">
      <c r="C5497" s="8"/>
      <c r="G5497" s="11"/>
    </row>
    <row r="5498" spans="3:7" x14ac:dyDescent="0.25">
      <c r="C5498" s="8"/>
      <c r="G5498" s="11"/>
    </row>
    <row r="5499" spans="3:7" x14ac:dyDescent="0.25">
      <c r="C5499" s="8"/>
      <c r="G5499" s="11"/>
    </row>
    <row r="5500" spans="3:7" x14ac:dyDescent="0.25">
      <c r="C5500" s="8"/>
      <c r="G5500" s="11"/>
    </row>
    <row r="5501" spans="3:7" x14ac:dyDescent="0.25">
      <c r="C5501" s="8"/>
      <c r="G5501" s="11"/>
    </row>
    <row r="5502" spans="3:7" x14ac:dyDescent="0.25">
      <c r="C5502" s="8"/>
      <c r="G5502" s="11"/>
    </row>
    <row r="5503" spans="3:7" x14ac:dyDescent="0.25">
      <c r="C5503" s="8"/>
      <c r="G5503" s="11"/>
    </row>
    <row r="5504" spans="3:7" x14ac:dyDescent="0.25">
      <c r="C5504" s="8"/>
      <c r="G5504" s="11"/>
    </row>
    <row r="5505" spans="3:7" x14ac:dyDescent="0.25">
      <c r="C5505" s="8"/>
      <c r="G5505" s="11"/>
    </row>
    <row r="5506" spans="3:7" x14ac:dyDescent="0.25">
      <c r="C5506" s="8"/>
      <c r="G5506" s="11"/>
    </row>
    <row r="5507" spans="3:7" x14ac:dyDescent="0.25">
      <c r="C5507" s="8"/>
      <c r="G5507" s="11"/>
    </row>
    <row r="5508" spans="3:7" x14ac:dyDescent="0.25">
      <c r="C5508" s="8"/>
      <c r="G5508" s="11"/>
    </row>
    <row r="5509" spans="3:7" x14ac:dyDescent="0.25">
      <c r="C5509" s="8"/>
      <c r="G5509" s="11"/>
    </row>
    <row r="5510" spans="3:7" x14ac:dyDescent="0.25">
      <c r="C5510" s="8"/>
      <c r="G5510" s="11"/>
    </row>
    <row r="5511" spans="3:7" x14ac:dyDescent="0.25">
      <c r="C5511" s="8"/>
      <c r="G5511" s="11"/>
    </row>
    <row r="5512" spans="3:7" x14ac:dyDescent="0.25">
      <c r="C5512" s="8"/>
      <c r="G5512" s="11"/>
    </row>
    <row r="5513" spans="3:7" x14ac:dyDescent="0.25">
      <c r="C5513" s="8"/>
      <c r="G5513" s="11"/>
    </row>
    <row r="5514" spans="3:7" x14ac:dyDescent="0.25">
      <c r="C5514" s="8"/>
      <c r="G5514" s="11"/>
    </row>
    <row r="5515" spans="3:7" x14ac:dyDescent="0.25">
      <c r="C5515" s="8"/>
      <c r="G5515" s="11"/>
    </row>
    <row r="5516" spans="3:7" x14ac:dyDescent="0.25">
      <c r="C5516" s="8"/>
      <c r="G5516" s="11"/>
    </row>
    <row r="5517" spans="3:7" x14ac:dyDescent="0.25">
      <c r="C5517" s="8"/>
      <c r="G5517" s="11"/>
    </row>
    <row r="5518" spans="3:7" x14ac:dyDescent="0.25">
      <c r="C5518" s="8"/>
      <c r="G5518" s="11"/>
    </row>
    <row r="5519" spans="3:7" x14ac:dyDescent="0.25">
      <c r="C5519" s="8"/>
      <c r="G5519" s="11"/>
    </row>
    <row r="5520" spans="3:7" x14ac:dyDescent="0.25">
      <c r="C5520" s="8"/>
      <c r="G5520" s="11"/>
    </row>
    <row r="5521" spans="3:7" x14ac:dyDescent="0.25">
      <c r="C5521" s="8"/>
      <c r="G5521" s="11"/>
    </row>
    <row r="5522" spans="3:7" x14ac:dyDescent="0.25">
      <c r="C5522" s="8"/>
      <c r="G5522" s="11"/>
    </row>
    <row r="5523" spans="3:7" x14ac:dyDescent="0.25">
      <c r="C5523" s="8"/>
      <c r="G5523" s="11"/>
    </row>
    <row r="5524" spans="3:7" x14ac:dyDescent="0.25">
      <c r="C5524" s="8"/>
      <c r="G5524" s="11"/>
    </row>
    <row r="5525" spans="3:7" x14ac:dyDescent="0.25">
      <c r="C5525" s="8"/>
      <c r="G5525" s="11"/>
    </row>
    <row r="5526" spans="3:7" x14ac:dyDescent="0.25">
      <c r="C5526" s="8"/>
      <c r="G5526" s="11"/>
    </row>
    <row r="5527" spans="3:7" x14ac:dyDescent="0.25">
      <c r="C5527" s="8"/>
      <c r="G5527" s="11"/>
    </row>
    <row r="5528" spans="3:7" x14ac:dyDescent="0.25">
      <c r="C5528" s="8"/>
      <c r="G5528" s="11"/>
    </row>
    <row r="5529" spans="3:7" x14ac:dyDescent="0.25">
      <c r="C5529" s="8"/>
      <c r="G5529" s="11"/>
    </row>
    <row r="5530" spans="3:7" x14ac:dyDescent="0.25">
      <c r="C5530" s="8"/>
      <c r="G5530" s="11"/>
    </row>
    <row r="5531" spans="3:7" x14ac:dyDescent="0.25">
      <c r="C5531" s="8"/>
      <c r="G5531" s="11"/>
    </row>
    <row r="5532" spans="3:7" x14ac:dyDescent="0.25">
      <c r="C5532" s="8"/>
      <c r="G5532" s="11"/>
    </row>
    <row r="5533" spans="3:7" x14ac:dyDescent="0.25">
      <c r="C5533" s="8"/>
      <c r="G5533" s="11"/>
    </row>
    <row r="5534" spans="3:7" x14ac:dyDescent="0.25">
      <c r="C5534" s="8"/>
      <c r="G5534" s="11"/>
    </row>
    <row r="5535" spans="3:7" x14ac:dyDescent="0.25">
      <c r="C5535" s="8"/>
      <c r="G5535" s="11"/>
    </row>
    <row r="5536" spans="3:7" x14ac:dyDescent="0.25">
      <c r="C5536" s="8"/>
      <c r="G5536" s="11"/>
    </row>
    <row r="5537" spans="3:7" x14ac:dyDescent="0.25">
      <c r="C5537" s="8"/>
      <c r="G5537" s="11"/>
    </row>
    <row r="5538" spans="3:7" x14ac:dyDescent="0.25">
      <c r="C5538" s="8"/>
      <c r="G5538" s="11"/>
    </row>
    <row r="5539" spans="3:7" x14ac:dyDescent="0.25">
      <c r="C5539" s="8"/>
      <c r="G5539" s="11"/>
    </row>
    <row r="5540" spans="3:7" x14ac:dyDescent="0.25">
      <c r="C5540" s="8"/>
      <c r="G5540" s="11"/>
    </row>
    <row r="5541" spans="3:7" x14ac:dyDescent="0.25">
      <c r="C5541" s="8"/>
      <c r="G5541" s="11"/>
    </row>
    <row r="5542" spans="3:7" x14ac:dyDescent="0.25">
      <c r="C5542" s="8"/>
      <c r="G5542" s="11"/>
    </row>
    <row r="5543" spans="3:7" x14ac:dyDescent="0.25">
      <c r="C5543" s="8"/>
      <c r="G5543" s="11"/>
    </row>
    <row r="5544" spans="3:7" x14ac:dyDescent="0.25">
      <c r="C5544" s="8"/>
      <c r="G5544" s="11"/>
    </row>
    <row r="5545" spans="3:7" x14ac:dyDescent="0.25">
      <c r="C5545" s="8"/>
      <c r="G5545" s="11"/>
    </row>
    <row r="5546" spans="3:7" x14ac:dyDescent="0.25">
      <c r="C5546" s="8"/>
      <c r="G5546" s="11"/>
    </row>
    <row r="5547" spans="3:7" x14ac:dyDescent="0.25">
      <c r="C5547" s="8"/>
      <c r="G5547" s="11"/>
    </row>
    <row r="5548" spans="3:7" x14ac:dyDescent="0.25">
      <c r="C5548" s="8"/>
      <c r="G5548" s="11"/>
    </row>
    <row r="5549" spans="3:7" x14ac:dyDescent="0.25">
      <c r="C5549" s="8"/>
      <c r="G5549" s="11"/>
    </row>
    <row r="5550" spans="3:7" x14ac:dyDescent="0.25">
      <c r="C5550" s="8"/>
      <c r="G5550" s="11"/>
    </row>
    <row r="5551" spans="3:7" x14ac:dyDescent="0.25">
      <c r="C5551" s="8"/>
      <c r="G5551" s="11"/>
    </row>
    <row r="5552" spans="3:7" x14ac:dyDescent="0.25">
      <c r="C5552" s="8"/>
      <c r="G5552" s="11"/>
    </row>
    <row r="5553" spans="3:7" x14ac:dyDescent="0.25">
      <c r="C5553" s="8"/>
      <c r="G5553" s="11"/>
    </row>
    <row r="5554" spans="3:7" x14ac:dyDescent="0.25">
      <c r="C5554" s="8"/>
      <c r="G5554" s="11"/>
    </row>
    <row r="5555" spans="3:7" x14ac:dyDescent="0.25">
      <c r="C5555" s="8"/>
      <c r="G5555" s="11"/>
    </row>
    <row r="5556" spans="3:7" x14ac:dyDescent="0.25">
      <c r="C5556" s="8"/>
      <c r="G5556" s="11"/>
    </row>
    <row r="5557" spans="3:7" x14ac:dyDescent="0.25">
      <c r="C5557" s="8"/>
      <c r="G5557" s="11"/>
    </row>
    <row r="5558" spans="3:7" x14ac:dyDescent="0.25">
      <c r="C5558" s="8"/>
      <c r="G5558" s="11"/>
    </row>
    <row r="5559" spans="3:7" x14ac:dyDescent="0.25">
      <c r="C5559" s="8"/>
      <c r="G5559" s="11"/>
    </row>
    <row r="5560" spans="3:7" x14ac:dyDescent="0.25">
      <c r="C5560" s="8"/>
      <c r="G5560" s="11"/>
    </row>
    <row r="5561" spans="3:7" x14ac:dyDescent="0.25">
      <c r="C5561" s="8"/>
      <c r="G5561" s="11"/>
    </row>
    <row r="5562" spans="3:7" x14ac:dyDescent="0.25">
      <c r="C5562" s="8"/>
      <c r="G5562" s="11"/>
    </row>
    <row r="5563" spans="3:7" x14ac:dyDescent="0.25">
      <c r="C5563" s="8"/>
      <c r="G5563" s="11"/>
    </row>
    <row r="5564" spans="3:7" x14ac:dyDescent="0.25">
      <c r="C5564" s="8"/>
      <c r="G5564" s="11"/>
    </row>
    <row r="5565" spans="3:7" x14ac:dyDescent="0.25">
      <c r="C5565" s="8"/>
      <c r="G5565" s="11"/>
    </row>
    <row r="5566" spans="3:7" x14ac:dyDescent="0.25">
      <c r="C5566" s="8"/>
      <c r="G5566" s="11"/>
    </row>
    <row r="5567" spans="3:7" x14ac:dyDescent="0.25">
      <c r="C5567" s="8"/>
      <c r="G5567" s="11"/>
    </row>
    <row r="5568" spans="3:7" x14ac:dyDescent="0.25">
      <c r="C5568" s="8"/>
      <c r="G5568" s="11"/>
    </row>
    <row r="5569" spans="3:7" x14ac:dyDescent="0.25">
      <c r="C5569" s="8"/>
      <c r="G5569" s="11"/>
    </row>
    <row r="5570" spans="3:7" x14ac:dyDescent="0.25">
      <c r="C5570" s="8"/>
      <c r="G5570" s="11"/>
    </row>
    <row r="5571" spans="3:7" x14ac:dyDescent="0.25">
      <c r="C5571" s="8"/>
      <c r="G5571" s="11"/>
    </row>
    <row r="5572" spans="3:7" x14ac:dyDescent="0.25">
      <c r="C5572" s="8"/>
      <c r="G5572" s="11"/>
    </row>
    <row r="5573" spans="3:7" x14ac:dyDescent="0.25">
      <c r="C5573" s="8"/>
      <c r="G5573" s="11"/>
    </row>
    <row r="5574" spans="3:7" x14ac:dyDescent="0.25">
      <c r="C5574" s="8"/>
      <c r="G5574" s="11"/>
    </row>
    <row r="5575" spans="3:7" x14ac:dyDescent="0.25">
      <c r="C5575" s="8"/>
      <c r="G5575" s="11"/>
    </row>
    <row r="5576" spans="3:7" x14ac:dyDescent="0.25">
      <c r="C5576" s="8"/>
      <c r="G5576" s="11"/>
    </row>
    <row r="5577" spans="3:7" x14ac:dyDescent="0.25">
      <c r="C5577" s="8"/>
      <c r="G5577" s="11"/>
    </row>
    <row r="5578" spans="3:7" x14ac:dyDescent="0.25">
      <c r="C5578" s="8"/>
      <c r="G5578" s="11"/>
    </row>
    <row r="5579" spans="3:7" x14ac:dyDescent="0.25">
      <c r="C5579" s="8"/>
      <c r="G5579" s="11"/>
    </row>
    <row r="5580" spans="3:7" x14ac:dyDescent="0.25">
      <c r="C5580" s="8"/>
      <c r="G5580" s="11"/>
    </row>
    <row r="5581" spans="3:7" x14ac:dyDescent="0.25">
      <c r="C5581" s="8"/>
      <c r="G5581" s="11"/>
    </row>
    <row r="5582" spans="3:7" x14ac:dyDescent="0.25">
      <c r="C5582" s="8"/>
      <c r="G5582" s="11"/>
    </row>
    <row r="5583" spans="3:7" x14ac:dyDescent="0.25">
      <c r="C5583" s="8"/>
      <c r="G5583" s="11"/>
    </row>
    <row r="5584" spans="3:7" x14ac:dyDescent="0.25">
      <c r="C5584" s="8"/>
      <c r="G5584" s="11"/>
    </row>
    <row r="5585" spans="3:7" x14ac:dyDescent="0.25">
      <c r="C5585" s="8"/>
      <c r="G5585" s="11"/>
    </row>
    <row r="5586" spans="3:7" x14ac:dyDescent="0.25">
      <c r="C5586" s="8"/>
      <c r="G5586" s="11"/>
    </row>
    <row r="5587" spans="3:7" x14ac:dyDescent="0.25">
      <c r="C5587" s="8"/>
      <c r="G5587" s="11"/>
    </row>
    <row r="5588" spans="3:7" x14ac:dyDescent="0.25">
      <c r="C5588" s="8"/>
      <c r="G5588" s="11"/>
    </row>
    <row r="5589" spans="3:7" x14ac:dyDescent="0.25">
      <c r="C5589" s="8"/>
      <c r="G5589" s="11"/>
    </row>
    <row r="5590" spans="3:7" x14ac:dyDescent="0.25">
      <c r="C5590" s="8"/>
      <c r="G5590" s="11"/>
    </row>
    <row r="5591" spans="3:7" x14ac:dyDescent="0.25">
      <c r="C5591" s="8"/>
      <c r="G5591" s="11"/>
    </row>
    <row r="5592" spans="3:7" x14ac:dyDescent="0.25">
      <c r="C5592" s="8"/>
      <c r="G5592" s="11"/>
    </row>
    <row r="5593" spans="3:7" x14ac:dyDescent="0.25">
      <c r="C5593" s="8"/>
      <c r="G5593" s="11"/>
    </row>
    <row r="5594" spans="3:7" x14ac:dyDescent="0.25">
      <c r="C5594" s="8"/>
      <c r="G5594" s="11"/>
    </row>
    <row r="5595" spans="3:7" x14ac:dyDescent="0.25">
      <c r="C5595" s="8"/>
      <c r="G5595" s="11"/>
    </row>
    <row r="5596" spans="3:7" x14ac:dyDescent="0.25">
      <c r="C5596" s="8"/>
      <c r="G5596" s="11"/>
    </row>
    <row r="5597" spans="3:7" x14ac:dyDescent="0.25">
      <c r="C5597" s="8"/>
      <c r="G5597" s="11"/>
    </row>
    <row r="5598" spans="3:7" x14ac:dyDescent="0.25">
      <c r="C5598" s="8"/>
      <c r="G5598" s="11"/>
    </row>
    <row r="5599" spans="3:7" x14ac:dyDescent="0.25">
      <c r="C5599" s="8"/>
      <c r="G5599" s="11"/>
    </row>
    <row r="5600" spans="3:7" x14ac:dyDescent="0.25">
      <c r="C5600" s="8"/>
      <c r="G5600" s="11"/>
    </row>
    <row r="5601" spans="3:7" x14ac:dyDescent="0.25">
      <c r="C5601" s="8"/>
      <c r="G5601" s="11"/>
    </row>
    <row r="5602" spans="3:7" x14ac:dyDescent="0.25">
      <c r="C5602" s="8"/>
      <c r="G5602" s="11"/>
    </row>
    <row r="5603" spans="3:7" x14ac:dyDescent="0.25">
      <c r="C5603" s="8"/>
      <c r="G5603" s="11"/>
    </row>
    <row r="5604" spans="3:7" x14ac:dyDescent="0.25">
      <c r="C5604" s="8"/>
      <c r="G5604" s="11"/>
    </row>
    <row r="5605" spans="3:7" x14ac:dyDescent="0.25">
      <c r="C5605" s="8"/>
      <c r="G5605" s="11"/>
    </row>
    <row r="5606" spans="3:7" x14ac:dyDescent="0.25">
      <c r="C5606" s="8"/>
      <c r="G5606" s="11"/>
    </row>
    <row r="5607" spans="3:7" x14ac:dyDescent="0.25">
      <c r="C5607" s="8"/>
      <c r="G5607" s="11"/>
    </row>
    <row r="5608" spans="3:7" x14ac:dyDescent="0.25">
      <c r="C5608" s="8"/>
      <c r="G5608" s="11"/>
    </row>
    <row r="5609" spans="3:7" x14ac:dyDescent="0.25">
      <c r="C5609" s="8"/>
      <c r="G5609" s="11"/>
    </row>
    <row r="5610" spans="3:7" x14ac:dyDescent="0.25">
      <c r="C5610" s="8"/>
      <c r="G5610" s="11"/>
    </row>
    <row r="5611" spans="3:7" x14ac:dyDescent="0.25">
      <c r="C5611" s="8"/>
      <c r="G5611" s="11"/>
    </row>
    <row r="5612" spans="3:7" x14ac:dyDescent="0.25">
      <c r="C5612" s="8"/>
      <c r="G5612" s="11"/>
    </row>
    <row r="5613" spans="3:7" x14ac:dyDescent="0.25">
      <c r="C5613" s="8"/>
      <c r="G5613" s="11"/>
    </row>
    <row r="5614" spans="3:7" x14ac:dyDescent="0.25">
      <c r="C5614" s="8"/>
      <c r="G5614" s="11"/>
    </row>
    <row r="5615" spans="3:7" x14ac:dyDescent="0.25">
      <c r="C5615" s="8"/>
      <c r="G5615" s="11"/>
    </row>
    <row r="5616" spans="3:7" x14ac:dyDescent="0.25">
      <c r="C5616" s="8"/>
      <c r="G5616" s="11"/>
    </row>
    <row r="5617" spans="3:7" x14ac:dyDescent="0.25">
      <c r="C5617" s="8"/>
      <c r="G5617" s="11"/>
    </row>
    <row r="5618" spans="3:7" x14ac:dyDescent="0.25">
      <c r="C5618" s="8"/>
      <c r="G5618" s="11"/>
    </row>
    <row r="5619" spans="3:7" x14ac:dyDescent="0.25">
      <c r="C5619" s="8"/>
      <c r="G5619" s="11"/>
    </row>
    <row r="5620" spans="3:7" x14ac:dyDescent="0.25">
      <c r="C5620" s="8"/>
      <c r="G5620" s="11"/>
    </row>
    <row r="5621" spans="3:7" x14ac:dyDescent="0.25">
      <c r="C5621" s="8"/>
      <c r="G5621" s="11"/>
    </row>
    <row r="5622" spans="3:7" x14ac:dyDescent="0.25">
      <c r="C5622" s="8"/>
      <c r="G5622" s="11"/>
    </row>
    <row r="5623" spans="3:7" x14ac:dyDescent="0.25">
      <c r="C5623" s="8"/>
      <c r="G5623" s="11"/>
    </row>
    <row r="5624" spans="3:7" x14ac:dyDescent="0.25">
      <c r="C5624" s="8"/>
      <c r="G5624" s="11"/>
    </row>
    <row r="5625" spans="3:7" x14ac:dyDescent="0.25">
      <c r="C5625" s="8"/>
      <c r="G5625" s="11"/>
    </row>
    <row r="5626" spans="3:7" x14ac:dyDescent="0.25">
      <c r="C5626" s="8"/>
      <c r="G5626" s="11"/>
    </row>
    <row r="5627" spans="3:7" x14ac:dyDescent="0.25">
      <c r="C5627" s="8"/>
      <c r="G5627" s="11"/>
    </row>
    <row r="5628" spans="3:7" x14ac:dyDescent="0.25">
      <c r="C5628" s="8"/>
      <c r="G5628" s="11"/>
    </row>
    <row r="5629" spans="3:7" x14ac:dyDescent="0.25">
      <c r="C5629" s="8"/>
      <c r="G5629" s="11"/>
    </row>
    <row r="5630" spans="3:7" x14ac:dyDescent="0.25">
      <c r="C5630" s="8"/>
      <c r="G5630" s="11"/>
    </row>
    <row r="5631" spans="3:7" x14ac:dyDescent="0.25">
      <c r="C5631" s="8"/>
      <c r="G5631" s="11"/>
    </row>
    <row r="5632" spans="3:7" x14ac:dyDescent="0.25">
      <c r="C5632" s="8"/>
      <c r="G5632" s="11"/>
    </row>
    <row r="5633" spans="3:7" x14ac:dyDescent="0.25">
      <c r="C5633" s="8"/>
      <c r="G5633" s="11"/>
    </row>
    <row r="5634" spans="3:7" x14ac:dyDescent="0.25">
      <c r="C5634" s="8"/>
      <c r="G5634" s="11"/>
    </row>
    <row r="5635" spans="3:7" x14ac:dyDescent="0.25">
      <c r="C5635" s="8"/>
      <c r="G5635" s="11"/>
    </row>
    <row r="5636" spans="3:7" x14ac:dyDescent="0.25">
      <c r="C5636" s="8"/>
      <c r="G5636" s="11"/>
    </row>
    <row r="5637" spans="3:7" x14ac:dyDescent="0.25">
      <c r="C5637" s="8"/>
      <c r="G5637" s="11"/>
    </row>
    <row r="5638" spans="3:7" x14ac:dyDescent="0.25">
      <c r="C5638" s="8"/>
      <c r="G5638" s="11"/>
    </row>
    <row r="5639" spans="3:7" x14ac:dyDescent="0.25">
      <c r="C5639" s="8"/>
      <c r="G5639" s="11"/>
    </row>
    <row r="5640" spans="3:7" x14ac:dyDescent="0.25">
      <c r="C5640" s="8"/>
      <c r="G5640" s="11"/>
    </row>
    <row r="5641" spans="3:7" x14ac:dyDescent="0.25">
      <c r="C5641" s="8"/>
      <c r="G5641" s="11"/>
    </row>
    <row r="5642" spans="3:7" x14ac:dyDescent="0.25">
      <c r="C5642" s="8"/>
      <c r="G5642" s="11"/>
    </row>
    <row r="5643" spans="3:7" x14ac:dyDescent="0.25">
      <c r="C5643" s="8"/>
      <c r="G5643" s="11"/>
    </row>
    <row r="5644" spans="3:7" x14ac:dyDescent="0.25">
      <c r="C5644" s="8"/>
      <c r="G5644" s="11"/>
    </row>
    <row r="5645" spans="3:7" x14ac:dyDescent="0.25">
      <c r="C5645" s="8"/>
      <c r="G5645" s="11"/>
    </row>
    <row r="5646" spans="3:7" x14ac:dyDescent="0.25">
      <c r="C5646" s="8"/>
      <c r="G5646" s="11"/>
    </row>
    <row r="5647" spans="3:7" x14ac:dyDescent="0.25">
      <c r="C5647" s="8"/>
      <c r="G5647" s="11"/>
    </row>
    <row r="5648" spans="3:7" x14ac:dyDescent="0.25">
      <c r="C5648" s="8"/>
      <c r="G5648" s="11"/>
    </row>
    <row r="5649" spans="3:7" x14ac:dyDescent="0.25">
      <c r="C5649" s="8"/>
      <c r="G5649" s="11"/>
    </row>
    <row r="5650" spans="3:7" x14ac:dyDescent="0.25">
      <c r="C5650" s="8"/>
      <c r="G5650" s="11"/>
    </row>
    <row r="5651" spans="3:7" x14ac:dyDescent="0.25">
      <c r="C5651" s="8"/>
      <c r="G5651" s="11"/>
    </row>
    <row r="5652" spans="3:7" x14ac:dyDescent="0.25">
      <c r="C5652" s="8"/>
      <c r="G5652" s="11"/>
    </row>
    <row r="5653" spans="3:7" x14ac:dyDescent="0.25">
      <c r="C5653" s="8"/>
      <c r="G5653" s="11"/>
    </row>
    <row r="5654" spans="3:7" x14ac:dyDescent="0.25">
      <c r="C5654" s="8"/>
      <c r="G5654" s="11"/>
    </row>
    <row r="5655" spans="3:7" x14ac:dyDescent="0.25">
      <c r="C5655" s="8"/>
      <c r="G5655" s="11"/>
    </row>
    <row r="5656" spans="3:7" x14ac:dyDescent="0.25">
      <c r="C5656" s="8"/>
      <c r="G5656" s="11"/>
    </row>
    <row r="5657" spans="3:7" x14ac:dyDescent="0.25">
      <c r="C5657" s="8"/>
      <c r="G5657" s="11"/>
    </row>
    <row r="5658" spans="3:7" x14ac:dyDescent="0.25">
      <c r="C5658" s="8"/>
      <c r="G5658" s="11"/>
    </row>
    <row r="5659" spans="3:7" x14ac:dyDescent="0.25">
      <c r="C5659" s="8"/>
      <c r="G5659" s="11"/>
    </row>
    <row r="5660" spans="3:7" x14ac:dyDescent="0.25">
      <c r="C5660" s="8"/>
      <c r="G5660" s="11"/>
    </row>
    <row r="5661" spans="3:7" x14ac:dyDescent="0.25">
      <c r="C5661" s="8"/>
      <c r="G5661" s="11"/>
    </row>
    <row r="5662" spans="3:7" x14ac:dyDescent="0.25">
      <c r="C5662" s="8"/>
      <c r="G5662" s="11"/>
    </row>
    <row r="5663" spans="3:7" x14ac:dyDescent="0.25">
      <c r="C5663" s="8"/>
      <c r="G5663" s="11"/>
    </row>
    <row r="5664" spans="3:7" x14ac:dyDescent="0.25">
      <c r="C5664" s="8"/>
      <c r="G5664" s="11"/>
    </row>
    <row r="5665" spans="3:7" x14ac:dyDescent="0.25">
      <c r="C5665" s="8"/>
      <c r="G5665" s="11"/>
    </row>
    <row r="5666" spans="3:7" x14ac:dyDescent="0.25">
      <c r="C5666" s="8"/>
      <c r="G5666" s="11"/>
    </row>
    <row r="5667" spans="3:7" x14ac:dyDescent="0.25">
      <c r="C5667" s="8"/>
      <c r="G5667" s="11"/>
    </row>
    <row r="5668" spans="3:7" x14ac:dyDescent="0.25">
      <c r="C5668" s="8"/>
      <c r="G5668" s="11"/>
    </row>
    <row r="5669" spans="3:7" x14ac:dyDescent="0.25">
      <c r="C5669" s="8"/>
      <c r="G5669" s="11"/>
    </row>
    <row r="5670" spans="3:7" x14ac:dyDescent="0.25">
      <c r="C5670" s="8"/>
      <c r="G5670" s="11"/>
    </row>
    <row r="5671" spans="3:7" x14ac:dyDescent="0.25">
      <c r="C5671" s="8"/>
      <c r="G5671" s="11"/>
    </row>
    <row r="5672" spans="3:7" x14ac:dyDescent="0.25">
      <c r="C5672" s="8"/>
      <c r="G5672" s="11"/>
    </row>
    <row r="5673" spans="3:7" x14ac:dyDescent="0.25">
      <c r="C5673" s="8"/>
      <c r="G5673" s="11"/>
    </row>
    <row r="5674" spans="3:7" x14ac:dyDescent="0.25">
      <c r="C5674" s="8"/>
      <c r="G5674" s="11"/>
    </row>
    <row r="5675" spans="3:7" x14ac:dyDescent="0.25">
      <c r="C5675" s="8"/>
      <c r="G5675" s="11"/>
    </row>
    <row r="5676" spans="3:7" x14ac:dyDescent="0.25">
      <c r="C5676" s="8"/>
      <c r="G5676" s="11"/>
    </row>
    <row r="5677" spans="3:7" x14ac:dyDescent="0.25">
      <c r="C5677" s="8"/>
      <c r="G5677" s="11"/>
    </row>
    <row r="5678" spans="3:7" x14ac:dyDescent="0.25">
      <c r="C5678" s="8"/>
      <c r="G5678" s="11"/>
    </row>
    <row r="5679" spans="3:7" x14ac:dyDescent="0.25">
      <c r="C5679" s="8"/>
      <c r="G5679" s="11"/>
    </row>
    <row r="5680" spans="3:7" x14ac:dyDescent="0.25">
      <c r="C5680" s="8"/>
      <c r="G5680" s="11"/>
    </row>
    <row r="5681" spans="3:7" x14ac:dyDescent="0.25">
      <c r="C5681" s="8"/>
      <c r="G5681" s="11"/>
    </row>
    <row r="5682" spans="3:7" x14ac:dyDescent="0.25">
      <c r="C5682" s="8"/>
      <c r="G5682" s="11"/>
    </row>
    <row r="5683" spans="3:7" x14ac:dyDescent="0.25">
      <c r="C5683" s="8"/>
      <c r="G5683" s="11"/>
    </row>
    <row r="5684" spans="3:7" x14ac:dyDescent="0.25">
      <c r="C5684" s="8"/>
      <c r="G5684" s="11"/>
    </row>
    <row r="5685" spans="3:7" x14ac:dyDescent="0.25">
      <c r="C5685" s="8"/>
      <c r="G5685" s="11"/>
    </row>
    <row r="5686" spans="3:7" x14ac:dyDescent="0.25">
      <c r="C5686" s="8"/>
      <c r="G5686" s="11"/>
    </row>
    <row r="5687" spans="3:7" x14ac:dyDescent="0.25">
      <c r="C5687" s="8"/>
      <c r="G5687" s="11"/>
    </row>
    <row r="5688" spans="3:7" x14ac:dyDescent="0.25">
      <c r="C5688" s="8"/>
      <c r="G5688" s="11"/>
    </row>
    <row r="5689" spans="3:7" x14ac:dyDescent="0.25">
      <c r="C5689" s="8"/>
      <c r="G5689" s="11"/>
    </row>
    <row r="5690" spans="3:7" x14ac:dyDescent="0.25">
      <c r="C5690" s="8"/>
      <c r="G5690" s="11"/>
    </row>
    <row r="5691" spans="3:7" x14ac:dyDescent="0.25">
      <c r="C5691" s="8"/>
      <c r="G5691" s="11"/>
    </row>
    <row r="5692" spans="3:7" x14ac:dyDescent="0.25">
      <c r="C5692" s="8"/>
      <c r="G5692" s="11"/>
    </row>
    <row r="5693" spans="3:7" x14ac:dyDescent="0.25">
      <c r="C5693" s="8"/>
      <c r="G5693" s="11"/>
    </row>
    <row r="5694" spans="3:7" x14ac:dyDescent="0.25">
      <c r="C5694" s="8"/>
      <c r="G5694" s="11"/>
    </row>
    <row r="5695" spans="3:7" x14ac:dyDescent="0.25">
      <c r="C5695" s="8"/>
      <c r="G5695" s="11"/>
    </row>
    <row r="5696" spans="3:7" x14ac:dyDescent="0.25">
      <c r="C5696" s="8"/>
      <c r="G5696" s="11"/>
    </row>
    <row r="5697" spans="3:7" x14ac:dyDescent="0.25">
      <c r="C5697" s="8"/>
      <c r="G5697" s="11"/>
    </row>
    <row r="5698" spans="3:7" x14ac:dyDescent="0.25">
      <c r="C5698" s="8"/>
      <c r="G5698" s="11"/>
    </row>
    <row r="5699" spans="3:7" x14ac:dyDescent="0.25">
      <c r="C5699" s="8"/>
      <c r="G5699" s="11"/>
    </row>
    <row r="5700" spans="3:7" x14ac:dyDescent="0.25">
      <c r="C5700" s="8"/>
      <c r="G5700" s="11"/>
    </row>
    <row r="5701" spans="3:7" x14ac:dyDescent="0.25">
      <c r="C5701" s="8"/>
      <c r="G5701" s="11"/>
    </row>
    <row r="5702" spans="3:7" x14ac:dyDescent="0.25">
      <c r="C5702" s="8"/>
      <c r="G5702" s="11"/>
    </row>
    <row r="5703" spans="3:7" x14ac:dyDescent="0.25">
      <c r="C5703" s="8"/>
      <c r="G5703" s="11"/>
    </row>
    <row r="5704" spans="3:7" x14ac:dyDescent="0.25">
      <c r="C5704" s="8"/>
      <c r="G5704" s="11"/>
    </row>
    <row r="5705" spans="3:7" x14ac:dyDescent="0.25">
      <c r="C5705" s="8"/>
      <c r="G5705" s="11"/>
    </row>
    <row r="5706" spans="3:7" x14ac:dyDescent="0.25">
      <c r="C5706" s="8"/>
      <c r="G5706" s="11"/>
    </row>
    <row r="5707" spans="3:7" x14ac:dyDescent="0.25">
      <c r="C5707" s="8"/>
      <c r="G5707" s="11"/>
    </row>
    <row r="5708" spans="3:7" x14ac:dyDescent="0.25">
      <c r="C5708" s="8"/>
      <c r="G5708" s="11"/>
    </row>
    <row r="5709" spans="3:7" x14ac:dyDescent="0.25">
      <c r="C5709" s="8"/>
      <c r="G5709" s="11"/>
    </row>
    <row r="5710" spans="3:7" x14ac:dyDescent="0.25">
      <c r="C5710" s="8"/>
      <c r="G5710" s="11"/>
    </row>
    <row r="5711" spans="3:7" x14ac:dyDescent="0.25">
      <c r="C5711" s="8"/>
      <c r="G5711" s="11"/>
    </row>
    <row r="5712" spans="3:7" x14ac:dyDescent="0.25">
      <c r="C5712" s="8"/>
      <c r="G5712" s="11"/>
    </row>
    <row r="5713" spans="3:7" x14ac:dyDescent="0.25">
      <c r="C5713" s="8"/>
      <c r="G5713" s="11"/>
    </row>
    <row r="5714" spans="3:7" x14ac:dyDescent="0.25">
      <c r="C5714" s="8"/>
      <c r="G5714" s="11"/>
    </row>
    <row r="5715" spans="3:7" x14ac:dyDescent="0.25">
      <c r="C5715" s="8"/>
      <c r="G5715" s="11"/>
    </row>
    <row r="5716" spans="3:7" x14ac:dyDescent="0.25">
      <c r="C5716" s="8"/>
      <c r="G5716" s="11"/>
    </row>
    <row r="5717" spans="3:7" x14ac:dyDescent="0.25">
      <c r="C5717" s="8"/>
      <c r="G5717" s="11"/>
    </row>
    <row r="5718" spans="3:7" x14ac:dyDescent="0.25">
      <c r="C5718" s="8"/>
      <c r="G5718" s="11"/>
    </row>
    <row r="5719" spans="3:7" x14ac:dyDescent="0.25">
      <c r="C5719" s="8"/>
      <c r="G5719" s="11"/>
    </row>
    <row r="5720" spans="3:7" x14ac:dyDescent="0.25">
      <c r="C5720" s="8"/>
      <c r="G5720" s="11"/>
    </row>
    <row r="5721" spans="3:7" x14ac:dyDescent="0.25">
      <c r="C5721" s="8"/>
      <c r="G5721" s="11"/>
    </row>
    <row r="5722" spans="3:7" x14ac:dyDescent="0.25">
      <c r="C5722" s="8"/>
      <c r="G5722" s="11"/>
    </row>
    <row r="5723" spans="3:7" x14ac:dyDescent="0.25">
      <c r="C5723" s="8"/>
      <c r="G5723" s="11"/>
    </row>
    <row r="5724" spans="3:7" x14ac:dyDescent="0.25">
      <c r="C5724" s="8"/>
      <c r="G5724" s="11"/>
    </row>
    <row r="5725" spans="3:7" x14ac:dyDescent="0.25">
      <c r="C5725" s="8"/>
      <c r="G5725" s="11"/>
    </row>
    <row r="5726" spans="3:7" x14ac:dyDescent="0.25">
      <c r="C5726" s="8"/>
      <c r="G5726" s="11"/>
    </row>
    <row r="5727" spans="3:7" x14ac:dyDescent="0.25">
      <c r="C5727" s="8"/>
      <c r="G5727" s="11"/>
    </row>
    <row r="5728" spans="3:7" x14ac:dyDescent="0.25">
      <c r="C5728" s="8"/>
      <c r="G5728" s="11"/>
    </row>
    <row r="5729" spans="3:7" x14ac:dyDescent="0.25">
      <c r="C5729" s="8"/>
      <c r="G5729" s="11"/>
    </row>
    <row r="5730" spans="3:7" x14ac:dyDescent="0.25">
      <c r="C5730" s="8"/>
      <c r="G5730" s="11"/>
    </row>
    <row r="5731" spans="3:7" x14ac:dyDescent="0.25">
      <c r="C5731" s="8"/>
      <c r="G5731" s="11"/>
    </row>
    <row r="5732" spans="3:7" x14ac:dyDescent="0.25">
      <c r="C5732" s="8"/>
      <c r="G5732" s="11"/>
    </row>
    <row r="5733" spans="3:7" x14ac:dyDescent="0.25">
      <c r="C5733" s="8"/>
      <c r="G5733" s="11"/>
    </row>
    <row r="5734" spans="3:7" x14ac:dyDescent="0.25">
      <c r="C5734" s="8"/>
      <c r="G5734" s="11"/>
    </row>
    <row r="5735" spans="3:7" x14ac:dyDescent="0.25">
      <c r="C5735" s="8"/>
      <c r="G5735" s="11"/>
    </row>
    <row r="5736" spans="3:7" x14ac:dyDescent="0.25">
      <c r="C5736" s="8"/>
      <c r="G5736" s="11"/>
    </row>
    <row r="5737" spans="3:7" x14ac:dyDescent="0.25">
      <c r="C5737" s="8"/>
      <c r="G5737" s="11"/>
    </row>
    <row r="5738" spans="3:7" x14ac:dyDescent="0.25">
      <c r="C5738" s="8"/>
      <c r="G5738" s="11"/>
    </row>
    <row r="5739" spans="3:7" x14ac:dyDescent="0.25">
      <c r="C5739" s="8"/>
      <c r="G5739" s="11"/>
    </row>
    <row r="5740" spans="3:7" x14ac:dyDescent="0.25">
      <c r="C5740" s="8"/>
      <c r="G5740" s="11"/>
    </row>
    <row r="5741" spans="3:7" x14ac:dyDescent="0.25">
      <c r="C5741" s="8"/>
      <c r="G5741" s="11"/>
    </row>
    <row r="5742" spans="3:7" x14ac:dyDescent="0.25">
      <c r="C5742" s="8"/>
      <c r="G5742" s="11"/>
    </row>
    <row r="5743" spans="3:7" x14ac:dyDescent="0.25">
      <c r="C5743" s="8"/>
      <c r="G5743" s="11"/>
    </row>
    <row r="5744" spans="3:7" x14ac:dyDescent="0.25">
      <c r="C5744" s="8"/>
      <c r="G5744" s="11"/>
    </row>
    <row r="5745" spans="3:7" x14ac:dyDescent="0.25">
      <c r="C5745" s="8"/>
      <c r="G5745" s="11"/>
    </row>
    <row r="5746" spans="3:7" x14ac:dyDescent="0.25">
      <c r="C5746" s="8"/>
      <c r="G5746" s="11"/>
    </row>
    <row r="5747" spans="3:7" x14ac:dyDescent="0.25">
      <c r="C5747" s="8"/>
      <c r="G5747" s="11"/>
    </row>
    <row r="5748" spans="3:7" x14ac:dyDescent="0.25">
      <c r="C5748" s="8"/>
      <c r="G5748" s="11"/>
    </row>
    <row r="5749" spans="3:7" x14ac:dyDescent="0.25">
      <c r="C5749" s="8"/>
      <c r="G5749" s="11"/>
    </row>
    <row r="5750" spans="3:7" x14ac:dyDescent="0.25">
      <c r="C5750" s="8"/>
      <c r="G5750" s="11"/>
    </row>
    <row r="5751" spans="3:7" x14ac:dyDescent="0.25">
      <c r="C5751" s="8"/>
      <c r="G5751" s="11"/>
    </row>
    <row r="5752" spans="3:7" x14ac:dyDescent="0.25">
      <c r="C5752" s="8"/>
      <c r="G5752" s="11"/>
    </row>
    <row r="5753" spans="3:7" x14ac:dyDescent="0.25">
      <c r="C5753" s="8"/>
      <c r="G5753" s="11"/>
    </row>
    <row r="5754" spans="3:7" x14ac:dyDescent="0.25">
      <c r="C5754" s="8"/>
      <c r="G5754" s="11"/>
    </row>
    <row r="5755" spans="3:7" x14ac:dyDescent="0.25">
      <c r="C5755" s="8"/>
      <c r="G5755" s="11"/>
    </row>
    <row r="5756" spans="3:7" x14ac:dyDescent="0.25">
      <c r="C5756" s="8"/>
      <c r="G5756" s="11"/>
    </row>
    <row r="5757" spans="3:7" x14ac:dyDescent="0.25">
      <c r="C5757" s="8"/>
      <c r="G5757" s="11"/>
    </row>
    <row r="5758" spans="3:7" x14ac:dyDescent="0.25">
      <c r="C5758" s="8"/>
      <c r="G5758" s="11"/>
    </row>
    <row r="5759" spans="3:7" x14ac:dyDescent="0.25">
      <c r="C5759" s="8"/>
      <c r="G5759" s="11"/>
    </row>
    <row r="5760" spans="3:7" x14ac:dyDescent="0.25">
      <c r="C5760" s="8"/>
      <c r="G5760" s="11"/>
    </row>
    <row r="5761" spans="3:7" x14ac:dyDescent="0.25">
      <c r="C5761" s="8"/>
      <c r="G5761" s="11"/>
    </row>
    <row r="5762" spans="3:7" x14ac:dyDescent="0.25">
      <c r="C5762" s="8"/>
      <c r="G5762" s="11"/>
    </row>
    <row r="5763" spans="3:7" x14ac:dyDescent="0.25">
      <c r="C5763" s="8"/>
      <c r="G5763" s="11"/>
    </row>
    <row r="5764" spans="3:7" x14ac:dyDescent="0.25">
      <c r="C5764" s="8"/>
      <c r="G5764" s="11"/>
    </row>
    <row r="5765" spans="3:7" x14ac:dyDescent="0.25">
      <c r="C5765" s="8"/>
      <c r="G5765" s="11"/>
    </row>
    <row r="5766" spans="3:7" x14ac:dyDescent="0.25">
      <c r="C5766" s="8"/>
      <c r="G5766" s="11"/>
    </row>
    <row r="5767" spans="3:7" x14ac:dyDescent="0.25">
      <c r="C5767" s="8"/>
      <c r="G5767" s="11"/>
    </row>
    <row r="5768" spans="3:7" x14ac:dyDescent="0.25">
      <c r="C5768" s="8"/>
      <c r="G5768" s="11"/>
    </row>
    <row r="5769" spans="3:7" x14ac:dyDescent="0.25">
      <c r="C5769" s="8"/>
      <c r="G5769" s="11"/>
    </row>
    <row r="5770" spans="3:7" x14ac:dyDescent="0.25">
      <c r="C5770" s="8"/>
      <c r="G5770" s="11"/>
    </row>
    <row r="5771" spans="3:7" x14ac:dyDescent="0.25">
      <c r="C5771" s="8"/>
      <c r="G5771" s="11"/>
    </row>
    <row r="5772" spans="3:7" x14ac:dyDescent="0.25">
      <c r="C5772" s="8"/>
      <c r="G5772" s="11"/>
    </row>
    <row r="5773" spans="3:7" x14ac:dyDescent="0.25">
      <c r="C5773" s="8"/>
      <c r="G5773" s="11"/>
    </row>
    <row r="5774" spans="3:7" x14ac:dyDescent="0.25">
      <c r="C5774" s="8"/>
      <c r="G5774" s="11"/>
    </row>
    <row r="5775" spans="3:7" x14ac:dyDescent="0.25">
      <c r="C5775" s="8"/>
      <c r="G5775" s="11"/>
    </row>
    <row r="5776" spans="3:7" x14ac:dyDescent="0.25">
      <c r="C5776" s="8"/>
      <c r="G5776" s="11"/>
    </row>
    <row r="5777" spans="3:7" x14ac:dyDescent="0.25">
      <c r="C5777" s="8"/>
      <c r="G5777" s="11"/>
    </row>
    <row r="5778" spans="3:7" x14ac:dyDescent="0.25">
      <c r="C5778" s="8"/>
      <c r="G5778" s="11"/>
    </row>
    <row r="5779" spans="3:7" x14ac:dyDescent="0.25">
      <c r="C5779" s="8"/>
      <c r="G5779" s="11"/>
    </row>
    <row r="5780" spans="3:7" x14ac:dyDescent="0.25">
      <c r="C5780" s="8"/>
      <c r="G5780" s="11"/>
    </row>
    <row r="5781" spans="3:7" x14ac:dyDescent="0.25">
      <c r="C5781" s="8"/>
      <c r="G5781" s="11"/>
    </row>
    <row r="5782" spans="3:7" x14ac:dyDescent="0.25">
      <c r="C5782" s="8"/>
      <c r="G5782" s="11"/>
    </row>
    <row r="5783" spans="3:7" x14ac:dyDescent="0.25">
      <c r="C5783" s="8"/>
      <c r="G5783" s="11"/>
    </row>
    <row r="5784" spans="3:7" x14ac:dyDescent="0.25">
      <c r="C5784" s="8"/>
      <c r="G5784" s="11"/>
    </row>
    <row r="5785" spans="3:7" x14ac:dyDescent="0.25">
      <c r="C5785" s="8"/>
      <c r="G5785" s="11"/>
    </row>
    <row r="5786" spans="3:7" x14ac:dyDescent="0.25">
      <c r="C5786" s="8"/>
      <c r="G5786" s="11"/>
    </row>
    <row r="5787" spans="3:7" x14ac:dyDescent="0.25">
      <c r="C5787" s="8"/>
      <c r="G5787" s="11"/>
    </row>
    <row r="5788" spans="3:7" x14ac:dyDescent="0.25">
      <c r="C5788" s="8"/>
      <c r="G5788" s="11"/>
    </row>
    <row r="5789" spans="3:7" x14ac:dyDescent="0.25">
      <c r="C5789" s="8"/>
      <c r="G5789" s="11"/>
    </row>
    <row r="5790" spans="3:7" x14ac:dyDescent="0.25">
      <c r="C5790" s="8"/>
      <c r="G5790" s="11"/>
    </row>
    <row r="5791" spans="3:7" x14ac:dyDescent="0.25">
      <c r="C5791" s="8"/>
      <c r="G5791" s="11"/>
    </row>
    <row r="5792" spans="3:7" x14ac:dyDescent="0.25">
      <c r="C5792" s="8"/>
      <c r="G5792" s="11"/>
    </row>
    <row r="5793" spans="3:7" x14ac:dyDescent="0.25">
      <c r="C5793" s="8"/>
      <c r="G5793" s="11"/>
    </row>
    <row r="5794" spans="3:7" x14ac:dyDescent="0.25">
      <c r="C5794" s="8"/>
      <c r="G5794" s="11"/>
    </row>
    <row r="5795" spans="3:7" x14ac:dyDescent="0.25">
      <c r="C5795" s="8"/>
      <c r="G5795" s="11"/>
    </row>
    <row r="5796" spans="3:7" x14ac:dyDescent="0.25">
      <c r="C5796" s="8"/>
      <c r="G5796" s="11"/>
    </row>
    <row r="5797" spans="3:7" x14ac:dyDescent="0.25">
      <c r="C5797" s="8"/>
      <c r="G5797" s="11"/>
    </row>
    <row r="5798" spans="3:7" x14ac:dyDescent="0.25">
      <c r="C5798" s="8"/>
      <c r="G5798" s="11"/>
    </row>
    <row r="5799" spans="3:7" x14ac:dyDescent="0.25">
      <c r="C5799" s="8"/>
      <c r="G5799" s="11"/>
    </row>
    <row r="5800" spans="3:7" x14ac:dyDescent="0.25">
      <c r="C5800" s="8"/>
      <c r="G5800" s="11"/>
    </row>
    <row r="5801" spans="3:7" x14ac:dyDescent="0.25">
      <c r="C5801" s="8"/>
      <c r="G5801" s="11"/>
    </row>
    <row r="5802" spans="3:7" x14ac:dyDescent="0.25">
      <c r="C5802" s="8"/>
      <c r="G5802" s="11"/>
    </row>
    <row r="5803" spans="3:7" x14ac:dyDescent="0.25">
      <c r="C5803" s="8"/>
      <c r="G5803" s="11"/>
    </row>
    <row r="5804" spans="3:7" x14ac:dyDescent="0.25">
      <c r="C5804" s="8"/>
      <c r="G5804" s="11"/>
    </row>
    <row r="5805" spans="3:7" x14ac:dyDescent="0.25">
      <c r="C5805" s="8"/>
      <c r="G5805" s="11"/>
    </row>
    <row r="5806" spans="3:7" x14ac:dyDescent="0.25">
      <c r="C5806" s="8"/>
      <c r="G5806" s="11"/>
    </row>
    <row r="5807" spans="3:7" x14ac:dyDescent="0.25">
      <c r="C5807" s="8"/>
      <c r="G5807" s="11"/>
    </row>
    <row r="5808" spans="3:7" x14ac:dyDescent="0.25">
      <c r="C5808" s="8"/>
      <c r="G5808" s="11"/>
    </row>
    <row r="5809" spans="3:7" x14ac:dyDescent="0.25">
      <c r="C5809" s="8"/>
      <c r="G5809" s="11"/>
    </row>
    <row r="5810" spans="3:7" x14ac:dyDescent="0.25">
      <c r="C5810" s="8"/>
      <c r="G5810" s="11"/>
    </row>
    <row r="5811" spans="3:7" x14ac:dyDescent="0.25">
      <c r="C5811" s="8"/>
      <c r="G5811" s="11"/>
    </row>
    <row r="5812" spans="3:7" x14ac:dyDescent="0.25">
      <c r="C5812" s="8"/>
      <c r="G5812" s="11"/>
    </row>
    <row r="5813" spans="3:7" x14ac:dyDescent="0.25">
      <c r="C5813" s="8"/>
      <c r="G5813" s="11"/>
    </row>
    <row r="5814" spans="3:7" x14ac:dyDescent="0.25">
      <c r="C5814" s="8"/>
      <c r="G5814" s="11"/>
    </row>
    <row r="5815" spans="3:7" x14ac:dyDescent="0.25">
      <c r="C5815" s="8"/>
      <c r="G5815" s="11"/>
    </row>
    <row r="5816" spans="3:7" x14ac:dyDescent="0.25">
      <c r="C5816" s="8"/>
      <c r="G5816" s="11"/>
    </row>
    <row r="5817" spans="3:7" x14ac:dyDescent="0.25">
      <c r="C5817" s="8"/>
      <c r="G5817" s="11"/>
    </row>
    <row r="5818" spans="3:7" x14ac:dyDescent="0.25">
      <c r="C5818" s="8"/>
      <c r="G5818" s="11"/>
    </row>
    <row r="5819" spans="3:7" x14ac:dyDescent="0.25">
      <c r="C5819" s="8"/>
      <c r="G5819" s="11"/>
    </row>
    <row r="5820" spans="3:7" x14ac:dyDescent="0.25">
      <c r="C5820" s="8"/>
      <c r="G5820" s="11"/>
    </row>
    <row r="5821" spans="3:7" x14ac:dyDescent="0.25">
      <c r="C5821" s="8"/>
      <c r="G5821" s="11"/>
    </row>
    <row r="5822" spans="3:7" x14ac:dyDescent="0.25">
      <c r="C5822" s="8"/>
      <c r="G5822" s="11"/>
    </row>
    <row r="5823" spans="3:7" x14ac:dyDescent="0.25">
      <c r="C5823" s="8"/>
      <c r="G5823" s="11"/>
    </row>
    <row r="5824" spans="3:7" x14ac:dyDescent="0.25">
      <c r="C5824" s="8"/>
      <c r="G5824" s="11"/>
    </row>
    <row r="5825" spans="3:7" x14ac:dyDescent="0.25">
      <c r="C5825" s="8"/>
      <c r="G5825" s="11"/>
    </row>
    <row r="5826" spans="3:7" x14ac:dyDescent="0.25">
      <c r="C5826" s="8"/>
      <c r="G5826" s="11"/>
    </row>
    <row r="5827" spans="3:7" x14ac:dyDescent="0.25">
      <c r="C5827" s="8"/>
      <c r="G5827" s="11"/>
    </row>
    <row r="5828" spans="3:7" x14ac:dyDescent="0.25">
      <c r="C5828" s="8"/>
      <c r="G5828" s="11"/>
    </row>
    <row r="5829" spans="3:7" x14ac:dyDescent="0.25">
      <c r="C5829" s="8"/>
      <c r="G5829" s="11"/>
    </row>
    <row r="5830" spans="3:7" x14ac:dyDescent="0.25">
      <c r="C5830" s="8"/>
      <c r="G5830" s="11"/>
    </row>
    <row r="5831" spans="3:7" x14ac:dyDescent="0.25">
      <c r="C5831" s="8"/>
      <c r="G5831" s="11"/>
    </row>
    <row r="5832" spans="3:7" x14ac:dyDescent="0.25">
      <c r="C5832" s="8"/>
      <c r="G5832" s="11"/>
    </row>
    <row r="5833" spans="3:7" x14ac:dyDescent="0.25">
      <c r="C5833" s="8"/>
      <c r="G5833" s="11"/>
    </row>
    <row r="5834" spans="3:7" x14ac:dyDescent="0.25">
      <c r="C5834" s="8"/>
      <c r="G5834" s="11"/>
    </row>
    <row r="5835" spans="3:7" x14ac:dyDescent="0.25">
      <c r="C5835" s="8"/>
      <c r="G5835" s="11"/>
    </row>
    <row r="5836" spans="3:7" x14ac:dyDescent="0.25">
      <c r="C5836" s="8"/>
      <c r="G5836" s="11"/>
    </row>
    <row r="5837" spans="3:7" x14ac:dyDescent="0.25">
      <c r="C5837" s="8"/>
      <c r="G5837" s="11"/>
    </row>
    <row r="5838" spans="3:7" x14ac:dyDescent="0.25">
      <c r="C5838" s="8"/>
      <c r="G5838" s="11"/>
    </row>
    <row r="5839" spans="3:7" x14ac:dyDescent="0.25">
      <c r="C5839" s="8"/>
      <c r="G5839" s="11"/>
    </row>
    <row r="5840" spans="3:7" x14ac:dyDescent="0.25">
      <c r="C5840" s="8"/>
      <c r="G5840" s="11"/>
    </row>
    <row r="5841" spans="1:12" x14ac:dyDescent="0.25">
      <c r="C5841" s="8"/>
      <c r="G5841" s="11"/>
    </row>
    <row r="5842" spans="1:12" x14ac:dyDescent="0.25">
      <c r="A5842" s="41" t="s">
        <v>1577</v>
      </c>
      <c r="C5842" s="8"/>
      <c r="G5842" s="11"/>
    </row>
    <row r="5843" spans="1:12" x14ac:dyDescent="0.25">
      <c r="A5843" s="41" t="s">
        <v>385</v>
      </c>
      <c r="C5843" s="8"/>
      <c r="G5843" s="11"/>
      <c r="K5843" s="7" t="s">
        <v>58</v>
      </c>
      <c r="L5843" s="7" t="s">
        <v>59</v>
      </c>
    </row>
    <row r="5844" spans="1:12" x14ac:dyDescent="0.25">
      <c r="C5844" s="8"/>
      <c r="G5844" s="11"/>
    </row>
    <row r="5845" spans="1:12" x14ac:dyDescent="0.25">
      <c r="C5845" s="8"/>
      <c r="G5845" s="11"/>
    </row>
    <row r="5846" spans="1:12" x14ac:dyDescent="0.25">
      <c r="C5846" s="8"/>
      <c r="G5846" s="11"/>
    </row>
    <row r="5847" spans="1:12" x14ac:dyDescent="0.25">
      <c r="C5847" s="8"/>
      <c r="G5847" s="11"/>
    </row>
    <row r="5848" spans="1:12" x14ac:dyDescent="0.25">
      <c r="C5848" s="8"/>
      <c r="G5848" s="11"/>
    </row>
    <row r="5849" spans="1:12" x14ac:dyDescent="0.25">
      <c r="C5849" s="8"/>
      <c r="G5849" s="11"/>
    </row>
    <row r="5850" spans="1:12" x14ac:dyDescent="0.25">
      <c r="C5850" s="8"/>
      <c r="G5850" s="11"/>
    </row>
    <row r="5851" spans="1:12" x14ac:dyDescent="0.25">
      <c r="C5851" s="8"/>
      <c r="G5851" s="11"/>
    </row>
    <row r="5852" spans="1:12" x14ac:dyDescent="0.25">
      <c r="C5852" s="8"/>
      <c r="G5852" s="11"/>
    </row>
    <row r="5853" spans="1:12" x14ac:dyDescent="0.25">
      <c r="C5853" s="8"/>
      <c r="G5853" s="11"/>
    </row>
    <row r="5854" spans="1:12" x14ac:dyDescent="0.25">
      <c r="C5854" s="8"/>
      <c r="G5854" s="11"/>
    </row>
    <row r="5855" spans="1:12" x14ac:dyDescent="0.25">
      <c r="C5855" s="8"/>
      <c r="G5855" s="11"/>
    </row>
    <row r="5856" spans="1:12" x14ac:dyDescent="0.25">
      <c r="C5856" s="8"/>
      <c r="G5856" s="11"/>
    </row>
    <row r="5857" spans="3:7" x14ac:dyDescent="0.25">
      <c r="C5857" s="8"/>
      <c r="G5857" s="11"/>
    </row>
    <row r="5858" spans="3:7" x14ac:dyDescent="0.25">
      <c r="C5858" s="8"/>
      <c r="G5858" s="11"/>
    </row>
    <row r="5859" spans="3:7" x14ac:dyDescent="0.25">
      <c r="C5859" s="8"/>
      <c r="G5859" s="11"/>
    </row>
    <row r="5860" spans="3:7" x14ac:dyDescent="0.25">
      <c r="C5860" s="8"/>
      <c r="G5860" s="11"/>
    </row>
    <row r="5861" spans="3:7" x14ac:dyDescent="0.25">
      <c r="C5861" s="8"/>
      <c r="G5861" s="11"/>
    </row>
    <row r="5862" spans="3:7" x14ac:dyDescent="0.25">
      <c r="C5862" s="8"/>
      <c r="G5862" s="11"/>
    </row>
    <row r="5863" spans="3:7" x14ac:dyDescent="0.25">
      <c r="C5863" s="8"/>
      <c r="G5863" s="11"/>
    </row>
    <row r="5864" spans="3:7" x14ac:dyDescent="0.25">
      <c r="C5864" s="8"/>
      <c r="G5864" s="11"/>
    </row>
    <row r="5865" spans="3:7" x14ac:dyDescent="0.25">
      <c r="C5865" s="8"/>
      <c r="G5865" s="11"/>
    </row>
    <row r="5866" spans="3:7" x14ac:dyDescent="0.25">
      <c r="C5866" s="8"/>
      <c r="G5866" s="11"/>
    </row>
    <row r="5867" spans="3:7" x14ac:dyDescent="0.25">
      <c r="C5867" s="8"/>
      <c r="G5867" s="11"/>
    </row>
    <row r="5868" spans="3:7" x14ac:dyDescent="0.25">
      <c r="C5868" s="8"/>
      <c r="G5868" s="11"/>
    </row>
    <row r="5869" spans="3:7" x14ac:dyDescent="0.25">
      <c r="C5869" s="8"/>
      <c r="G5869" s="11"/>
    </row>
    <row r="5870" spans="3:7" x14ac:dyDescent="0.25">
      <c r="C5870" s="8"/>
      <c r="G5870" s="11"/>
    </row>
    <row r="5871" spans="3:7" x14ac:dyDescent="0.25">
      <c r="C5871" s="8"/>
      <c r="G5871" s="11"/>
    </row>
    <row r="5872" spans="3:7" x14ac:dyDescent="0.25">
      <c r="C5872" s="8"/>
      <c r="G5872" s="11"/>
    </row>
    <row r="5873" spans="3:7" x14ac:dyDescent="0.25">
      <c r="C5873" s="8"/>
      <c r="G5873" s="11"/>
    </row>
    <row r="5874" spans="3:7" x14ac:dyDescent="0.25">
      <c r="C5874" s="8"/>
      <c r="G5874" s="11"/>
    </row>
    <row r="5875" spans="3:7" x14ac:dyDescent="0.25">
      <c r="C5875" s="8"/>
      <c r="G5875" s="11"/>
    </row>
    <row r="5876" spans="3:7" x14ac:dyDescent="0.25">
      <c r="C5876" s="8"/>
      <c r="G5876" s="11"/>
    </row>
    <row r="5877" spans="3:7" x14ac:dyDescent="0.25">
      <c r="C5877" s="8"/>
      <c r="G5877" s="11"/>
    </row>
    <row r="5878" spans="3:7" x14ac:dyDescent="0.25">
      <c r="C5878" s="8"/>
      <c r="G5878" s="11"/>
    </row>
    <row r="5879" spans="3:7" x14ac:dyDescent="0.25">
      <c r="C5879" s="8"/>
      <c r="G5879" s="11"/>
    </row>
    <row r="5880" spans="3:7" x14ac:dyDescent="0.25">
      <c r="C5880" s="8"/>
      <c r="G5880" s="11"/>
    </row>
    <row r="5881" spans="3:7" x14ac:dyDescent="0.25">
      <c r="C5881" s="8"/>
      <c r="G5881" s="11"/>
    </row>
    <row r="5882" spans="3:7" x14ac:dyDescent="0.25">
      <c r="C5882" s="8"/>
      <c r="G5882" s="11"/>
    </row>
    <row r="5883" spans="3:7" x14ac:dyDescent="0.25">
      <c r="C5883" s="8"/>
      <c r="G5883" s="11"/>
    </row>
    <row r="5884" spans="3:7" x14ac:dyDescent="0.25">
      <c r="C5884" s="8"/>
      <c r="G5884" s="11"/>
    </row>
    <row r="5885" spans="3:7" x14ac:dyDescent="0.25">
      <c r="C5885" s="8"/>
      <c r="G5885" s="11"/>
    </row>
    <row r="5886" spans="3:7" x14ac:dyDescent="0.25">
      <c r="C5886" s="8"/>
      <c r="G5886" s="11"/>
    </row>
    <row r="5887" spans="3:7" x14ac:dyDescent="0.25">
      <c r="C5887" s="8"/>
      <c r="G5887" s="11"/>
    </row>
    <row r="5888" spans="3:7" x14ac:dyDescent="0.25">
      <c r="C5888" s="8"/>
      <c r="G5888" s="11"/>
    </row>
    <row r="5889" spans="3:7" x14ac:dyDescent="0.25">
      <c r="C5889" s="8"/>
      <c r="G5889" s="11"/>
    </row>
    <row r="5890" spans="3:7" x14ac:dyDescent="0.25">
      <c r="C5890" s="8"/>
      <c r="G5890" s="11"/>
    </row>
    <row r="5891" spans="3:7" x14ac:dyDescent="0.25">
      <c r="C5891" s="8"/>
      <c r="G5891" s="11"/>
    </row>
    <row r="5892" spans="3:7" x14ac:dyDescent="0.25">
      <c r="C5892" s="8"/>
      <c r="G5892" s="11"/>
    </row>
    <row r="5893" spans="3:7" x14ac:dyDescent="0.25">
      <c r="C5893" s="8"/>
      <c r="G5893" s="11"/>
    </row>
    <row r="5894" spans="3:7" x14ac:dyDescent="0.25">
      <c r="C5894" s="8"/>
      <c r="G5894" s="11"/>
    </row>
    <row r="5895" spans="3:7" x14ac:dyDescent="0.25">
      <c r="C5895" s="8"/>
      <c r="G5895" s="11"/>
    </row>
    <row r="5896" spans="3:7" x14ac:dyDescent="0.25">
      <c r="C5896" s="8"/>
      <c r="G5896" s="11"/>
    </row>
    <row r="5897" spans="3:7" x14ac:dyDescent="0.25">
      <c r="C5897" s="8"/>
      <c r="G5897" s="11"/>
    </row>
    <row r="5898" spans="3:7" x14ac:dyDescent="0.25">
      <c r="C5898" s="8"/>
      <c r="G5898" s="11"/>
    </row>
    <row r="5899" spans="3:7" x14ac:dyDescent="0.25">
      <c r="C5899" s="8"/>
      <c r="G5899" s="11"/>
    </row>
    <row r="5900" spans="3:7" x14ac:dyDescent="0.25">
      <c r="C5900" s="8"/>
      <c r="G5900" s="11"/>
    </row>
    <row r="5901" spans="3:7" x14ac:dyDescent="0.25">
      <c r="C5901" s="8"/>
      <c r="G5901" s="11"/>
    </row>
    <row r="5902" spans="3:7" x14ac:dyDescent="0.25">
      <c r="C5902" s="8"/>
      <c r="G5902" s="11"/>
    </row>
    <row r="5903" spans="3:7" x14ac:dyDescent="0.25">
      <c r="C5903" s="8"/>
      <c r="G5903" s="11"/>
    </row>
    <row r="5904" spans="3:7" x14ac:dyDescent="0.25">
      <c r="C5904" s="8"/>
      <c r="G5904" s="11"/>
    </row>
    <row r="5905" spans="3:7" x14ac:dyDescent="0.25">
      <c r="C5905" s="8"/>
      <c r="G5905" s="11"/>
    </row>
    <row r="5906" spans="3:7" x14ac:dyDescent="0.25">
      <c r="C5906" s="8"/>
      <c r="G5906" s="11"/>
    </row>
    <row r="5907" spans="3:7" x14ac:dyDescent="0.25">
      <c r="C5907" s="8"/>
      <c r="G5907" s="11"/>
    </row>
    <row r="5908" spans="3:7" x14ac:dyDescent="0.25">
      <c r="C5908" s="8"/>
      <c r="G5908" s="11"/>
    </row>
    <row r="5909" spans="3:7" x14ac:dyDescent="0.25">
      <c r="C5909" s="8"/>
      <c r="G5909" s="11"/>
    </row>
    <row r="5910" spans="3:7" x14ac:dyDescent="0.25">
      <c r="C5910" s="8"/>
      <c r="G5910" s="11"/>
    </row>
    <row r="5911" spans="3:7" x14ac:dyDescent="0.25">
      <c r="C5911" s="8"/>
      <c r="G5911" s="11"/>
    </row>
    <row r="5912" spans="3:7" x14ac:dyDescent="0.25">
      <c r="C5912" s="8"/>
      <c r="G5912" s="11"/>
    </row>
    <row r="5913" spans="3:7" x14ac:dyDescent="0.25">
      <c r="C5913" s="8"/>
      <c r="G5913" s="11"/>
    </row>
    <row r="5914" spans="3:7" x14ac:dyDescent="0.25">
      <c r="C5914" s="8"/>
      <c r="G5914" s="11"/>
    </row>
    <row r="5915" spans="3:7" x14ac:dyDescent="0.25">
      <c r="C5915" s="8"/>
      <c r="G5915" s="11"/>
    </row>
    <row r="5916" spans="3:7" x14ac:dyDescent="0.25">
      <c r="C5916" s="8"/>
      <c r="G5916" s="11"/>
    </row>
    <row r="5917" spans="3:7" x14ac:dyDescent="0.25">
      <c r="C5917" s="8"/>
      <c r="G5917" s="11"/>
    </row>
    <row r="5918" spans="3:7" x14ac:dyDescent="0.25">
      <c r="C5918" s="8"/>
      <c r="G5918" s="11"/>
    </row>
    <row r="5919" spans="3:7" x14ac:dyDescent="0.25">
      <c r="C5919" s="8"/>
      <c r="G5919" s="11"/>
    </row>
    <row r="5920" spans="3:7" x14ac:dyDescent="0.25">
      <c r="C5920" s="8"/>
      <c r="G5920" s="11"/>
    </row>
    <row r="5921" spans="3:7" x14ac:dyDescent="0.25">
      <c r="C5921" s="8"/>
      <c r="G5921" s="11"/>
    </row>
    <row r="5922" spans="3:7" x14ac:dyDescent="0.25">
      <c r="C5922" s="8"/>
      <c r="G5922" s="11"/>
    </row>
    <row r="5923" spans="3:7" x14ac:dyDescent="0.25">
      <c r="C5923" s="8"/>
      <c r="G5923" s="11"/>
    </row>
    <row r="5924" spans="3:7" x14ac:dyDescent="0.25">
      <c r="C5924" s="8"/>
      <c r="G5924" s="11"/>
    </row>
    <row r="5925" spans="3:7" x14ac:dyDescent="0.25">
      <c r="C5925" s="8"/>
      <c r="G5925" s="11"/>
    </row>
    <row r="5926" spans="3:7" x14ac:dyDescent="0.25">
      <c r="C5926" s="8"/>
      <c r="G5926" s="11"/>
    </row>
    <row r="5927" spans="3:7" x14ac:dyDescent="0.25">
      <c r="C5927" s="8"/>
      <c r="G5927" s="11"/>
    </row>
    <row r="5928" spans="3:7" x14ac:dyDescent="0.25">
      <c r="C5928" s="8"/>
      <c r="G5928" s="11"/>
    </row>
    <row r="5929" spans="3:7" x14ac:dyDescent="0.25">
      <c r="C5929" s="8"/>
      <c r="G5929" s="11"/>
    </row>
    <row r="5930" spans="3:7" x14ac:dyDescent="0.25">
      <c r="C5930" s="8"/>
      <c r="G5930" s="11"/>
    </row>
    <row r="5931" spans="3:7" x14ac:dyDescent="0.25">
      <c r="C5931" s="8"/>
      <c r="G5931" s="11"/>
    </row>
    <row r="5932" spans="3:7" x14ac:dyDescent="0.25">
      <c r="C5932" s="8"/>
      <c r="G5932" s="11"/>
    </row>
    <row r="5933" spans="3:7" x14ac:dyDescent="0.25">
      <c r="C5933" s="8"/>
      <c r="G5933" s="11"/>
    </row>
    <row r="5934" spans="3:7" x14ac:dyDescent="0.25">
      <c r="C5934" s="8"/>
      <c r="G5934" s="11"/>
    </row>
    <row r="5935" spans="3:7" x14ac:dyDescent="0.25">
      <c r="C5935" s="8"/>
      <c r="G5935" s="11"/>
    </row>
    <row r="5936" spans="3:7" x14ac:dyDescent="0.25">
      <c r="C5936" s="8"/>
      <c r="G5936" s="11"/>
    </row>
    <row r="5937" spans="3:7" x14ac:dyDescent="0.25">
      <c r="C5937" s="8"/>
      <c r="G5937" s="11"/>
    </row>
    <row r="5938" spans="3:7" x14ac:dyDescent="0.25">
      <c r="C5938" s="8"/>
      <c r="G5938" s="11"/>
    </row>
    <row r="5939" spans="3:7" x14ac:dyDescent="0.25">
      <c r="C5939" s="8"/>
      <c r="G5939" s="11"/>
    </row>
    <row r="5940" spans="3:7" x14ac:dyDescent="0.25">
      <c r="C5940" s="8"/>
      <c r="G5940" s="11"/>
    </row>
    <row r="5941" spans="3:7" x14ac:dyDescent="0.25">
      <c r="C5941" s="8"/>
      <c r="G5941" s="11"/>
    </row>
    <row r="5942" spans="3:7" x14ac:dyDescent="0.25">
      <c r="C5942" s="8"/>
      <c r="G5942" s="11"/>
    </row>
    <row r="5943" spans="3:7" x14ac:dyDescent="0.25">
      <c r="C5943" s="8"/>
      <c r="G5943" s="11"/>
    </row>
    <row r="5944" spans="3:7" x14ac:dyDescent="0.25">
      <c r="C5944" s="8"/>
      <c r="G5944" s="11"/>
    </row>
    <row r="5945" spans="3:7" x14ac:dyDescent="0.25">
      <c r="C5945" s="8"/>
      <c r="G5945" s="11"/>
    </row>
    <row r="5946" spans="3:7" x14ac:dyDescent="0.25">
      <c r="C5946" s="8"/>
      <c r="G5946" s="11"/>
    </row>
    <row r="5947" spans="3:7" x14ac:dyDescent="0.25">
      <c r="C5947" s="8"/>
      <c r="G5947" s="11"/>
    </row>
    <row r="5948" spans="3:7" x14ac:dyDescent="0.25">
      <c r="C5948" s="8"/>
      <c r="G5948" s="11"/>
    </row>
    <row r="5949" spans="3:7" x14ac:dyDescent="0.25">
      <c r="C5949" s="8"/>
      <c r="G5949" s="11"/>
    </row>
    <row r="5950" spans="3:7" x14ac:dyDescent="0.25">
      <c r="C5950" s="8"/>
      <c r="G5950" s="11"/>
    </row>
    <row r="5951" spans="3:7" x14ac:dyDescent="0.25">
      <c r="C5951" s="8"/>
      <c r="G5951" s="11"/>
    </row>
    <row r="5952" spans="3:7" x14ac:dyDescent="0.25">
      <c r="C5952" s="8"/>
      <c r="G5952" s="11"/>
    </row>
    <row r="5953" spans="3:7" x14ac:dyDescent="0.25">
      <c r="C5953" s="8"/>
      <c r="G5953" s="11"/>
    </row>
    <row r="5954" spans="3:7" x14ac:dyDescent="0.25">
      <c r="C5954" s="8"/>
      <c r="G5954" s="11"/>
    </row>
    <row r="5955" spans="3:7" x14ac:dyDescent="0.25">
      <c r="C5955" s="8"/>
      <c r="G5955" s="11"/>
    </row>
    <row r="5956" spans="3:7" x14ac:dyDescent="0.25">
      <c r="C5956" s="8"/>
      <c r="G5956" s="11"/>
    </row>
    <row r="5957" spans="3:7" x14ac:dyDescent="0.25">
      <c r="C5957" s="8"/>
      <c r="G5957" s="11"/>
    </row>
    <row r="5958" spans="3:7" x14ac:dyDescent="0.25">
      <c r="C5958" s="8"/>
      <c r="G5958" s="11"/>
    </row>
    <row r="5959" spans="3:7" x14ac:dyDescent="0.25">
      <c r="C5959" s="8"/>
      <c r="G5959" s="11"/>
    </row>
    <row r="5960" spans="3:7" x14ac:dyDescent="0.25">
      <c r="C5960" s="8"/>
      <c r="G5960" s="11"/>
    </row>
    <row r="5961" spans="3:7" x14ac:dyDescent="0.25">
      <c r="C5961" s="8"/>
      <c r="G5961" s="11"/>
    </row>
    <row r="5962" spans="3:7" x14ac:dyDescent="0.25">
      <c r="C5962" s="8"/>
      <c r="G5962" s="11"/>
    </row>
    <row r="5963" spans="3:7" x14ac:dyDescent="0.25">
      <c r="C5963" s="8"/>
      <c r="G5963" s="11"/>
    </row>
    <row r="5964" spans="3:7" x14ac:dyDescent="0.25">
      <c r="C5964" s="8"/>
      <c r="G5964" s="11"/>
    </row>
    <row r="5965" spans="3:7" x14ac:dyDescent="0.25">
      <c r="C5965" s="8"/>
      <c r="G5965" s="11"/>
    </row>
    <row r="5966" spans="3:7" x14ac:dyDescent="0.25">
      <c r="C5966" s="8"/>
      <c r="G5966" s="11"/>
    </row>
    <row r="5967" spans="3:7" x14ac:dyDescent="0.25">
      <c r="C5967" s="8"/>
      <c r="G5967" s="11"/>
    </row>
    <row r="5968" spans="3:7" x14ac:dyDescent="0.25">
      <c r="C5968" s="8"/>
      <c r="G5968" s="11"/>
    </row>
    <row r="5969" spans="3:7" x14ac:dyDescent="0.25">
      <c r="C5969" s="8"/>
      <c r="G5969" s="11"/>
    </row>
    <row r="5970" spans="3:7" x14ac:dyDescent="0.25">
      <c r="C5970" s="8"/>
      <c r="G5970" s="11"/>
    </row>
    <row r="5971" spans="3:7" x14ac:dyDescent="0.25">
      <c r="C5971" s="8"/>
      <c r="G5971" s="11"/>
    </row>
    <row r="5972" spans="3:7" x14ac:dyDescent="0.25">
      <c r="C5972" s="8"/>
      <c r="G5972" s="11"/>
    </row>
    <row r="5973" spans="3:7" x14ac:dyDescent="0.25">
      <c r="C5973" s="8"/>
      <c r="G5973" s="11"/>
    </row>
    <row r="5974" spans="3:7" x14ac:dyDescent="0.25">
      <c r="C5974" s="8"/>
      <c r="G5974" s="11"/>
    </row>
    <row r="5975" spans="3:7" x14ac:dyDescent="0.25">
      <c r="C5975" s="8"/>
      <c r="G5975" s="11"/>
    </row>
    <row r="5976" spans="3:7" x14ac:dyDescent="0.25">
      <c r="C5976" s="8"/>
      <c r="G5976" s="11"/>
    </row>
    <row r="5977" spans="3:7" x14ac:dyDescent="0.25">
      <c r="C5977" s="8"/>
      <c r="G5977" s="11"/>
    </row>
    <row r="5978" spans="3:7" x14ac:dyDescent="0.25">
      <c r="C5978" s="8"/>
      <c r="G5978" s="11"/>
    </row>
    <row r="5979" spans="3:7" x14ac:dyDescent="0.25">
      <c r="C5979" s="8"/>
      <c r="G5979" s="11"/>
    </row>
    <row r="5980" spans="3:7" x14ac:dyDescent="0.25">
      <c r="C5980" s="8"/>
      <c r="G5980" s="11"/>
    </row>
    <row r="5981" spans="3:7" x14ac:dyDescent="0.25">
      <c r="C5981" s="8"/>
      <c r="G5981" s="11"/>
    </row>
    <row r="5982" spans="3:7" x14ac:dyDescent="0.25">
      <c r="C5982" s="8"/>
      <c r="G5982" s="11"/>
    </row>
    <row r="5983" spans="3:7" x14ac:dyDescent="0.25">
      <c r="C5983" s="8"/>
      <c r="G5983" s="11"/>
    </row>
    <row r="5984" spans="3:7" x14ac:dyDescent="0.25">
      <c r="C5984" s="8"/>
      <c r="G5984" s="11"/>
    </row>
    <row r="5985" spans="3:7" x14ac:dyDescent="0.25">
      <c r="C5985" s="8"/>
      <c r="G5985" s="11"/>
    </row>
    <row r="5986" spans="3:7" x14ac:dyDescent="0.25">
      <c r="C5986" s="8"/>
      <c r="G5986" s="11"/>
    </row>
    <row r="5987" spans="3:7" x14ac:dyDescent="0.25">
      <c r="C5987" s="8"/>
      <c r="G5987" s="11"/>
    </row>
    <row r="5988" spans="3:7" x14ac:dyDescent="0.25">
      <c r="C5988" s="8"/>
      <c r="G5988" s="11"/>
    </row>
    <row r="5989" spans="3:7" x14ac:dyDescent="0.25">
      <c r="C5989" s="8"/>
      <c r="G5989" s="11"/>
    </row>
    <row r="5990" spans="3:7" x14ac:dyDescent="0.25">
      <c r="C5990" s="8"/>
      <c r="G5990" s="11"/>
    </row>
    <row r="5991" spans="3:7" x14ac:dyDescent="0.25">
      <c r="C5991" s="8"/>
      <c r="G5991" s="11"/>
    </row>
    <row r="5992" spans="3:7" x14ac:dyDescent="0.25">
      <c r="C5992" s="8"/>
      <c r="G5992" s="11"/>
    </row>
    <row r="5993" spans="3:7" x14ac:dyDescent="0.25">
      <c r="C5993" s="8"/>
      <c r="G5993" s="11"/>
    </row>
    <row r="5994" spans="3:7" x14ac:dyDescent="0.25">
      <c r="C5994" s="8"/>
      <c r="G5994" s="11"/>
    </row>
    <row r="5995" spans="3:7" x14ac:dyDescent="0.25">
      <c r="C5995" s="8"/>
      <c r="G5995" s="11"/>
    </row>
    <row r="5996" spans="3:7" x14ac:dyDescent="0.25">
      <c r="C5996" s="8"/>
      <c r="G5996" s="11"/>
    </row>
    <row r="5997" spans="3:7" x14ac:dyDescent="0.25">
      <c r="C5997" s="8"/>
      <c r="G5997" s="11"/>
    </row>
    <row r="5998" spans="3:7" x14ac:dyDescent="0.25">
      <c r="C5998" s="8"/>
      <c r="G5998" s="11"/>
    </row>
    <row r="5999" spans="3:7" x14ac:dyDescent="0.25">
      <c r="C5999" s="8"/>
      <c r="G5999" s="11"/>
    </row>
    <row r="6000" spans="3:7" x14ac:dyDescent="0.25">
      <c r="C6000" s="8"/>
      <c r="G6000" s="11"/>
    </row>
    <row r="6001" spans="3:7" x14ac:dyDescent="0.25">
      <c r="C6001" s="8"/>
      <c r="G6001" s="11"/>
    </row>
    <row r="6002" spans="3:7" x14ac:dyDescent="0.25">
      <c r="C6002" s="8"/>
      <c r="G6002" s="11"/>
    </row>
    <row r="6003" spans="3:7" x14ac:dyDescent="0.25">
      <c r="C6003" s="8"/>
      <c r="G6003" s="11"/>
    </row>
    <row r="6004" spans="3:7" x14ac:dyDescent="0.25">
      <c r="C6004" s="8"/>
      <c r="G6004" s="11"/>
    </row>
    <row r="6005" spans="3:7" x14ac:dyDescent="0.25">
      <c r="C6005" s="8"/>
      <c r="G6005" s="11"/>
    </row>
    <row r="6006" spans="3:7" x14ac:dyDescent="0.25">
      <c r="C6006" s="8"/>
      <c r="G6006" s="11"/>
    </row>
    <row r="6007" spans="3:7" x14ac:dyDescent="0.25">
      <c r="C6007" s="8"/>
      <c r="G6007" s="11"/>
    </row>
    <row r="6008" spans="3:7" x14ac:dyDescent="0.25">
      <c r="C6008" s="8"/>
      <c r="G6008" s="11"/>
    </row>
    <row r="6009" spans="3:7" x14ac:dyDescent="0.25">
      <c r="C6009" s="8"/>
      <c r="G6009" s="11"/>
    </row>
    <row r="6010" spans="3:7" x14ac:dyDescent="0.25">
      <c r="C6010" s="8"/>
      <c r="G6010" s="11"/>
    </row>
    <row r="6011" spans="3:7" x14ac:dyDescent="0.25">
      <c r="C6011" s="8"/>
      <c r="G6011" s="11"/>
    </row>
    <row r="6012" spans="3:7" x14ac:dyDescent="0.25">
      <c r="C6012" s="8"/>
      <c r="G6012" s="11"/>
    </row>
    <row r="6013" spans="3:7" x14ac:dyDescent="0.25">
      <c r="C6013" s="8"/>
      <c r="G6013" s="11"/>
    </row>
    <row r="6014" spans="3:7" x14ac:dyDescent="0.25">
      <c r="C6014" s="8"/>
      <c r="G6014" s="11"/>
    </row>
    <row r="6015" spans="3:7" x14ac:dyDescent="0.25">
      <c r="C6015" s="8"/>
      <c r="G6015" s="11"/>
    </row>
    <row r="6016" spans="3:7" x14ac:dyDescent="0.25">
      <c r="C6016" s="8"/>
      <c r="G6016" s="11"/>
    </row>
    <row r="6017" spans="3:7" x14ac:dyDescent="0.25">
      <c r="C6017" s="8"/>
      <c r="G6017" s="11"/>
    </row>
    <row r="6018" spans="3:7" x14ac:dyDescent="0.25">
      <c r="C6018" s="8"/>
      <c r="G6018" s="11"/>
    </row>
    <row r="6019" spans="3:7" x14ac:dyDescent="0.25">
      <c r="C6019" s="8"/>
      <c r="G6019" s="11"/>
    </row>
    <row r="6020" spans="3:7" x14ac:dyDescent="0.25">
      <c r="C6020" s="8"/>
      <c r="G6020" s="11"/>
    </row>
    <row r="6021" spans="3:7" x14ac:dyDescent="0.25">
      <c r="C6021" s="8"/>
      <c r="G6021" s="11"/>
    </row>
    <row r="6022" spans="3:7" x14ac:dyDescent="0.25">
      <c r="C6022" s="8"/>
      <c r="G6022" s="11"/>
    </row>
    <row r="6023" spans="3:7" x14ac:dyDescent="0.25">
      <c r="C6023" s="8"/>
      <c r="G6023" s="11"/>
    </row>
    <row r="6024" spans="3:7" x14ac:dyDescent="0.25">
      <c r="C6024" s="8"/>
      <c r="G6024" s="11"/>
    </row>
    <row r="6025" spans="3:7" x14ac:dyDescent="0.25">
      <c r="C6025" s="8"/>
      <c r="G6025" s="11"/>
    </row>
    <row r="6026" spans="3:7" x14ac:dyDescent="0.25">
      <c r="C6026" s="8"/>
      <c r="G6026" s="11"/>
    </row>
    <row r="6027" spans="3:7" x14ac:dyDescent="0.25">
      <c r="C6027" s="8"/>
      <c r="G6027" s="11"/>
    </row>
    <row r="6028" spans="3:7" x14ac:dyDescent="0.25">
      <c r="C6028" s="8"/>
      <c r="G6028" s="11"/>
    </row>
    <row r="6029" spans="3:7" x14ac:dyDescent="0.25">
      <c r="C6029" s="8"/>
      <c r="G6029" s="11"/>
    </row>
    <row r="6030" spans="3:7" x14ac:dyDescent="0.25">
      <c r="C6030" s="8"/>
      <c r="G6030" s="11"/>
    </row>
    <row r="6031" spans="3:7" x14ac:dyDescent="0.25">
      <c r="C6031" s="8"/>
      <c r="G6031" s="11"/>
    </row>
    <row r="6032" spans="3:7" x14ac:dyDescent="0.25">
      <c r="C6032" s="8"/>
      <c r="G6032" s="11"/>
    </row>
    <row r="6033" spans="3:7" x14ac:dyDescent="0.25">
      <c r="C6033" s="8"/>
      <c r="G6033" s="11"/>
    </row>
    <row r="6034" spans="3:7" x14ac:dyDescent="0.25">
      <c r="C6034" s="8"/>
      <c r="G6034" s="11"/>
    </row>
    <row r="6035" spans="3:7" x14ac:dyDescent="0.25">
      <c r="C6035" s="8"/>
      <c r="G6035" s="11"/>
    </row>
    <row r="6036" spans="3:7" x14ac:dyDescent="0.25">
      <c r="C6036" s="8"/>
      <c r="G6036" s="11"/>
    </row>
    <row r="6037" spans="3:7" x14ac:dyDescent="0.25">
      <c r="C6037" s="8"/>
      <c r="G6037" s="11"/>
    </row>
    <row r="6038" spans="3:7" x14ac:dyDescent="0.25">
      <c r="C6038" s="8"/>
      <c r="G6038" s="11"/>
    </row>
    <row r="6039" spans="3:7" x14ac:dyDescent="0.25">
      <c r="C6039" s="8"/>
      <c r="G6039" s="11"/>
    </row>
    <row r="6040" spans="3:7" x14ac:dyDescent="0.25">
      <c r="C6040" s="8"/>
      <c r="G6040" s="11"/>
    </row>
    <row r="6041" spans="3:7" x14ac:dyDescent="0.25">
      <c r="C6041" s="8"/>
      <c r="G6041" s="11"/>
    </row>
    <row r="6042" spans="3:7" x14ac:dyDescent="0.25">
      <c r="C6042" s="8"/>
      <c r="G6042" s="11"/>
    </row>
    <row r="6043" spans="3:7" x14ac:dyDescent="0.25">
      <c r="C6043" s="8"/>
      <c r="G6043" s="11"/>
    </row>
    <row r="6044" spans="3:7" x14ac:dyDescent="0.25">
      <c r="C6044" s="8"/>
      <c r="G6044" s="11"/>
    </row>
    <row r="6045" spans="3:7" x14ac:dyDescent="0.25">
      <c r="C6045" s="8"/>
      <c r="G6045" s="11"/>
    </row>
    <row r="6046" spans="3:7" x14ac:dyDescent="0.25">
      <c r="C6046" s="8"/>
      <c r="G6046" s="11"/>
    </row>
    <row r="6047" spans="3:7" x14ac:dyDescent="0.25">
      <c r="C6047" s="8"/>
      <c r="G6047" s="11"/>
    </row>
    <row r="6048" spans="3:7" x14ac:dyDescent="0.25">
      <c r="C6048" s="8"/>
      <c r="G6048" s="11"/>
    </row>
    <row r="6049" spans="3:7" x14ac:dyDescent="0.25">
      <c r="C6049" s="8"/>
      <c r="G6049" s="11"/>
    </row>
    <row r="6050" spans="3:7" x14ac:dyDescent="0.25">
      <c r="C6050" s="8"/>
      <c r="G6050" s="11"/>
    </row>
    <row r="6051" spans="3:7" x14ac:dyDescent="0.25">
      <c r="C6051" s="8"/>
      <c r="G6051" s="11"/>
    </row>
    <row r="6052" spans="3:7" x14ac:dyDescent="0.25">
      <c r="C6052" s="8"/>
      <c r="G6052" s="11"/>
    </row>
    <row r="6053" spans="3:7" x14ac:dyDescent="0.25">
      <c r="C6053" s="8"/>
      <c r="G6053" s="11"/>
    </row>
    <row r="6054" spans="3:7" x14ac:dyDescent="0.25">
      <c r="C6054" s="8"/>
      <c r="G6054" s="11"/>
    </row>
    <row r="6055" spans="3:7" x14ac:dyDescent="0.25">
      <c r="C6055" s="8"/>
      <c r="G6055" s="11"/>
    </row>
    <row r="6056" spans="3:7" x14ac:dyDescent="0.25">
      <c r="C6056" s="8"/>
      <c r="G6056" s="11"/>
    </row>
    <row r="6057" spans="3:7" x14ac:dyDescent="0.25">
      <c r="C6057" s="8"/>
      <c r="G6057" s="11"/>
    </row>
    <row r="6058" spans="3:7" x14ac:dyDescent="0.25">
      <c r="C6058" s="8"/>
      <c r="G6058" s="11"/>
    </row>
    <row r="6059" spans="3:7" x14ac:dyDescent="0.25">
      <c r="C6059" s="8"/>
      <c r="G6059" s="11"/>
    </row>
    <row r="6060" spans="3:7" x14ac:dyDescent="0.25">
      <c r="C6060" s="8"/>
      <c r="G6060" s="11"/>
    </row>
    <row r="6061" spans="3:7" x14ac:dyDescent="0.25">
      <c r="C6061" s="8"/>
      <c r="G6061" s="11"/>
    </row>
    <row r="6062" spans="3:7" x14ac:dyDescent="0.25">
      <c r="C6062" s="8"/>
      <c r="G6062" s="11"/>
    </row>
    <row r="6063" spans="3:7" x14ac:dyDescent="0.25">
      <c r="C6063" s="8"/>
      <c r="G6063" s="11"/>
    </row>
    <row r="6064" spans="3:7" x14ac:dyDescent="0.25">
      <c r="C6064" s="8"/>
      <c r="G6064" s="11"/>
    </row>
    <row r="6065" spans="3:7" x14ac:dyDescent="0.25">
      <c r="C6065" s="8"/>
      <c r="G6065" s="11"/>
    </row>
    <row r="6066" spans="3:7" x14ac:dyDescent="0.25">
      <c r="C6066" s="8"/>
      <c r="G6066" s="11"/>
    </row>
    <row r="6067" spans="3:7" x14ac:dyDescent="0.25">
      <c r="C6067" s="8"/>
      <c r="G6067" s="11"/>
    </row>
    <row r="6068" spans="3:7" x14ac:dyDescent="0.25">
      <c r="C6068" s="8"/>
      <c r="G6068" s="11"/>
    </row>
    <row r="6069" spans="3:7" x14ac:dyDescent="0.25">
      <c r="C6069" s="8"/>
      <c r="G6069" s="11"/>
    </row>
    <row r="6070" spans="3:7" x14ac:dyDescent="0.25">
      <c r="C6070" s="8"/>
      <c r="G6070" s="11"/>
    </row>
    <row r="6071" spans="3:7" x14ac:dyDescent="0.25">
      <c r="C6071" s="8"/>
      <c r="G6071" s="11"/>
    </row>
    <row r="6072" spans="3:7" x14ac:dyDescent="0.25">
      <c r="C6072" s="8"/>
      <c r="G6072" s="11"/>
    </row>
    <row r="6073" spans="3:7" x14ac:dyDescent="0.25">
      <c r="C6073" s="8"/>
      <c r="G6073" s="11"/>
    </row>
    <row r="6074" spans="3:7" x14ac:dyDescent="0.25">
      <c r="C6074" s="8"/>
      <c r="G6074" s="11"/>
    </row>
    <row r="6075" spans="3:7" x14ac:dyDescent="0.25">
      <c r="C6075" s="8"/>
      <c r="G6075" s="11"/>
    </row>
    <row r="6076" spans="3:7" x14ac:dyDescent="0.25">
      <c r="C6076" s="8"/>
      <c r="G6076" s="11"/>
    </row>
    <row r="6077" spans="3:7" x14ac:dyDescent="0.25">
      <c r="C6077" s="8"/>
      <c r="G6077" s="11"/>
    </row>
    <row r="6078" spans="3:7" x14ac:dyDescent="0.25">
      <c r="C6078" s="8"/>
      <c r="G6078" s="11"/>
    </row>
    <row r="6079" spans="3:7" x14ac:dyDescent="0.25">
      <c r="C6079" s="8"/>
      <c r="G6079" s="11"/>
    </row>
    <row r="6080" spans="3:7" x14ac:dyDescent="0.25">
      <c r="C6080" s="8"/>
      <c r="G6080" s="11"/>
    </row>
    <row r="6081" spans="3:7" x14ac:dyDescent="0.25">
      <c r="C6081" s="8"/>
      <c r="G6081" s="11"/>
    </row>
    <row r="6082" spans="3:7" x14ac:dyDescent="0.25">
      <c r="C6082" s="8"/>
      <c r="G6082" s="11"/>
    </row>
    <row r="6083" spans="3:7" x14ac:dyDescent="0.25">
      <c r="C6083" s="8"/>
      <c r="G6083" s="11"/>
    </row>
    <row r="6084" spans="3:7" x14ac:dyDescent="0.25">
      <c r="C6084" s="8"/>
      <c r="G6084" s="11"/>
    </row>
    <row r="6085" spans="3:7" x14ac:dyDescent="0.25">
      <c r="C6085" s="8"/>
      <c r="G6085" s="11"/>
    </row>
    <row r="6086" spans="3:7" x14ac:dyDescent="0.25">
      <c r="C6086" s="8"/>
      <c r="G6086" s="11"/>
    </row>
    <row r="6087" spans="3:7" x14ac:dyDescent="0.25">
      <c r="C6087" s="8"/>
      <c r="G6087" s="11"/>
    </row>
    <row r="6088" spans="3:7" x14ac:dyDescent="0.25">
      <c r="C6088" s="8"/>
      <c r="G6088" s="11"/>
    </row>
    <row r="6089" spans="3:7" x14ac:dyDescent="0.25">
      <c r="C6089" s="8"/>
      <c r="G6089" s="11"/>
    </row>
    <row r="6090" spans="3:7" x14ac:dyDescent="0.25">
      <c r="C6090" s="8"/>
      <c r="G6090" s="11"/>
    </row>
    <row r="6091" spans="3:7" x14ac:dyDescent="0.25">
      <c r="C6091" s="8"/>
      <c r="G6091" s="11"/>
    </row>
    <row r="6092" spans="3:7" x14ac:dyDescent="0.25">
      <c r="C6092" s="8"/>
      <c r="G6092" s="11"/>
    </row>
    <row r="6093" spans="3:7" x14ac:dyDescent="0.25">
      <c r="C6093" s="8"/>
      <c r="G6093" s="11"/>
    </row>
    <row r="6094" spans="3:7" x14ac:dyDescent="0.25">
      <c r="C6094" s="8"/>
      <c r="G6094" s="11"/>
    </row>
    <row r="6095" spans="3:7" x14ac:dyDescent="0.25">
      <c r="C6095" s="8"/>
      <c r="G6095" s="11"/>
    </row>
    <row r="6096" spans="3:7" x14ac:dyDescent="0.25">
      <c r="C6096" s="8"/>
      <c r="G6096" s="11"/>
    </row>
    <row r="6097" spans="3:7" x14ac:dyDescent="0.25">
      <c r="C6097" s="8"/>
      <c r="G6097" s="11"/>
    </row>
    <row r="6098" spans="3:7" x14ac:dyDescent="0.25">
      <c r="C6098" s="8"/>
      <c r="G6098" s="11"/>
    </row>
    <row r="6099" spans="3:7" x14ac:dyDescent="0.25">
      <c r="C6099" s="8"/>
      <c r="G6099" s="11"/>
    </row>
    <row r="6100" spans="3:7" x14ac:dyDescent="0.25">
      <c r="C6100" s="8"/>
      <c r="G6100" s="11"/>
    </row>
    <row r="6101" spans="3:7" x14ac:dyDescent="0.25">
      <c r="C6101" s="8"/>
      <c r="G6101" s="11"/>
    </row>
    <row r="6102" spans="3:7" x14ac:dyDescent="0.25">
      <c r="C6102" s="8"/>
      <c r="G6102" s="11"/>
    </row>
    <row r="6103" spans="3:7" x14ac:dyDescent="0.25">
      <c r="C6103" s="8"/>
      <c r="G6103" s="11"/>
    </row>
    <row r="6104" spans="3:7" x14ac:dyDescent="0.25">
      <c r="C6104" s="8"/>
      <c r="G6104" s="11"/>
    </row>
    <row r="6105" spans="3:7" x14ac:dyDescent="0.25">
      <c r="C6105" s="8"/>
      <c r="G6105" s="11"/>
    </row>
    <row r="6106" spans="3:7" x14ac:dyDescent="0.25">
      <c r="C6106" s="8"/>
      <c r="G6106" s="11"/>
    </row>
    <row r="6107" spans="3:7" x14ac:dyDescent="0.25">
      <c r="C6107" s="8"/>
      <c r="G6107" s="11"/>
    </row>
    <row r="6108" spans="3:7" x14ac:dyDescent="0.25">
      <c r="C6108" s="8"/>
      <c r="G6108" s="11"/>
    </row>
    <row r="6109" spans="3:7" x14ac:dyDescent="0.25">
      <c r="C6109" s="8"/>
      <c r="G6109" s="11"/>
    </row>
    <row r="6110" spans="3:7" x14ac:dyDescent="0.25">
      <c r="C6110" s="8"/>
      <c r="G6110" s="11"/>
    </row>
    <row r="6111" spans="3:7" x14ac:dyDescent="0.25">
      <c r="C6111" s="8"/>
      <c r="G6111" s="11"/>
    </row>
    <row r="6112" spans="3:7" x14ac:dyDescent="0.25">
      <c r="C6112" s="8"/>
      <c r="G6112" s="11"/>
    </row>
    <row r="6113" spans="3:7" x14ac:dyDescent="0.25">
      <c r="C6113" s="8"/>
      <c r="G6113" s="11"/>
    </row>
    <row r="6114" spans="3:7" x14ac:dyDescent="0.25">
      <c r="C6114" s="8"/>
      <c r="G6114" s="11"/>
    </row>
    <row r="6115" spans="3:7" x14ac:dyDescent="0.25">
      <c r="C6115" s="8"/>
      <c r="G6115" s="11"/>
    </row>
    <row r="6116" spans="3:7" x14ac:dyDescent="0.25">
      <c r="C6116" s="8"/>
      <c r="G6116" s="11"/>
    </row>
    <row r="6117" spans="3:7" x14ac:dyDescent="0.25">
      <c r="C6117" s="8"/>
      <c r="G6117" s="11"/>
    </row>
    <row r="6118" spans="3:7" x14ac:dyDescent="0.25">
      <c r="C6118" s="8"/>
      <c r="G6118" s="11"/>
    </row>
    <row r="6119" spans="3:7" x14ac:dyDescent="0.25">
      <c r="C6119" s="8"/>
      <c r="G6119" s="11"/>
    </row>
    <row r="6120" spans="3:7" x14ac:dyDescent="0.25">
      <c r="C6120" s="8"/>
      <c r="G6120" s="11"/>
    </row>
    <row r="6121" spans="3:7" x14ac:dyDescent="0.25">
      <c r="C6121" s="8"/>
      <c r="G6121" s="11"/>
    </row>
    <row r="6122" spans="3:7" x14ac:dyDescent="0.25">
      <c r="C6122" s="8"/>
      <c r="G6122" s="11"/>
    </row>
    <row r="6123" spans="3:7" x14ac:dyDescent="0.25">
      <c r="C6123" s="8"/>
      <c r="G6123" s="11"/>
    </row>
    <row r="6124" spans="3:7" x14ac:dyDescent="0.25">
      <c r="C6124" s="8"/>
      <c r="G6124" s="11"/>
    </row>
    <row r="6125" spans="3:7" x14ac:dyDescent="0.25">
      <c r="C6125" s="8"/>
      <c r="G6125" s="11"/>
    </row>
    <row r="6126" spans="3:7" x14ac:dyDescent="0.25">
      <c r="C6126" s="8"/>
      <c r="G6126" s="11"/>
    </row>
    <row r="6127" spans="3:7" x14ac:dyDescent="0.25">
      <c r="C6127" s="8"/>
      <c r="G6127" s="11"/>
    </row>
    <row r="6128" spans="3:7" x14ac:dyDescent="0.25">
      <c r="C6128" s="8"/>
      <c r="G6128" s="11"/>
    </row>
    <row r="6129" spans="3:7" x14ac:dyDescent="0.25">
      <c r="C6129" s="8"/>
      <c r="G6129" s="11"/>
    </row>
    <row r="6130" spans="3:7" x14ac:dyDescent="0.25">
      <c r="C6130" s="8"/>
      <c r="G6130" s="11"/>
    </row>
    <row r="6131" spans="3:7" x14ac:dyDescent="0.25">
      <c r="C6131" s="8"/>
      <c r="G6131" s="11"/>
    </row>
    <row r="6132" spans="3:7" x14ac:dyDescent="0.25">
      <c r="C6132" s="8"/>
      <c r="G6132" s="11"/>
    </row>
    <row r="6133" spans="3:7" x14ac:dyDescent="0.25">
      <c r="C6133" s="8"/>
      <c r="G6133" s="11"/>
    </row>
    <row r="6134" spans="3:7" x14ac:dyDescent="0.25">
      <c r="C6134" s="8"/>
      <c r="G6134" s="11"/>
    </row>
    <row r="6135" spans="3:7" x14ac:dyDescent="0.25">
      <c r="C6135" s="8"/>
      <c r="G6135" s="11"/>
    </row>
    <row r="6136" spans="3:7" x14ac:dyDescent="0.25">
      <c r="C6136" s="8"/>
      <c r="G6136" s="11"/>
    </row>
    <row r="6137" spans="3:7" x14ac:dyDescent="0.25">
      <c r="C6137" s="8"/>
      <c r="G6137" s="11"/>
    </row>
    <row r="6138" spans="3:7" x14ac:dyDescent="0.25">
      <c r="C6138" s="8"/>
      <c r="G6138" s="11"/>
    </row>
    <row r="6139" spans="3:7" x14ac:dyDescent="0.25">
      <c r="C6139" s="8"/>
      <c r="G6139" s="11"/>
    </row>
    <row r="6140" spans="3:7" x14ac:dyDescent="0.25">
      <c r="C6140" s="8"/>
      <c r="G6140" s="11"/>
    </row>
    <row r="6141" spans="3:7" x14ac:dyDescent="0.25">
      <c r="C6141" s="8"/>
      <c r="G6141" s="11"/>
    </row>
    <row r="6142" spans="3:7" x14ac:dyDescent="0.25">
      <c r="C6142" s="8"/>
      <c r="G6142" s="11"/>
    </row>
    <row r="6143" spans="3:7" x14ac:dyDescent="0.25">
      <c r="C6143" s="8"/>
      <c r="G6143" s="11"/>
    </row>
    <row r="6144" spans="3:7" x14ac:dyDescent="0.25">
      <c r="C6144" s="8"/>
      <c r="G6144" s="11"/>
    </row>
    <row r="6145" spans="3:7" x14ac:dyDescent="0.25">
      <c r="C6145" s="8"/>
      <c r="G6145" s="11"/>
    </row>
    <row r="6146" spans="3:7" x14ac:dyDescent="0.25">
      <c r="C6146" s="8"/>
      <c r="G6146" s="11"/>
    </row>
    <row r="6147" spans="3:7" x14ac:dyDescent="0.25">
      <c r="C6147" s="8"/>
      <c r="G6147" s="11"/>
    </row>
    <row r="6148" spans="3:7" x14ac:dyDescent="0.25">
      <c r="C6148" s="8"/>
      <c r="G6148" s="11"/>
    </row>
    <row r="6149" spans="3:7" x14ac:dyDescent="0.25">
      <c r="C6149" s="8"/>
      <c r="G6149" s="11"/>
    </row>
    <row r="6150" spans="3:7" x14ac:dyDescent="0.25">
      <c r="C6150" s="8"/>
      <c r="G6150" s="11"/>
    </row>
    <row r="6151" spans="3:7" x14ac:dyDescent="0.25">
      <c r="C6151" s="8"/>
      <c r="G6151" s="11"/>
    </row>
    <row r="6152" spans="3:7" x14ac:dyDescent="0.25">
      <c r="C6152" s="8"/>
      <c r="G6152" s="11"/>
    </row>
    <row r="6153" spans="3:7" x14ac:dyDescent="0.25">
      <c r="C6153" s="8"/>
      <c r="G6153" s="11"/>
    </row>
    <row r="6154" spans="3:7" x14ac:dyDescent="0.25">
      <c r="C6154" s="8"/>
      <c r="G6154" s="11"/>
    </row>
    <row r="6155" spans="3:7" x14ac:dyDescent="0.25">
      <c r="C6155" s="8"/>
      <c r="G6155" s="11"/>
    </row>
    <row r="6156" spans="3:7" x14ac:dyDescent="0.25">
      <c r="C6156" s="8"/>
      <c r="G6156" s="11"/>
    </row>
    <row r="6157" spans="3:7" x14ac:dyDescent="0.25">
      <c r="C6157" s="8"/>
      <c r="G6157" s="11"/>
    </row>
    <row r="6158" spans="3:7" x14ac:dyDescent="0.25">
      <c r="C6158" s="8"/>
      <c r="G6158" s="11"/>
    </row>
    <row r="6159" spans="3:7" x14ac:dyDescent="0.25">
      <c r="C6159" s="8"/>
      <c r="G6159" s="11"/>
    </row>
    <row r="6160" spans="3:7" x14ac:dyDescent="0.25">
      <c r="C6160" s="8"/>
      <c r="G6160" s="11"/>
    </row>
    <row r="6161" spans="3:7" x14ac:dyDescent="0.25">
      <c r="C6161" s="8"/>
      <c r="G6161" s="11"/>
    </row>
    <row r="6162" spans="3:7" x14ac:dyDescent="0.25">
      <c r="C6162" s="8"/>
      <c r="G6162" s="11"/>
    </row>
    <row r="6163" spans="3:7" x14ac:dyDescent="0.25">
      <c r="C6163" s="8"/>
      <c r="G6163" s="11"/>
    </row>
    <row r="6164" spans="3:7" x14ac:dyDescent="0.25">
      <c r="C6164" s="8"/>
      <c r="G6164" s="11"/>
    </row>
    <row r="6165" spans="3:7" x14ac:dyDescent="0.25">
      <c r="C6165" s="8"/>
      <c r="G6165" s="11"/>
    </row>
    <row r="6166" spans="3:7" x14ac:dyDescent="0.25">
      <c r="C6166" s="8"/>
      <c r="G6166" s="11"/>
    </row>
    <row r="6167" spans="3:7" x14ac:dyDescent="0.25">
      <c r="C6167" s="8"/>
      <c r="G6167" s="11"/>
    </row>
    <row r="6168" spans="3:7" x14ac:dyDescent="0.25">
      <c r="C6168" s="8"/>
      <c r="G6168" s="11"/>
    </row>
    <row r="6169" spans="3:7" x14ac:dyDescent="0.25">
      <c r="C6169" s="8"/>
      <c r="G6169" s="11"/>
    </row>
    <row r="6170" spans="3:7" x14ac:dyDescent="0.25">
      <c r="C6170" s="8"/>
      <c r="G6170" s="11"/>
    </row>
    <row r="6171" spans="3:7" x14ac:dyDescent="0.25">
      <c r="C6171" s="8"/>
      <c r="G6171" s="11"/>
    </row>
    <row r="6172" spans="3:7" x14ac:dyDescent="0.25">
      <c r="C6172" s="8"/>
      <c r="G6172" s="11"/>
    </row>
    <row r="6173" spans="3:7" x14ac:dyDescent="0.25">
      <c r="C6173" s="8"/>
      <c r="G6173" s="11"/>
    </row>
    <row r="6174" spans="3:7" x14ac:dyDescent="0.25">
      <c r="C6174" s="8"/>
      <c r="G6174" s="11"/>
    </row>
    <row r="6175" spans="3:7" x14ac:dyDescent="0.25">
      <c r="C6175" s="8"/>
      <c r="G6175" s="11"/>
    </row>
    <row r="6176" spans="3:7" x14ac:dyDescent="0.25">
      <c r="C6176" s="8"/>
      <c r="G6176" s="11"/>
    </row>
    <row r="6177" spans="3:7" x14ac:dyDescent="0.25">
      <c r="C6177" s="8"/>
      <c r="G6177" s="11"/>
    </row>
    <row r="6178" spans="3:7" x14ac:dyDescent="0.25">
      <c r="C6178" s="8"/>
      <c r="G6178" s="11"/>
    </row>
    <row r="6179" spans="3:7" x14ac:dyDescent="0.25">
      <c r="C6179" s="8"/>
      <c r="G6179" s="11"/>
    </row>
    <row r="6180" spans="3:7" x14ac:dyDescent="0.25">
      <c r="C6180" s="8"/>
      <c r="G6180" s="11"/>
    </row>
    <row r="6181" spans="3:7" x14ac:dyDescent="0.25">
      <c r="C6181" s="8"/>
      <c r="G6181" s="11"/>
    </row>
    <row r="6182" spans="3:7" x14ac:dyDescent="0.25">
      <c r="C6182" s="8"/>
      <c r="G6182" s="11"/>
    </row>
    <row r="6183" spans="3:7" x14ac:dyDescent="0.25">
      <c r="C6183" s="8"/>
      <c r="G6183" s="11"/>
    </row>
    <row r="6184" spans="3:7" x14ac:dyDescent="0.25">
      <c r="C6184" s="8"/>
      <c r="G6184" s="11"/>
    </row>
    <row r="6185" spans="3:7" x14ac:dyDescent="0.25">
      <c r="C6185" s="8"/>
      <c r="G6185" s="11"/>
    </row>
    <row r="6186" spans="3:7" x14ac:dyDescent="0.25">
      <c r="C6186" s="8"/>
      <c r="G6186" s="11"/>
    </row>
    <row r="6187" spans="3:7" x14ac:dyDescent="0.25">
      <c r="C6187" s="8"/>
      <c r="G6187" s="11"/>
    </row>
    <row r="6188" spans="3:7" x14ac:dyDescent="0.25">
      <c r="C6188" s="8"/>
      <c r="G6188" s="11"/>
    </row>
    <row r="6189" spans="3:7" x14ac:dyDescent="0.25">
      <c r="C6189" s="8"/>
      <c r="G6189" s="11"/>
    </row>
    <row r="6190" spans="3:7" x14ac:dyDescent="0.25">
      <c r="C6190" s="8"/>
      <c r="G6190" s="11"/>
    </row>
    <row r="6191" spans="3:7" x14ac:dyDescent="0.25">
      <c r="C6191" s="8"/>
      <c r="G6191" s="11"/>
    </row>
    <row r="6192" spans="3:7" x14ac:dyDescent="0.25">
      <c r="C6192" s="8"/>
      <c r="G6192" s="11"/>
    </row>
    <row r="6193" spans="3:7" x14ac:dyDescent="0.25">
      <c r="C6193" s="8"/>
      <c r="G6193" s="11"/>
    </row>
    <row r="6194" spans="3:7" x14ac:dyDescent="0.25">
      <c r="C6194" s="8"/>
      <c r="G6194" s="11"/>
    </row>
    <row r="6195" spans="3:7" x14ac:dyDescent="0.25">
      <c r="C6195" s="8"/>
      <c r="G6195" s="11"/>
    </row>
    <row r="6196" spans="3:7" x14ac:dyDescent="0.25">
      <c r="C6196" s="8"/>
      <c r="G6196" s="11"/>
    </row>
    <row r="6197" spans="3:7" x14ac:dyDescent="0.25">
      <c r="C6197" s="8"/>
      <c r="G6197" s="11"/>
    </row>
    <row r="6198" spans="3:7" x14ac:dyDescent="0.25">
      <c r="C6198" s="8"/>
      <c r="G6198" s="11"/>
    </row>
    <row r="6199" spans="3:7" x14ac:dyDescent="0.25">
      <c r="C6199" s="8"/>
      <c r="G6199" s="11"/>
    </row>
    <row r="6200" spans="3:7" x14ac:dyDescent="0.25">
      <c r="C6200" s="8"/>
      <c r="G6200" s="11"/>
    </row>
    <row r="6201" spans="3:7" x14ac:dyDescent="0.25">
      <c r="C6201" s="8"/>
      <c r="G6201" s="11"/>
    </row>
    <row r="6202" spans="3:7" x14ac:dyDescent="0.25">
      <c r="C6202" s="8"/>
      <c r="G6202" s="11"/>
    </row>
    <row r="6203" spans="3:7" x14ac:dyDescent="0.25">
      <c r="C6203" s="8"/>
      <c r="G6203" s="11"/>
    </row>
    <row r="6204" spans="3:7" x14ac:dyDescent="0.25">
      <c r="C6204" s="8"/>
      <c r="G6204" s="11"/>
    </row>
    <row r="6205" spans="3:7" x14ac:dyDescent="0.25">
      <c r="C6205" s="8"/>
      <c r="G6205" s="11"/>
    </row>
    <row r="6206" spans="3:7" x14ac:dyDescent="0.25">
      <c r="C6206" s="8"/>
      <c r="G6206" s="11"/>
    </row>
    <row r="6207" spans="3:7" x14ac:dyDescent="0.25">
      <c r="C6207" s="8"/>
      <c r="G6207" s="11"/>
    </row>
    <row r="6208" spans="3:7" x14ac:dyDescent="0.25">
      <c r="C6208" s="8"/>
      <c r="G6208" s="11"/>
    </row>
    <row r="6209" spans="3:7" x14ac:dyDescent="0.25">
      <c r="C6209" s="8"/>
      <c r="G6209" s="11"/>
    </row>
    <row r="6210" spans="3:7" x14ac:dyDescent="0.25">
      <c r="C6210" s="8"/>
      <c r="G6210" s="11"/>
    </row>
    <row r="6211" spans="3:7" x14ac:dyDescent="0.25">
      <c r="C6211" s="8"/>
      <c r="G6211" s="11"/>
    </row>
    <row r="6212" spans="3:7" x14ac:dyDescent="0.25">
      <c r="C6212" s="8"/>
      <c r="G6212" s="11"/>
    </row>
    <row r="6213" spans="3:7" x14ac:dyDescent="0.25">
      <c r="C6213" s="8"/>
      <c r="G6213" s="11"/>
    </row>
    <row r="6214" spans="3:7" x14ac:dyDescent="0.25">
      <c r="C6214" s="8"/>
      <c r="G6214" s="11"/>
    </row>
    <row r="6215" spans="3:7" x14ac:dyDescent="0.25">
      <c r="C6215" s="8"/>
      <c r="G6215" s="11"/>
    </row>
    <row r="6216" spans="3:7" x14ac:dyDescent="0.25">
      <c r="C6216" s="8"/>
      <c r="G6216" s="11"/>
    </row>
    <row r="6217" spans="3:7" x14ac:dyDescent="0.25">
      <c r="C6217" s="8"/>
      <c r="G6217" s="11"/>
    </row>
    <row r="6218" spans="3:7" x14ac:dyDescent="0.25">
      <c r="C6218" s="8"/>
      <c r="G6218" s="11"/>
    </row>
    <row r="6219" spans="3:7" x14ac:dyDescent="0.25">
      <c r="C6219" s="8"/>
      <c r="G6219" s="11"/>
    </row>
    <row r="6220" spans="3:7" x14ac:dyDescent="0.25">
      <c r="C6220" s="8"/>
      <c r="G6220" s="11"/>
    </row>
    <row r="6221" spans="3:7" x14ac:dyDescent="0.25">
      <c r="C6221" s="8"/>
      <c r="G6221" s="11"/>
    </row>
    <row r="6222" spans="3:7" x14ac:dyDescent="0.25">
      <c r="C6222" s="8"/>
      <c r="G6222" s="11"/>
    </row>
    <row r="6223" spans="3:7" x14ac:dyDescent="0.25">
      <c r="C6223" s="8"/>
      <c r="G6223" s="11"/>
    </row>
    <row r="6224" spans="3:7" x14ac:dyDescent="0.25">
      <c r="C6224" s="8"/>
      <c r="G6224" s="11"/>
    </row>
    <row r="6225" spans="3:7" x14ac:dyDescent="0.25">
      <c r="C6225" s="8"/>
      <c r="G6225" s="11"/>
    </row>
    <row r="6226" spans="3:7" x14ac:dyDescent="0.25">
      <c r="C6226" s="8"/>
      <c r="G6226" s="11"/>
    </row>
    <row r="6227" spans="3:7" x14ac:dyDescent="0.25">
      <c r="C6227" s="8"/>
      <c r="G6227" s="11"/>
    </row>
    <row r="6228" spans="3:7" x14ac:dyDescent="0.25">
      <c r="C6228" s="8"/>
      <c r="G6228" s="11"/>
    </row>
    <row r="6229" spans="3:7" x14ac:dyDescent="0.25">
      <c r="C6229" s="8"/>
      <c r="G6229" s="11"/>
    </row>
    <row r="6230" spans="3:7" x14ac:dyDescent="0.25">
      <c r="C6230" s="8"/>
      <c r="G6230" s="11"/>
    </row>
    <row r="6231" spans="3:7" x14ac:dyDescent="0.25">
      <c r="C6231" s="8"/>
      <c r="G6231" s="11"/>
    </row>
    <row r="6232" spans="3:7" x14ac:dyDescent="0.25">
      <c r="C6232" s="8"/>
      <c r="G6232" s="11"/>
    </row>
    <row r="6233" spans="3:7" x14ac:dyDescent="0.25">
      <c r="C6233" s="8"/>
      <c r="G6233" s="11"/>
    </row>
    <row r="6234" spans="3:7" x14ac:dyDescent="0.25">
      <c r="C6234" s="8"/>
      <c r="G6234" s="11"/>
    </row>
    <row r="6235" spans="3:7" x14ac:dyDescent="0.25">
      <c r="C6235" s="8"/>
      <c r="G6235" s="11"/>
    </row>
    <row r="6236" spans="3:7" x14ac:dyDescent="0.25">
      <c r="C6236" s="8"/>
      <c r="G6236" s="11"/>
    </row>
    <row r="6237" spans="3:7" x14ac:dyDescent="0.25">
      <c r="C6237" s="8"/>
      <c r="G6237" s="11"/>
    </row>
    <row r="6238" spans="3:7" x14ac:dyDescent="0.25">
      <c r="C6238" s="8"/>
      <c r="G6238" s="11"/>
    </row>
    <row r="6239" spans="3:7" x14ac:dyDescent="0.25">
      <c r="C6239" s="8"/>
      <c r="G6239" s="11"/>
    </row>
    <row r="6240" spans="3:7" x14ac:dyDescent="0.25">
      <c r="C6240" s="8"/>
      <c r="G6240" s="11"/>
    </row>
    <row r="6241" spans="3:7" x14ac:dyDescent="0.25">
      <c r="C6241" s="8"/>
      <c r="G6241" s="11"/>
    </row>
    <row r="6242" spans="3:7" x14ac:dyDescent="0.25">
      <c r="C6242" s="8"/>
      <c r="G6242" s="11"/>
    </row>
    <row r="6243" spans="3:7" x14ac:dyDescent="0.25">
      <c r="C6243" s="8"/>
      <c r="G6243" s="11"/>
    </row>
    <row r="6244" spans="3:7" x14ac:dyDescent="0.25">
      <c r="C6244" s="8"/>
      <c r="G6244" s="11"/>
    </row>
    <row r="6245" spans="3:7" x14ac:dyDescent="0.25">
      <c r="C6245" s="8"/>
      <c r="G6245" s="11"/>
    </row>
    <row r="6246" spans="3:7" x14ac:dyDescent="0.25">
      <c r="C6246" s="8"/>
      <c r="G6246" s="11"/>
    </row>
    <row r="6247" spans="3:7" x14ac:dyDescent="0.25">
      <c r="C6247" s="8"/>
      <c r="G6247" s="11"/>
    </row>
    <row r="6248" spans="3:7" x14ac:dyDescent="0.25">
      <c r="C6248" s="8"/>
      <c r="G6248" s="11"/>
    </row>
    <row r="6249" spans="3:7" x14ac:dyDescent="0.25">
      <c r="C6249" s="8"/>
      <c r="G6249" s="11"/>
    </row>
    <row r="6250" spans="3:7" x14ac:dyDescent="0.25">
      <c r="C6250" s="8"/>
      <c r="G6250" s="11"/>
    </row>
    <row r="6251" spans="3:7" x14ac:dyDescent="0.25">
      <c r="C6251" s="8"/>
      <c r="G6251" s="11"/>
    </row>
    <row r="6252" spans="3:7" x14ac:dyDescent="0.25">
      <c r="C6252" s="8"/>
      <c r="G6252" s="11"/>
    </row>
    <row r="6253" spans="3:7" x14ac:dyDescent="0.25">
      <c r="C6253" s="8"/>
      <c r="G6253" s="11"/>
    </row>
    <row r="6254" spans="3:7" x14ac:dyDescent="0.25">
      <c r="C6254" s="8"/>
      <c r="G6254" s="11"/>
    </row>
    <row r="6255" spans="3:7" x14ac:dyDescent="0.25">
      <c r="C6255" s="8"/>
      <c r="G6255" s="11"/>
    </row>
    <row r="6256" spans="3:7" x14ac:dyDescent="0.25">
      <c r="C6256" s="8"/>
      <c r="G6256" s="11"/>
    </row>
    <row r="6257" spans="3:7" x14ac:dyDescent="0.25">
      <c r="C6257" s="8"/>
      <c r="G6257" s="11"/>
    </row>
    <row r="6258" spans="3:7" x14ac:dyDescent="0.25">
      <c r="C6258" s="8"/>
      <c r="G6258" s="11"/>
    </row>
    <row r="6259" spans="3:7" x14ac:dyDescent="0.25">
      <c r="C6259" s="8"/>
      <c r="G6259" s="11"/>
    </row>
    <row r="6260" spans="3:7" x14ac:dyDescent="0.25">
      <c r="C6260" s="8"/>
      <c r="G6260" s="11"/>
    </row>
    <row r="6261" spans="3:7" x14ac:dyDescent="0.25">
      <c r="C6261" s="8"/>
      <c r="G6261" s="11"/>
    </row>
    <row r="6262" spans="3:7" x14ac:dyDescent="0.25">
      <c r="C6262" s="8"/>
      <c r="G6262" s="11"/>
    </row>
    <row r="6263" spans="3:7" x14ac:dyDescent="0.25">
      <c r="C6263" s="8"/>
      <c r="G6263" s="11"/>
    </row>
    <row r="6264" spans="3:7" x14ac:dyDescent="0.25">
      <c r="C6264" s="8"/>
      <c r="G6264" s="11"/>
    </row>
    <row r="6265" spans="3:7" x14ac:dyDescent="0.25">
      <c r="C6265" s="8"/>
      <c r="G6265" s="11"/>
    </row>
    <row r="6266" spans="3:7" x14ac:dyDescent="0.25">
      <c r="C6266" s="8"/>
      <c r="G6266" s="11"/>
    </row>
    <row r="6267" spans="3:7" x14ac:dyDescent="0.25">
      <c r="C6267" s="8"/>
      <c r="G6267" s="11"/>
    </row>
    <row r="6268" spans="3:7" x14ac:dyDescent="0.25">
      <c r="C6268" s="8"/>
      <c r="G6268" s="11"/>
    </row>
    <row r="6269" spans="3:7" x14ac:dyDescent="0.25">
      <c r="C6269" s="8"/>
      <c r="G6269" s="11"/>
    </row>
    <row r="6270" spans="3:7" x14ac:dyDescent="0.25">
      <c r="C6270" s="8"/>
      <c r="G6270" s="11"/>
    </row>
    <row r="6271" spans="3:7" x14ac:dyDescent="0.25">
      <c r="C6271" s="8"/>
      <c r="G6271" s="11"/>
    </row>
    <row r="6272" spans="3:7" x14ac:dyDescent="0.25">
      <c r="C6272" s="8"/>
      <c r="G6272" s="11"/>
    </row>
    <row r="6273" spans="3:7" x14ac:dyDescent="0.25">
      <c r="C6273" s="8"/>
      <c r="G6273" s="11"/>
    </row>
    <row r="6274" spans="3:7" x14ac:dyDescent="0.25">
      <c r="C6274" s="8"/>
      <c r="G6274" s="11"/>
    </row>
    <row r="6275" spans="3:7" x14ac:dyDescent="0.25">
      <c r="C6275" s="8"/>
      <c r="G6275" s="11"/>
    </row>
    <row r="6276" spans="3:7" x14ac:dyDescent="0.25">
      <c r="C6276" s="8"/>
      <c r="G6276" s="11"/>
    </row>
    <row r="6277" spans="3:7" x14ac:dyDescent="0.25">
      <c r="C6277" s="8"/>
      <c r="G6277" s="11"/>
    </row>
    <row r="6278" spans="3:7" x14ac:dyDescent="0.25">
      <c r="C6278" s="8"/>
      <c r="G6278" s="11"/>
    </row>
    <row r="6279" spans="3:7" x14ac:dyDescent="0.25">
      <c r="C6279" s="8"/>
      <c r="G6279" s="11"/>
    </row>
    <row r="6280" spans="3:7" x14ac:dyDescent="0.25">
      <c r="C6280" s="8"/>
      <c r="G6280" s="11"/>
    </row>
    <row r="6281" spans="3:7" x14ac:dyDescent="0.25">
      <c r="C6281" s="8"/>
      <c r="G6281" s="11"/>
    </row>
    <row r="6282" spans="3:7" x14ac:dyDescent="0.25">
      <c r="C6282" s="8"/>
      <c r="G6282" s="11"/>
    </row>
    <row r="6283" spans="3:7" x14ac:dyDescent="0.25">
      <c r="C6283" s="8"/>
      <c r="G6283" s="11"/>
    </row>
    <row r="6284" spans="3:7" x14ac:dyDescent="0.25">
      <c r="C6284" s="8"/>
      <c r="G6284" s="11"/>
    </row>
    <row r="6285" spans="3:7" x14ac:dyDescent="0.25">
      <c r="C6285" s="8"/>
      <c r="G6285" s="11"/>
    </row>
    <row r="6286" spans="3:7" x14ac:dyDescent="0.25">
      <c r="C6286" s="8"/>
      <c r="G6286" s="11"/>
    </row>
    <row r="6287" spans="3:7" x14ac:dyDescent="0.25">
      <c r="C6287" s="8"/>
      <c r="G6287" s="11"/>
    </row>
    <row r="6288" spans="3:7" x14ac:dyDescent="0.25">
      <c r="C6288" s="8"/>
      <c r="G6288" s="11"/>
    </row>
    <row r="6289" spans="3:7" x14ac:dyDescent="0.25">
      <c r="C6289" s="8"/>
      <c r="G6289" s="11"/>
    </row>
    <row r="6290" spans="3:7" x14ac:dyDescent="0.25">
      <c r="C6290" s="8"/>
      <c r="G6290" s="11"/>
    </row>
    <row r="6291" spans="3:7" x14ac:dyDescent="0.25">
      <c r="C6291" s="8"/>
      <c r="G6291" s="11"/>
    </row>
    <row r="6292" spans="3:7" x14ac:dyDescent="0.25">
      <c r="C6292" s="8"/>
      <c r="G6292" s="11"/>
    </row>
    <row r="6293" spans="3:7" x14ac:dyDescent="0.25">
      <c r="C6293" s="8"/>
      <c r="G6293" s="11"/>
    </row>
    <row r="6294" spans="3:7" x14ac:dyDescent="0.25">
      <c r="C6294" s="8"/>
      <c r="G6294" s="11"/>
    </row>
    <row r="6295" spans="3:7" x14ac:dyDescent="0.25">
      <c r="C6295" s="8"/>
      <c r="G6295" s="11"/>
    </row>
    <row r="6296" spans="3:7" x14ac:dyDescent="0.25">
      <c r="C6296" s="8"/>
      <c r="G6296" s="11"/>
    </row>
    <row r="6297" spans="3:7" x14ac:dyDescent="0.25">
      <c r="C6297" s="8"/>
      <c r="G6297" s="11"/>
    </row>
    <row r="6298" spans="3:7" x14ac:dyDescent="0.25">
      <c r="C6298" s="8"/>
      <c r="G6298" s="11"/>
    </row>
    <row r="6299" spans="3:7" x14ac:dyDescent="0.25">
      <c r="C6299" s="8"/>
      <c r="G6299" s="11"/>
    </row>
    <row r="6300" spans="3:7" x14ac:dyDescent="0.25">
      <c r="C6300" s="8"/>
      <c r="G6300" s="11"/>
    </row>
    <row r="6301" spans="3:7" x14ac:dyDescent="0.25">
      <c r="C6301" s="8"/>
      <c r="G6301" s="11"/>
    </row>
    <row r="6302" spans="3:7" x14ac:dyDescent="0.25">
      <c r="C6302" s="8"/>
      <c r="G6302" s="11"/>
    </row>
    <row r="6303" spans="3:7" x14ac:dyDescent="0.25">
      <c r="C6303" s="8"/>
      <c r="G6303" s="11"/>
    </row>
    <row r="6304" spans="3:7" x14ac:dyDescent="0.25">
      <c r="C6304" s="8"/>
      <c r="G6304" s="11"/>
    </row>
    <row r="6305" spans="3:7" x14ac:dyDescent="0.25">
      <c r="C6305" s="8"/>
      <c r="G6305" s="11"/>
    </row>
    <row r="6306" spans="3:7" x14ac:dyDescent="0.25">
      <c r="C6306" s="8"/>
      <c r="G6306" s="11"/>
    </row>
    <row r="6307" spans="3:7" x14ac:dyDescent="0.25">
      <c r="C6307" s="8"/>
      <c r="G6307" s="11"/>
    </row>
    <row r="6308" spans="3:7" x14ac:dyDescent="0.25">
      <c r="C6308" s="8"/>
      <c r="G6308" s="11"/>
    </row>
    <row r="6309" spans="3:7" x14ac:dyDescent="0.25">
      <c r="C6309" s="8"/>
      <c r="G6309" s="11"/>
    </row>
    <row r="6310" spans="3:7" x14ac:dyDescent="0.25">
      <c r="C6310" s="8"/>
      <c r="G6310" s="11"/>
    </row>
    <row r="6311" spans="3:7" x14ac:dyDescent="0.25">
      <c r="C6311" s="8"/>
      <c r="G6311" s="11"/>
    </row>
    <row r="6312" spans="3:7" x14ac:dyDescent="0.25">
      <c r="C6312" s="8"/>
      <c r="G6312" s="11"/>
    </row>
    <row r="6313" spans="3:7" x14ac:dyDescent="0.25">
      <c r="C6313" s="8"/>
      <c r="G6313" s="11"/>
    </row>
    <row r="6314" spans="3:7" x14ac:dyDescent="0.25">
      <c r="C6314" s="8"/>
      <c r="G6314" s="11"/>
    </row>
    <row r="6315" spans="3:7" x14ac:dyDescent="0.25">
      <c r="C6315" s="8"/>
      <c r="G6315" s="11"/>
    </row>
    <row r="6316" spans="3:7" x14ac:dyDescent="0.25">
      <c r="C6316" s="8"/>
      <c r="G6316" s="11"/>
    </row>
    <row r="6317" spans="3:7" x14ac:dyDescent="0.25">
      <c r="C6317" s="8"/>
      <c r="G6317" s="11"/>
    </row>
    <row r="6318" spans="3:7" x14ac:dyDescent="0.25">
      <c r="C6318" s="8"/>
      <c r="G6318" s="11"/>
    </row>
    <row r="6319" spans="3:7" x14ac:dyDescent="0.25">
      <c r="C6319" s="8"/>
      <c r="G6319" s="11"/>
    </row>
    <row r="6320" spans="3:7" x14ac:dyDescent="0.25">
      <c r="C6320" s="8"/>
      <c r="G6320" s="11"/>
    </row>
    <row r="6321" spans="3:7" x14ac:dyDescent="0.25">
      <c r="C6321" s="8"/>
      <c r="G6321" s="11"/>
    </row>
    <row r="6322" spans="3:7" x14ac:dyDescent="0.25">
      <c r="C6322" s="8"/>
      <c r="G6322" s="11"/>
    </row>
    <row r="6323" spans="3:7" x14ac:dyDescent="0.25">
      <c r="C6323" s="8"/>
      <c r="G6323" s="11"/>
    </row>
    <row r="6324" spans="3:7" x14ac:dyDescent="0.25">
      <c r="C6324" s="8"/>
      <c r="G6324" s="11"/>
    </row>
    <row r="6325" spans="3:7" x14ac:dyDescent="0.25">
      <c r="C6325" s="8"/>
      <c r="G6325" s="11"/>
    </row>
    <row r="6326" spans="3:7" x14ac:dyDescent="0.25">
      <c r="C6326" s="8"/>
      <c r="G6326" s="11"/>
    </row>
    <row r="6327" spans="3:7" x14ac:dyDescent="0.25">
      <c r="C6327" s="8"/>
      <c r="G6327" s="11"/>
    </row>
    <row r="6328" spans="3:7" x14ac:dyDescent="0.25">
      <c r="C6328" s="8"/>
      <c r="G6328" s="11"/>
    </row>
    <row r="6329" spans="3:7" x14ac:dyDescent="0.25">
      <c r="C6329" s="8"/>
      <c r="G6329" s="11"/>
    </row>
    <row r="6330" spans="3:7" x14ac:dyDescent="0.25">
      <c r="C6330" s="8"/>
      <c r="G6330" s="11"/>
    </row>
    <row r="6331" spans="3:7" x14ac:dyDescent="0.25">
      <c r="C6331" s="8"/>
      <c r="G6331" s="11"/>
    </row>
    <row r="6332" spans="3:7" x14ac:dyDescent="0.25">
      <c r="C6332" s="8"/>
      <c r="G6332" s="11"/>
    </row>
    <row r="6333" spans="3:7" x14ac:dyDescent="0.25">
      <c r="C6333" s="8"/>
      <c r="G6333" s="11"/>
    </row>
    <row r="6334" spans="3:7" x14ac:dyDescent="0.25">
      <c r="C6334" s="8"/>
      <c r="G6334" s="11"/>
    </row>
    <row r="6335" spans="3:7" x14ac:dyDescent="0.25">
      <c r="C6335" s="8"/>
      <c r="G6335" s="11"/>
    </row>
    <row r="6336" spans="3:7" x14ac:dyDescent="0.25">
      <c r="C6336" s="8"/>
      <c r="G6336" s="11"/>
    </row>
    <row r="6337" spans="3:7" x14ac:dyDescent="0.25">
      <c r="C6337" s="8"/>
      <c r="G6337" s="11"/>
    </row>
    <row r="6338" spans="3:7" x14ac:dyDescent="0.25">
      <c r="C6338" s="8"/>
      <c r="G6338" s="11"/>
    </row>
    <row r="6339" spans="3:7" x14ac:dyDescent="0.25">
      <c r="C6339" s="8"/>
      <c r="G6339" s="11"/>
    </row>
    <row r="6340" spans="3:7" x14ac:dyDescent="0.25">
      <c r="C6340" s="8"/>
      <c r="G6340" s="11"/>
    </row>
    <row r="6341" spans="3:7" x14ac:dyDescent="0.25">
      <c r="C6341" s="8"/>
      <c r="G6341" s="11"/>
    </row>
    <row r="6342" spans="3:7" x14ac:dyDescent="0.25">
      <c r="C6342" s="8"/>
      <c r="G6342" s="11"/>
    </row>
    <row r="6343" spans="3:7" x14ac:dyDescent="0.25">
      <c r="C6343" s="8"/>
      <c r="G6343" s="11"/>
    </row>
    <row r="6344" spans="3:7" x14ac:dyDescent="0.25">
      <c r="C6344" s="8"/>
      <c r="G6344" s="11"/>
    </row>
    <row r="6345" spans="3:7" x14ac:dyDescent="0.25">
      <c r="C6345" s="8"/>
      <c r="G6345" s="11"/>
    </row>
    <row r="6346" spans="3:7" x14ac:dyDescent="0.25">
      <c r="C6346" s="8"/>
      <c r="G6346" s="11"/>
    </row>
    <row r="6347" spans="3:7" x14ac:dyDescent="0.25">
      <c r="C6347" s="8"/>
      <c r="G6347" s="11"/>
    </row>
    <row r="6348" spans="3:7" x14ac:dyDescent="0.25">
      <c r="C6348" s="8"/>
      <c r="G6348" s="11"/>
    </row>
    <row r="6349" spans="3:7" x14ac:dyDescent="0.25">
      <c r="C6349" s="8"/>
      <c r="G6349" s="11"/>
    </row>
    <row r="6350" spans="3:7" x14ac:dyDescent="0.25">
      <c r="C6350" s="8"/>
      <c r="G6350" s="11"/>
    </row>
    <row r="6351" spans="3:7" x14ac:dyDescent="0.25">
      <c r="C6351" s="8"/>
      <c r="G6351" s="11"/>
    </row>
    <row r="6352" spans="3:7" x14ac:dyDescent="0.25">
      <c r="C6352" s="8"/>
      <c r="G6352" s="11"/>
    </row>
    <row r="6353" spans="3:7" x14ac:dyDescent="0.25">
      <c r="C6353" s="8"/>
      <c r="G6353" s="11"/>
    </row>
    <row r="6354" spans="3:7" x14ac:dyDescent="0.25">
      <c r="C6354" s="8"/>
      <c r="G6354" s="11"/>
    </row>
    <row r="6355" spans="3:7" x14ac:dyDescent="0.25">
      <c r="C6355" s="8"/>
      <c r="G6355" s="11"/>
    </row>
    <row r="6356" spans="3:7" x14ac:dyDescent="0.25">
      <c r="C6356" s="8"/>
      <c r="G6356" s="11"/>
    </row>
    <row r="6357" spans="3:7" x14ac:dyDescent="0.25">
      <c r="C6357" s="8"/>
      <c r="G6357" s="11"/>
    </row>
    <row r="6358" spans="3:7" x14ac:dyDescent="0.25">
      <c r="C6358" s="8"/>
      <c r="G6358" s="11"/>
    </row>
    <row r="6359" spans="3:7" x14ac:dyDescent="0.25">
      <c r="C6359" s="8"/>
      <c r="G6359" s="11"/>
    </row>
    <row r="6360" spans="3:7" x14ac:dyDescent="0.25">
      <c r="C6360" s="8"/>
      <c r="G6360" s="11"/>
    </row>
    <row r="6361" spans="3:7" x14ac:dyDescent="0.25">
      <c r="C6361" s="8"/>
      <c r="G6361" s="11"/>
    </row>
    <row r="6362" spans="3:7" x14ac:dyDescent="0.25">
      <c r="C6362" s="8"/>
      <c r="G6362" s="11"/>
    </row>
    <row r="6363" spans="3:7" x14ac:dyDescent="0.25">
      <c r="C6363" s="8"/>
      <c r="G6363" s="11"/>
    </row>
    <row r="6364" spans="3:7" x14ac:dyDescent="0.25">
      <c r="C6364" s="8"/>
      <c r="G6364" s="11"/>
    </row>
    <row r="6365" spans="3:7" x14ac:dyDescent="0.25">
      <c r="C6365" s="8"/>
      <c r="G6365" s="11"/>
    </row>
    <row r="6366" spans="3:7" x14ac:dyDescent="0.25">
      <c r="C6366" s="8"/>
      <c r="G6366" s="11"/>
    </row>
    <row r="6367" spans="3:7" x14ac:dyDescent="0.25">
      <c r="C6367" s="8"/>
      <c r="G6367" s="11"/>
    </row>
    <row r="6368" spans="3:7" x14ac:dyDescent="0.25">
      <c r="C6368" s="8"/>
      <c r="G6368" s="11"/>
    </row>
    <row r="6369" spans="3:7" x14ac:dyDescent="0.25">
      <c r="C6369" s="8"/>
      <c r="G6369" s="11"/>
    </row>
    <row r="6370" spans="3:7" x14ac:dyDescent="0.25">
      <c r="C6370" s="8"/>
      <c r="G6370" s="11"/>
    </row>
    <row r="6371" spans="3:7" x14ac:dyDescent="0.25">
      <c r="C6371" s="8"/>
      <c r="G6371" s="11"/>
    </row>
    <row r="6372" spans="3:7" x14ac:dyDescent="0.25">
      <c r="C6372" s="8"/>
      <c r="G6372" s="11"/>
    </row>
    <row r="6373" spans="3:7" x14ac:dyDescent="0.25">
      <c r="C6373" s="8"/>
      <c r="G6373" s="11"/>
    </row>
    <row r="6374" spans="3:7" x14ac:dyDescent="0.25">
      <c r="C6374" s="8"/>
      <c r="G6374" s="11"/>
    </row>
    <row r="6375" spans="3:7" x14ac:dyDescent="0.25">
      <c r="C6375" s="8"/>
      <c r="G6375" s="11"/>
    </row>
    <row r="6376" spans="3:7" x14ac:dyDescent="0.25">
      <c r="C6376" s="8"/>
      <c r="G6376" s="11"/>
    </row>
    <row r="6377" spans="3:7" x14ac:dyDescent="0.25">
      <c r="C6377" s="8"/>
      <c r="G6377" s="11"/>
    </row>
    <row r="6378" spans="3:7" x14ac:dyDescent="0.25">
      <c r="C6378" s="8"/>
      <c r="G6378" s="11"/>
    </row>
    <row r="6379" spans="3:7" x14ac:dyDescent="0.25">
      <c r="C6379" s="8"/>
      <c r="G6379" s="11"/>
    </row>
    <row r="6380" spans="3:7" x14ac:dyDescent="0.25">
      <c r="C6380" s="8"/>
      <c r="G6380" s="11"/>
    </row>
    <row r="6381" spans="3:7" x14ac:dyDescent="0.25">
      <c r="C6381" s="8"/>
      <c r="G6381" s="11"/>
    </row>
    <row r="6382" spans="3:7" x14ac:dyDescent="0.25">
      <c r="C6382" s="8"/>
      <c r="G6382" s="11"/>
    </row>
    <row r="6383" spans="3:7" x14ac:dyDescent="0.25">
      <c r="C6383" s="8"/>
      <c r="G6383" s="11"/>
    </row>
    <row r="6384" spans="3:7" x14ac:dyDescent="0.25">
      <c r="C6384" s="8"/>
      <c r="G6384" s="11"/>
    </row>
    <row r="6385" spans="3:7" x14ac:dyDescent="0.25">
      <c r="C6385" s="8"/>
      <c r="G6385" s="11"/>
    </row>
    <row r="6386" spans="3:7" x14ac:dyDescent="0.25">
      <c r="C6386" s="8"/>
      <c r="G6386" s="11"/>
    </row>
    <row r="6387" spans="3:7" x14ac:dyDescent="0.25">
      <c r="C6387" s="8"/>
      <c r="G6387" s="11"/>
    </row>
    <row r="6388" spans="3:7" x14ac:dyDescent="0.25">
      <c r="C6388" s="8"/>
      <c r="G6388" s="11"/>
    </row>
    <row r="6389" spans="3:7" x14ac:dyDescent="0.25">
      <c r="C6389" s="8"/>
      <c r="G6389" s="11"/>
    </row>
    <row r="6390" spans="3:7" x14ac:dyDescent="0.25">
      <c r="C6390" s="8"/>
      <c r="G6390" s="11"/>
    </row>
    <row r="6391" spans="3:7" x14ac:dyDescent="0.25">
      <c r="C6391" s="8"/>
      <c r="G6391" s="11"/>
    </row>
    <row r="6392" spans="3:7" x14ac:dyDescent="0.25">
      <c r="C6392" s="8"/>
      <c r="G6392" s="11"/>
    </row>
    <row r="6393" spans="3:7" x14ac:dyDescent="0.25">
      <c r="C6393" s="8"/>
      <c r="G6393" s="11"/>
    </row>
    <row r="6394" spans="3:7" x14ac:dyDescent="0.25">
      <c r="C6394" s="8"/>
      <c r="G6394" s="11"/>
    </row>
    <row r="6395" spans="3:7" x14ac:dyDescent="0.25">
      <c r="C6395" s="8"/>
      <c r="G6395" s="11"/>
    </row>
    <row r="6396" spans="3:7" x14ac:dyDescent="0.25">
      <c r="C6396" s="8"/>
      <c r="G6396" s="11"/>
    </row>
    <row r="6397" spans="3:7" x14ac:dyDescent="0.25">
      <c r="C6397" s="8"/>
      <c r="G6397" s="11"/>
    </row>
    <row r="6398" spans="3:7" x14ac:dyDescent="0.25">
      <c r="C6398" s="8"/>
      <c r="G6398" s="11"/>
    </row>
    <row r="6399" spans="3:7" x14ac:dyDescent="0.25">
      <c r="C6399" s="8"/>
      <c r="G6399" s="11"/>
    </row>
    <row r="6400" spans="3:7" x14ac:dyDescent="0.25">
      <c r="C6400" s="8"/>
      <c r="G6400" s="11"/>
    </row>
    <row r="6401" spans="3:7" x14ac:dyDescent="0.25">
      <c r="C6401" s="8"/>
      <c r="G6401" s="11"/>
    </row>
    <row r="6402" spans="3:7" x14ac:dyDescent="0.25">
      <c r="C6402" s="8"/>
      <c r="G6402" s="11"/>
    </row>
    <row r="6403" spans="3:7" x14ac:dyDescent="0.25">
      <c r="C6403" s="8"/>
      <c r="G6403" s="11"/>
    </row>
    <row r="6404" spans="3:7" x14ac:dyDescent="0.25">
      <c r="C6404" s="8"/>
      <c r="G6404" s="11"/>
    </row>
    <row r="6405" spans="3:7" x14ac:dyDescent="0.25">
      <c r="C6405" s="8"/>
      <c r="G6405" s="11"/>
    </row>
    <row r="6406" spans="3:7" x14ac:dyDescent="0.25">
      <c r="C6406" s="8"/>
      <c r="G6406" s="11"/>
    </row>
    <row r="6407" spans="3:7" x14ac:dyDescent="0.25">
      <c r="C6407" s="8"/>
      <c r="G6407" s="11"/>
    </row>
    <row r="6408" spans="3:7" x14ac:dyDescent="0.25">
      <c r="C6408" s="8"/>
      <c r="G6408" s="11"/>
    </row>
    <row r="6409" spans="3:7" x14ac:dyDescent="0.25">
      <c r="C6409" s="8"/>
      <c r="G6409" s="11"/>
    </row>
    <row r="6410" spans="3:7" x14ac:dyDescent="0.25">
      <c r="C6410" s="8"/>
      <c r="G6410" s="11"/>
    </row>
    <row r="6411" spans="3:7" x14ac:dyDescent="0.25">
      <c r="C6411" s="8"/>
      <c r="G6411" s="11"/>
    </row>
    <row r="6412" spans="3:7" x14ac:dyDescent="0.25">
      <c r="C6412" s="8"/>
      <c r="G6412" s="11"/>
    </row>
    <row r="6413" spans="3:7" x14ac:dyDescent="0.25">
      <c r="C6413" s="8"/>
      <c r="G6413" s="11"/>
    </row>
    <row r="6414" spans="3:7" x14ac:dyDescent="0.25">
      <c r="C6414" s="8"/>
      <c r="G6414" s="11"/>
    </row>
    <row r="6415" spans="3:7" x14ac:dyDescent="0.25">
      <c r="C6415" s="8"/>
      <c r="G6415" s="11"/>
    </row>
    <row r="6416" spans="3:7" x14ac:dyDescent="0.25">
      <c r="C6416" s="8"/>
      <c r="G6416" s="11"/>
    </row>
    <row r="6417" spans="3:7" x14ac:dyDescent="0.25">
      <c r="C6417" s="8"/>
      <c r="G6417" s="11"/>
    </row>
    <row r="6418" spans="3:7" x14ac:dyDescent="0.25">
      <c r="C6418" s="8"/>
      <c r="G6418" s="11"/>
    </row>
    <row r="6419" spans="3:7" x14ac:dyDescent="0.25">
      <c r="C6419" s="8"/>
      <c r="G6419" s="11"/>
    </row>
    <row r="6420" spans="3:7" x14ac:dyDescent="0.25">
      <c r="C6420" s="8"/>
      <c r="G6420" s="11"/>
    </row>
    <row r="6421" spans="3:7" x14ac:dyDescent="0.25">
      <c r="C6421" s="8"/>
      <c r="G6421" s="11"/>
    </row>
    <row r="6422" spans="3:7" x14ac:dyDescent="0.25">
      <c r="C6422" s="8"/>
      <c r="G6422" s="11"/>
    </row>
    <row r="6423" spans="3:7" x14ac:dyDescent="0.25">
      <c r="C6423" s="8"/>
      <c r="G6423" s="11"/>
    </row>
    <row r="6424" spans="3:7" x14ac:dyDescent="0.25">
      <c r="C6424" s="8"/>
      <c r="G6424" s="11"/>
    </row>
    <row r="6425" spans="3:7" x14ac:dyDescent="0.25">
      <c r="C6425" s="8"/>
      <c r="G6425" s="11"/>
    </row>
    <row r="6426" spans="3:7" x14ac:dyDescent="0.25">
      <c r="C6426" s="8"/>
      <c r="G6426" s="11"/>
    </row>
    <row r="6427" spans="3:7" x14ac:dyDescent="0.25">
      <c r="C6427" s="8"/>
      <c r="G6427" s="11"/>
    </row>
    <row r="6428" spans="3:7" x14ac:dyDescent="0.25">
      <c r="C6428" s="8"/>
      <c r="G6428" s="11"/>
    </row>
    <row r="6429" spans="3:7" x14ac:dyDescent="0.25">
      <c r="C6429" s="8"/>
      <c r="G6429" s="11"/>
    </row>
    <row r="6430" spans="3:7" x14ac:dyDescent="0.25">
      <c r="C6430" s="8"/>
      <c r="G6430" s="11"/>
    </row>
    <row r="6431" spans="3:7" x14ac:dyDescent="0.25">
      <c r="C6431" s="8"/>
      <c r="G6431" s="11"/>
    </row>
    <row r="6432" spans="3:7" x14ac:dyDescent="0.25">
      <c r="C6432" s="8"/>
      <c r="G6432" s="11"/>
    </row>
    <row r="6433" spans="3:7" x14ac:dyDescent="0.25">
      <c r="C6433" s="8"/>
      <c r="G6433" s="11"/>
    </row>
    <row r="6434" spans="3:7" x14ac:dyDescent="0.25">
      <c r="C6434" s="8"/>
      <c r="G6434" s="11"/>
    </row>
    <row r="6435" spans="3:7" x14ac:dyDescent="0.25">
      <c r="C6435" s="8"/>
      <c r="G6435" s="11"/>
    </row>
    <row r="6436" spans="3:7" x14ac:dyDescent="0.25">
      <c r="C6436" s="8"/>
      <c r="G6436" s="11"/>
    </row>
    <row r="6437" spans="3:7" x14ac:dyDescent="0.25">
      <c r="C6437" s="8"/>
      <c r="G6437" s="11"/>
    </row>
    <row r="6438" spans="3:7" x14ac:dyDescent="0.25">
      <c r="C6438" s="8"/>
      <c r="G6438" s="11"/>
    </row>
    <row r="6439" spans="3:7" x14ac:dyDescent="0.25">
      <c r="C6439" s="8"/>
      <c r="G6439" s="11"/>
    </row>
    <row r="6440" spans="3:7" x14ac:dyDescent="0.25">
      <c r="C6440" s="8"/>
      <c r="G6440" s="11"/>
    </row>
    <row r="6441" spans="3:7" x14ac:dyDescent="0.25">
      <c r="C6441" s="8"/>
      <c r="G6441" s="11"/>
    </row>
    <row r="6442" spans="3:7" x14ac:dyDescent="0.25">
      <c r="C6442" s="8"/>
      <c r="G6442" s="11"/>
    </row>
    <row r="6443" spans="3:7" x14ac:dyDescent="0.25">
      <c r="C6443" s="8"/>
      <c r="G6443" s="11"/>
    </row>
    <row r="6444" spans="3:7" x14ac:dyDescent="0.25">
      <c r="C6444" s="8"/>
      <c r="G6444" s="11"/>
    </row>
    <row r="6445" spans="3:7" x14ac:dyDescent="0.25">
      <c r="C6445" s="8"/>
      <c r="G6445" s="11"/>
    </row>
    <row r="6446" spans="3:7" x14ac:dyDescent="0.25">
      <c r="C6446" s="8"/>
      <c r="G6446" s="11"/>
    </row>
    <row r="6447" spans="3:7" x14ac:dyDescent="0.25">
      <c r="C6447" s="8"/>
      <c r="G6447" s="11"/>
    </row>
    <row r="6448" spans="3:7" x14ac:dyDescent="0.25">
      <c r="C6448" s="8"/>
      <c r="G6448" s="11"/>
    </row>
    <row r="6449" spans="3:7" x14ac:dyDescent="0.25">
      <c r="C6449" s="8"/>
      <c r="G6449" s="11"/>
    </row>
    <row r="6450" spans="3:7" x14ac:dyDescent="0.25">
      <c r="C6450" s="8"/>
      <c r="G6450" s="11"/>
    </row>
    <row r="6451" spans="3:7" x14ac:dyDescent="0.25">
      <c r="C6451" s="8"/>
      <c r="G6451" s="11"/>
    </row>
    <row r="6452" spans="3:7" x14ac:dyDescent="0.25">
      <c r="C6452" s="8"/>
      <c r="G6452" s="11"/>
    </row>
    <row r="6453" spans="3:7" x14ac:dyDescent="0.25">
      <c r="C6453" s="8"/>
      <c r="G6453" s="11"/>
    </row>
    <row r="6454" spans="3:7" x14ac:dyDescent="0.25">
      <c r="C6454" s="8"/>
      <c r="G6454" s="11"/>
    </row>
    <row r="6455" spans="3:7" x14ac:dyDescent="0.25">
      <c r="C6455" s="8"/>
      <c r="G6455" s="11"/>
    </row>
    <row r="6456" spans="3:7" x14ac:dyDescent="0.25">
      <c r="C6456" s="8"/>
      <c r="G6456" s="11"/>
    </row>
    <row r="6457" spans="3:7" x14ac:dyDescent="0.25">
      <c r="C6457" s="8"/>
      <c r="G6457" s="11"/>
    </row>
    <row r="6458" spans="3:7" x14ac:dyDescent="0.25">
      <c r="C6458" s="8"/>
      <c r="G6458" s="11"/>
    </row>
    <row r="6459" spans="3:7" x14ac:dyDescent="0.25">
      <c r="C6459" s="8"/>
      <c r="G6459" s="11"/>
    </row>
    <row r="6460" spans="3:7" x14ac:dyDescent="0.25">
      <c r="C6460" s="8"/>
      <c r="G6460" s="11"/>
    </row>
    <row r="6461" spans="3:7" x14ac:dyDescent="0.25">
      <c r="C6461" s="8"/>
      <c r="G6461" s="11"/>
    </row>
    <row r="6462" spans="3:7" x14ac:dyDescent="0.25">
      <c r="C6462" s="8"/>
      <c r="G6462" s="11"/>
    </row>
    <row r="6463" spans="3:7" x14ac:dyDescent="0.25">
      <c r="C6463" s="8"/>
      <c r="G6463" s="11"/>
    </row>
    <row r="6464" spans="3:7" x14ac:dyDescent="0.25">
      <c r="C6464" s="8"/>
      <c r="G6464" s="11"/>
    </row>
    <row r="6465" spans="3:7" x14ac:dyDescent="0.25">
      <c r="C6465" s="8"/>
      <c r="G6465" s="11"/>
    </row>
    <row r="6466" spans="3:7" x14ac:dyDescent="0.25">
      <c r="C6466" s="8"/>
      <c r="G6466" s="11"/>
    </row>
    <row r="6467" spans="3:7" x14ac:dyDescent="0.25">
      <c r="C6467" s="8"/>
      <c r="G6467" s="11"/>
    </row>
    <row r="6468" spans="3:7" x14ac:dyDescent="0.25">
      <c r="C6468" s="8"/>
      <c r="G6468" s="11"/>
    </row>
    <row r="6469" spans="3:7" x14ac:dyDescent="0.25">
      <c r="C6469" s="8"/>
      <c r="G6469" s="11"/>
    </row>
    <row r="6470" spans="3:7" x14ac:dyDescent="0.25">
      <c r="C6470" s="8"/>
      <c r="G6470" s="11"/>
    </row>
    <row r="6471" spans="3:7" x14ac:dyDescent="0.25">
      <c r="C6471" s="8"/>
      <c r="G6471" s="11"/>
    </row>
    <row r="6472" spans="3:7" x14ac:dyDescent="0.25">
      <c r="C6472" s="8"/>
      <c r="G6472" s="11"/>
    </row>
    <row r="6473" spans="3:7" x14ac:dyDescent="0.25">
      <c r="C6473" s="8"/>
      <c r="G6473" s="11"/>
    </row>
    <row r="6474" spans="3:7" x14ac:dyDescent="0.25">
      <c r="C6474" s="8"/>
      <c r="G6474" s="11"/>
    </row>
    <row r="6475" spans="3:7" x14ac:dyDescent="0.25">
      <c r="C6475" s="8"/>
      <c r="G6475" s="11"/>
    </row>
    <row r="6476" spans="3:7" x14ac:dyDescent="0.25">
      <c r="C6476" s="8"/>
      <c r="G6476" s="11"/>
    </row>
    <row r="6477" spans="3:7" x14ac:dyDescent="0.25">
      <c r="C6477" s="8"/>
      <c r="G6477" s="11"/>
    </row>
    <row r="6478" spans="3:7" x14ac:dyDescent="0.25">
      <c r="C6478" s="8"/>
      <c r="G6478" s="11"/>
    </row>
    <row r="6479" spans="3:7" x14ac:dyDescent="0.25">
      <c r="C6479" s="8"/>
      <c r="G6479" s="11"/>
    </row>
    <row r="6480" spans="3:7" x14ac:dyDescent="0.25">
      <c r="C6480" s="8"/>
      <c r="G6480" s="11"/>
    </row>
    <row r="6481" spans="3:7" x14ac:dyDescent="0.25">
      <c r="C6481" s="8"/>
      <c r="G6481" s="11"/>
    </row>
    <row r="6482" spans="3:7" x14ac:dyDescent="0.25">
      <c r="C6482" s="8"/>
      <c r="G6482" s="11"/>
    </row>
    <row r="6483" spans="3:7" x14ac:dyDescent="0.25">
      <c r="C6483" s="8"/>
      <c r="G6483" s="11"/>
    </row>
    <row r="6484" spans="3:7" x14ac:dyDescent="0.25">
      <c r="C6484" s="8"/>
      <c r="G6484" s="11"/>
    </row>
    <row r="6485" spans="3:7" x14ac:dyDescent="0.25">
      <c r="C6485" s="8"/>
      <c r="G6485" s="11"/>
    </row>
    <row r="6486" spans="3:7" x14ac:dyDescent="0.25">
      <c r="C6486" s="8"/>
      <c r="G6486" s="11"/>
    </row>
    <row r="6487" spans="3:7" x14ac:dyDescent="0.25">
      <c r="C6487" s="8"/>
      <c r="G6487" s="11"/>
    </row>
    <row r="6488" spans="3:7" x14ac:dyDescent="0.25">
      <c r="C6488" s="8"/>
      <c r="G6488" s="11"/>
    </row>
    <row r="6489" spans="3:7" x14ac:dyDescent="0.25">
      <c r="C6489" s="8"/>
      <c r="G6489" s="11"/>
    </row>
    <row r="6490" spans="3:7" x14ac:dyDescent="0.25">
      <c r="C6490" s="8"/>
      <c r="G6490" s="11"/>
    </row>
    <row r="6491" spans="3:7" x14ac:dyDescent="0.25">
      <c r="C6491" s="8"/>
      <c r="G6491" s="11"/>
    </row>
    <row r="6492" spans="3:7" x14ac:dyDescent="0.25">
      <c r="C6492" s="8"/>
      <c r="G6492" s="11"/>
    </row>
    <row r="6493" spans="3:7" x14ac:dyDescent="0.25">
      <c r="C6493" s="8"/>
      <c r="G6493" s="11"/>
    </row>
    <row r="6494" spans="3:7" x14ac:dyDescent="0.25">
      <c r="C6494" s="8"/>
      <c r="G6494" s="11"/>
    </row>
    <row r="6495" spans="3:7" x14ac:dyDescent="0.25">
      <c r="C6495" s="8"/>
      <c r="G6495" s="11"/>
    </row>
    <row r="6496" spans="3:7" x14ac:dyDescent="0.25">
      <c r="C6496" s="8"/>
      <c r="G6496" s="11"/>
    </row>
    <row r="6497" spans="3:7" x14ac:dyDescent="0.25">
      <c r="C6497" s="8"/>
      <c r="G6497" s="11"/>
    </row>
    <row r="6498" spans="3:7" x14ac:dyDescent="0.25">
      <c r="C6498" s="8"/>
      <c r="G6498" s="11"/>
    </row>
    <row r="6499" spans="3:7" x14ac:dyDescent="0.25">
      <c r="C6499" s="8"/>
      <c r="G6499" s="11"/>
    </row>
    <row r="6500" spans="3:7" x14ac:dyDescent="0.25">
      <c r="C6500" s="8"/>
      <c r="G6500" s="11"/>
    </row>
    <row r="6501" spans="3:7" x14ac:dyDescent="0.25">
      <c r="C6501" s="8"/>
      <c r="G6501" s="11"/>
    </row>
    <row r="6502" spans="3:7" x14ac:dyDescent="0.25">
      <c r="C6502" s="8"/>
      <c r="G6502" s="11"/>
    </row>
    <row r="6503" spans="3:7" x14ac:dyDescent="0.25">
      <c r="C6503" s="8"/>
      <c r="G6503" s="11"/>
    </row>
    <row r="6504" spans="3:7" x14ac:dyDescent="0.25">
      <c r="C6504" s="8"/>
      <c r="G6504" s="11"/>
    </row>
    <row r="6505" spans="3:7" x14ac:dyDescent="0.25">
      <c r="C6505" s="8"/>
      <c r="G6505" s="11"/>
    </row>
    <row r="6506" spans="3:7" x14ac:dyDescent="0.25">
      <c r="C6506" s="8"/>
      <c r="G6506" s="11"/>
    </row>
    <row r="6507" spans="3:7" x14ac:dyDescent="0.25">
      <c r="C6507" s="8"/>
      <c r="G6507" s="11"/>
    </row>
    <row r="6508" spans="3:7" x14ac:dyDescent="0.25">
      <c r="C6508" s="8"/>
      <c r="G6508" s="11"/>
    </row>
    <row r="6509" spans="3:7" x14ac:dyDescent="0.25">
      <c r="C6509" s="8"/>
      <c r="G6509" s="11"/>
    </row>
    <row r="6510" spans="3:7" x14ac:dyDescent="0.25">
      <c r="C6510" s="8"/>
      <c r="G6510" s="11"/>
    </row>
    <row r="6511" spans="3:7" x14ac:dyDescent="0.25">
      <c r="C6511" s="8"/>
      <c r="G6511" s="11"/>
    </row>
    <row r="6512" spans="3:7" x14ac:dyDescent="0.25">
      <c r="C6512" s="8"/>
      <c r="G6512" s="11"/>
    </row>
    <row r="6513" spans="3:7" x14ac:dyDescent="0.25">
      <c r="C6513" s="8"/>
      <c r="G6513" s="11"/>
    </row>
    <row r="6514" spans="3:7" x14ac:dyDescent="0.25">
      <c r="C6514" s="8"/>
      <c r="G6514" s="11"/>
    </row>
    <row r="6515" spans="3:7" x14ac:dyDescent="0.25">
      <c r="C6515" s="8"/>
      <c r="G6515" s="11"/>
    </row>
    <row r="6516" spans="3:7" x14ac:dyDescent="0.25">
      <c r="C6516" s="8"/>
      <c r="G6516" s="11"/>
    </row>
    <row r="6517" spans="3:7" x14ac:dyDescent="0.25">
      <c r="C6517" s="8"/>
      <c r="G6517" s="11"/>
    </row>
    <row r="6518" spans="3:7" x14ac:dyDescent="0.25">
      <c r="C6518" s="8"/>
      <c r="G6518" s="11"/>
    </row>
    <row r="6519" spans="3:7" x14ac:dyDescent="0.25">
      <c r="C6519" s="8"/>
      <c r="G6519" s="11"/>
    </row>
    <row r="6520" spans="3:7" x14ac:dyDescent="0.25">
      <c r="C6520" s="8"/>
      <c r="G6520" s="11"/>
    </row>
    <row r="6521" spans="3:7" x14ac:dyDescent="0.25">
      <c r="C6521" s="8"/>
      <c r="G6521" s="11"/>
    </row>
    <row r="6522" spans="3:7" x14ac:dyDescent="0.25">
      <c r="C6522" s="8"/>
      <c r="G6522" s="11"/>
    </row>
    <row r="6523" spans="3:7" x14ac:dyDescent="0.25">
      <c r="C6523" s="8"/>
      <c r="G6523" s="11"/>
    </row>
    <row r="6524" spans="3:7" x14ac:dyDescent="0.25">
      <c r="C6524" s="8"/>
      <c r="G6524" s="11"/>
    </row>
    <row r="6525" spans="3:7" x14ac:dyDescent="0.25">
      <c r="C6525" s="8"/>
      <c r="G6525" s="11"/>
    </row>
    <row r="6526" spans="3:7" x14ac:dyDescent="0.25">
      <c r="C6526" s="8"/>
      <c r="G6526" s="11"/>
    </row>
    <row r="6527" spans="3:7" x14ac:dyDescent="0.25">
      <c r="C6527" s="8"/>
      <c r="G6527" s="11"/>
    </row>
    <row r="6528" spans="3:7" x14ac:dyDescent="0.25">
      <c r="C6528" s="8"/>
      <c r="G6528" s="11"/>
    </row>
    <row r="6529" spans="3:7" x14ac:dyDescent="0.25">
      <c r="C6529" s="8"/>
      <c r="G6529" s="11"/>
    </row>
    <row r="6530" spans="3:7" x14ac:dyDescent="0.25">
      <c r="C6530" s="8"/>
      <c r="G6530" s="11"/>
    </row>
    <row r="6531" spans="3:7" x14ac:dyDescent="0.25">
      <c r="C6531" s="8"/>
      <c r="G6531" s="11"/>
    </row>
    <row r="6532" spans="3:7" x14ac:dyDescent="0.25">
      <c r="C6532" s="8"/>
      <c r="G6532" s="11"/>
    </row>
    <row r="6533" spans="3:7" x14ac:dyDescent="0.25">
      <c r="C6533" s="8"/>
      <c r="G6533" s="11"/>
    </row>
    <row r="6534" spans="3:7" x14ac:dyDescent="0.25">
      <c r="C6534" s="8"/>
      <c r="G6534" s="11"/>
    </row>
    <row r="6535" spans="3:7" x14ac:dyDescent="0.25">
      <c r="C6535" s="8"/>
      <c r="G6535" s="11"/>
    </row>
    <row r="6536" spans="3:7" x14ac:dyDescent="0.25">
      <c r="C6536" s="8"/>
      <c r="G6536" s="11"/>
    </row>
    <row r="6537" spans="3:7" x14ac:dyDescent="0.25">
      <c r="C6537" s="8"/>
      <c r="G6537" s="11"/>
    </row>
    <row r="6538" spans="3:7" x14ac:dyDescent="0.25">
      <c r="C6538" s="8"/>
      <c r="G6538" s="11"/>
    </row>
    <row r="6539" spans="3:7" x14ac:dyDescent="0.25">
      <c r="C6539" s="8"/>
      <c r="G6539" s="11"/>
    </row>
    <row r="6540" spans="3:7" x14ac:dyDescent="0.25">
      <c r="C6540" s="8"/>
      <c r="G6540" s="11"/>
    </row>
    <row r="6541" spans="3:7" x14ac:dyDescent="0.25">
      <c r="C6541" s="8"/>
      <c r="G6541" s="11"/>
    </row>
    <row r="6542" spans="3:7" x14ac:dyDescent="0.25">
      <c r="C6542" s="8"/>
      <c r="G6542" s="11"/>
    </row>
    <row r="6543" spans="3:7" x14ac:dyDescent="0.25">
      <c r="C6543" s="8"/>
      <c r="G6543" s="11"/>
    </row>
    <row r="6544" spans="3:7" x14ac:dyDescent="0.25">
      <c r="C6544" s="8"/>
      <c r="G6544" s="11"/>
    </row>
    <row r="6545" spans="3:7" x14ac:dyDescent="0.25">
      <c r="C6545" s="8"/>
      <c r="G6545" s="11"/>
    </row>
    <row r="6546" spans="3:7" x14ac:dyDescent="0.25">
      <c r="C6546" s="8"/>
      <c r="G6546" s="11"/>
    </row>
    <row r="6547" spans="3:7" x14ac:dyDescent="0.25">
      <c r="C6547" s="8"/>
      <c r="G6547" s="11"/>
    </row>
    <row r="6548" spans="3:7" x14ac:dyDescent="0.25">
      <c r="C6548" s="8"/>
      <c r="G6548" s="11"/>
    </row>
    <row r="6549" spans="3:7" x14ac:dyDescent="0.25">
      <c r="C6549" s="8"/>
      <c r="G6549" s="11"/>
    </row>
    <row r="6550" spans="3:7" x14ac:dyDescent="0.25">
      <c r="C6550" s="8"/>
      <c r="G6550" s="11"/>
    </row>
    <row r="6551" spans="3:7" x14ac:dyDescent="0.25">
      <c r="C6551" s="8"/>
      <c r="G6551" s="11"/>
    </row>
    <row r="6552" spans="3:7" x14ac:dyDescent="0.25">
      <c r="C6552" s="8"/>
      <c r="G6552" s="11"/>
    </row>
    <row r="6553" spans="3:7" x14ac:dyDescent="0.25">
      <c r="C6553" s="8"/>
      <c r="G6553" s="11"/>
    </row>
    <row r="6554" spans="3:7" x14ac:dyDescent="0.25">
      <c r="C6554" s="8"/>
      <c r="G6554" s="11"/>
    </row>
    <row r="6555" spans="3:7" x14ac:dyDescent="0.25">
      <c r="C6555" s="8"/>
      <c r="G6555" s="11"/>
    </row>
    <row r="6556" spans="3:7" x14ac:dyDescent="0.25">
      <c r="C6556" s="8"/>
      <c r="G6556" s="11"/>
    </row>
    <row r="6557" spans="3:7" x14ac:dyDescent="0.25">
      <c r="C6557" s="8"/>
      <c r="G6557" s="11"/>
    </row>
    <row r="6558" spans="3:7" x14ac:dyDescent="0.25">
      <c r="C6558" s="8"/>
      <c r="G6558" s="11"/>
    </row>
    <row r="6559" spans="3:7" x14ac:dyDescent="0.25">
      <c r="C6559" s="8"/>
      <c r="G6559" s="11"/>
    </row>
    <row r="6560" spans="3:7" x14ac:dyDescent="0.25">
      <c r="C6560" s="8"/>
      <c r="G6560" s="11"/>
    </row>
    <row r="6561" spans="3:7" x14ac:dyDescent="0.25">
      <c r="C6561" s="8"/>
      <c r="G6561" s="11"/>
    </row>
    <row r="6562" spans="3:7" x14ac:dyDescent="0.25">
      <c r="C6562" s="8"/>
      <c r="G6562" s="11"/>
    </row>
    <row r="6563" spans="3:7" x14ac:dyDescent="0.25">
      <c r="C6563" s="8"/>
      <c r="G6563" s="11"/>
    </row>
    <row r="6564" spans="3:7" x14ac:dyDescent="0.25">
      <c r="C6564" s="8"/>
      <c r="G6564" s="11"/>
    </row>
    <row r="6565" spans="3:7" x14ac:dyDescent="0.25">
      <c r="C6565" s="8"/>
      <c r="G6565" s="11"/>
    </row>
    <row r="6566" spans="3:7" x14ac:dyDescent="0.25">
      <c r="C6566" s="8"/>
      <c r="G6566" s="11"/>
    </row>
    <row r="6567" spans="3:7" x14ac:dyDescent="0.25">
      <c r="C6567" s="8"/>
      <c r="G6567" s="11"/>
    </row>
    <row r="6568" spans="3:7" x14ac:dyDescent="0.25">
      <c r="C6568" s="8"/>
      <c r="G6568" s="11"/>
    </row>
    <row r="6569" spans="3:7" x14ac:dyDescent="0.25">
      <c r="C6569" s="8"/>
      <c r="G6569" s="11"/>
    </row>
    <row r="6570" spans="3:7" x14ac:dyDescent="0.25">
      <c r="C6570" s="8"/>
      <c r="G6570" s="11"/>
    </row>
    <row r="6571" spans="3:7" x14ac:dyDescent="0.25">
      <c r="C6571" s="8"/>
      <c r="G6571" s="11"/>
    </row>
    <row r="6572" spans="3:7" x14ac:dyDescent="0.25">
      <c r="C6572" s="8"/>
      <c r="G6572" s="11"/>
    </row>
    <row r="6573" spans="3:7" x14ac:dyDescent="0.25">
      <c r="C6573" s="8"/>
      <c r="G6573" s="11"/>
    </row>
    <row r="6574" spans="3:7" x14ac:dyDescent="0.25">
      <c r="C6574" s="8"/>
      <c r="G6574" s="11"/>
    </row>
    <row r="6575" spans="3:7" x14ac:dyDescent="0.25">
      <c r="C6575" s="8"/>
      <c r="G6575" s="11"/>
    </row>
    <row r="6576" spans="3:7" x14ac:dyDescent="0.25">
      <c r="C6576" s="8"/>
      <c r="G6576" s="11"/>
    </row>
    <row r="6577" spans="3:7" x14ac:dyDescent="0.25">
      <c r="C6577" s="8"/>
      <c r="G6577" s="11"/>
    </row>
    <row r="6578" spans="3:7" x14ac:dyDescent="0.25">
      <c r="C6578" s="8"/>
      <c r="G6578" s="11"/>
    </row>
    <row r="6579" spans="3:7" x14ac:dyDescent="0.25">
      <c r="C6579" s="8"/>
      <c r="G6579" s="11"/>
    </row>
    <row r="6580" spans="3:7" x14ac:dyDescent="0.25">
      <c r="C6580" s="8"/>
      <c r="G6580" s="11"/>
    </row>
    <row r="6581" spans="3:7" x14ac:dyDescent="0.25">
      <c r="C6581" s="8"/>
      <c r="G6581" s="11"/>
    </row>
    <row r="6582" spans="3:7" x14ac:dyDescent="0.25">
      <c r="C6582" s="8"/>
      <c r="G6582" s="11"/>
    </row>
    <row r="6583" spans="3:7" x14ac:dyDescent="0.25">
      <c r="C6583" s="8"/>
      <c r="G6583" s="11"/>
    </row>
    <row r="6584" spans="3:7" x14ac:dyDescent="0.25">
      <c r="C6584" s="8"/>
      <c r="G6584" s="11"/>
    </row>
    <row r="6585" spans="3:7" x14ac:dyDescent="0.25">
      <c r="C6585" s="8"/>
      <c r="G6585" s="11"/>
    </row>
    <row r="6586" spans="3:7" x14ac:dyDescent="0.25">
      <c r="C6586" s="8"/>
      <c r="G6586" s="11"/>
    </row>
    <row r="6587" spans="3:7" x14ac:dyDescent="0.25">
      <c r="C6587" s="8"/>
      <c r="G6587" s="11"/>
    </row>
    <row r="6588" spans="3:7" x14ac:dyDescent="0.25">
      <c r="C6588" s="8"/>
      <c r="G6588" s="11"/>
    </row>
    <row r="6589" spans="3:7" x14ac:dyDescent="0.25">
      <c r="C6589" s="8"/>
      <c r="G6589" s="11"/>
    </row>
    <row r="6590" spans="3:7" x14ac:dyDescent="0.25">
      <c r="C6590" s="8"/>
      <c r="G6590" s="11"/>
    </row>
    <row r="6591" spans="3:7" x14ac:dyDescent="0.25">
      <c r="C6591" s="8"/>
      <c r="G6591" s="11"/>
    </row>
    <row r="6592" spans="3:7" x14ac:dyDescent="0.25">
      <c r="C6592" s="8"/>
      <c r="G6592" s="11"/>
    </row>
    <row r="6593" spans="3:7" x14ac:dyDescent="0.25">
      <c r="C6593" s="8"/>
      <c r="G6593" s="11"/>
    </row>
    <row r="6594" spans="3:7" x14ac:dyDescent="0.25">
      <c r="C6594" s="8"/>
      <c r="G6594" s="11"/>
    </row>
    <row r="6595" spans="3:7" x14ac:dyDescent="0.25">
      <c r="C6595" s="8"/>
      <c r="G6595" s="11"/>
    </row>
    <row r="6596" spans="3:7" x14ac:dyDescent="0.25">
      <c r="C6596" s="8"/>
      <c r="G6596" s="11"/>
    </row>
    <row r="6597" spans="3:7" x14ac:dyDescent="0.25">
      <c r="C6597" s="8"/>
      <c r="G6597" s="11"/>
    </row>
    <row r="6598" spans="3:7" x14ac:dyDescent="0.25">
      <c r="C6598" s="8"/>
      <c r="G6598" s="11"/>
    </row>
    <row r="6599" spans="3:7" x14ac:dyDescent="0.25">
      <c r="C6599" s="8"/>
      <c r="G6599" s="11"/>
    </row>
    <row r="6600" spans="3:7" x14ac:dyDescent="0.25">
      <c r="C6600" s="8"/>
      <c r="G6600" s="11"/>
    </row>
    <row r="6601" spans="3:7" x14ac:dyDescent="0.25">
      <c r="C6601" s="8"/>
      <c r="G6601" s="11"/>
    </row>
    <row r="6602" spans="3:7" x14ac:dyDescent="0.25">
      <c r="C6602" s="8"/>
      <c r="G6602" s="11"/>
    </row>
    <row r="6603" spans="3:7" x14ac:dyDescent="0.25">
      <c r="C6603" s="8"/>
      <c r="G6603" s="11"/>
    </row>
    <row r="6604" spans="3:7" x14ac:dyDescent="0.25">
      <c r="C6604" s="8"/>
      <c r="G6604" s="11"/>
    </row>
    <row r="6605" spans="3:7" x14ac:dyDescent="0.25">
      <c r="C6605" s="8"/>
      <c r="G6605" s="11"/>
    </row>
    <row r="6606" spans="3:7" x14ac:dyDescent="0.25">
      <c r="C6606" s="8"/>
      <c r="G6606" s="11"/>
    </row>
    <row r="6607" spans="3:7" x14ac:dyDescent="0.25">
      <c r="C6607" s="8"/>
      <c r="G6607" s="11"/>
    </row>
    <row r="6608" spans="3:7" x14ac:dyDescent="0.25">
      <c r="C6608" s="8"/>
      <c r="G6608" s="11"/>
    </row>
    <row r="6609" spans="3:7" x14ac:dyDescent="0.25">
      <c r="C6609" s="8"/>
      <c r="G6609" s="11"/>
    </row>
    <row r="6610" spans="3:7" x14ac:dyDescent="0.25">
      <c r="C6610" s="8"/>
      <c r="G6610" s="11"/>
    </row>
    <row r="6611" spans="3:7" x14ac:dyDescent="0.25">
      <c r="C6611" s="8"/>
      <c r="G6611" s="11"/>
    </row>
    <row r="6612" spans="3:7" x14ac:dyDescent="0.25">
      <c r="C6612" s="8"/>
      <c r="G6612" s="11"/>
    </row>
    <row r="6613" spans="3:7" x14ac:dyDescent="0.25">
      <c r="C6613" s="8"/>
      <c r="G6613" s="11"/>
    </row>
    <row r="6614" spans="3:7" x14ac:dyDescent="0.25">
      <c r="C6614" s="8"/>
      <c r="G6614" s="11"/>
    </row>
    <row r="6615" spans="3:7" x14ac:dyDescent="0.25">
      <c r="C6615" s="8"/>
      <c r="G6615" s="11"/>
    </row>
    <row r="6616" spans="3:7" x14ac:dyDescent="0.25">
      <c r="C6616" s="8"/>
      <c r="G6616" s="11"/>
    </row>
    <row r="6617" spans="3:7" x14ac:dyDescent="0.25">
      <c r="C6617" s="8"/>
      <c r="G6617" s="11"/>
    </row>
    <row r="6618" spans="3:7" x14ac:dyDescent="0.25">
      <c r="C6618" s="8"/>
      <c r="G6618" s="11"/>
    </row>
    <row r="6619" spans="3:7" x14ac:dyDescent="0.25">
      <c r="C6619" s="8"/>
      <c r="G6619" s="11"/>
    </row>
    <row r="6620" spans="3:7" x14ac:dyDescent="0.25">
      <c r="C6620" s="8"/>
      <c r="G6620" s="11"/>
    </row>
    <row r="6621" spans="3:7" x14ac:dyDescent="0.25">
      <c r="C6621" s="8"/>
      <c r="G6621" s="11"/>
    </row>
    <row r="6622" spans="3:7" x14ac:dyDescent="0.25">
      <c r="C6622" s="8"/>
      <c r="G6622" s="11"/>
    </row>
    <row r="6623" spans="3:7" x14ac:dyDescent="0.25">
      <c r="C6623" s="8"/>
      <c r="G6623" s="11"/>
    </row>
    <row r="6624" spans="3:7" x14ac:dyDescent="0.25">
      <c r="C6624" s="8"/>
      <c r="G6624" s="11"/>
    </row>
    <row r="6625" spans="3:7" x14ac:dyDescent="0.25">
      <c r="C6625" s="8"/>
      <c r="G6625" s="11"/>
    </row>
    <row r="6626" spans="3:7" x14ac:dyDescent="0.25">
      <c r="C6626" s="8"/>
      <c r="G6626" s="11"/>
    </row>
    <row r="6627" spans="3:7" x14ac:dyDescent="0.25">
      <c r="C6627" s="8"/>
      <c r="G6627" s="11"/>
    </row>
    <row r="6628" spans="3:7" x14ac:dyDescent="0.25">
      <c r="C6628" s="8"/>
      <c r="G6628" s="11"/>
    </row>
    <row r="6629" spans="3:7" x14ac:dyDescent="0.25">
      <c r="C6629" s="8"/>
      <c r="G6629" s="11"/>
    </row>
    <row r="6630" spans="3:7" x14ac:dyDescent="0.25">
      <c r="C6630" s="8"/>
      <c r="G6630" s="11"/>
    </row>
    <row r="6631" spans="3:7" x14ac:dyDescent="0.25">
      <c r="C6631" s="8"/>
      <c r="G6631" s="11"/>
    </row>
    <row r="6632" spans="3:7" x14ac:dyDescent="0.25">
      <c r="C6632" s="8"/>
      <c r="G6632" s="11"/>
    </row>
    <row r="6633" spans="3:7" x14ac:dyDescent="0.25">
      <c r="C6633" s="8"/>
      <c r="G6633" s="11"/>
    </row>
    <row r="6634" spans="3:7" x14ac:dyDescent="0.25">
      <c r="C6634" s="8"/>
      <c r="G6634" s="11"/>
    </row>
    <row r="6635" spans="3:7" x14ac:dyDescent="0.25">
      <c r="C6635" s="8"/>
      <c r="G6635" s="11"/>
    </row>
    <row r="6636" spans="3:7" x14ac:dyDescent="0.25">
      <c r="C6636" s="8"/>
      <c r="G6636" s="11"/>
    </row>
    <row r="6637" spans="3:7" x14ac:dyDescent="0.25">
      <c r="C6637" s="8"/>
      <c r="G6637" s="11"/>
    </row>
    <row r="6638" spans="3:7" x14ac:dyDescent="0.25">
      <c r="C6638" s="8"/>
      <c r="G6638" s="11"/>
    </row>
    <row r="6639" spans="3:7" x14ac:dyDescent="0.25">
      <c r="C6639" s="8"/>
      <c r="G6639" s="11"/>
    </row>
    <row r="6640" spans="3:7" x14ac:dyDescent="0.25">
      <c r="C6640" s="8"/>
      <c r="G6640" s="11"/>
    </row>
    <row r="6641" spans="3:7" x14ac:dyDescent="0.25">
      <c r="C6641" s="8"/>
      <c r="G6641" s="11"/>
    </row>
    <row r="6642" spans="3:7" x14ac:dyDescent="0.25">
      <c r="C6642" s="8"/>
      <c r="G6642" s="11"/>
    </row>
    <row r="6643" spans="3:7" x14ac:dyDescent="0.25">
      <c r="C6643" s="8"/>
      <c r="G6643" s="11"/>
    </row>
    <row r="6644" spans="3:7" x14ac:dyDescent="0.25">
      <c r="C6644" s="8"/>
      <c r="G6644" s="11"/>
    </row>
    <row r="6645" spans="3:7" x14ac:dyDescent="0.25">
      <c r="C6645" s="8"/>
      <c r="G6645" s="11"/>
    </row>
    <row r="6646" spans="3:7" x14ac:dyDescent="0.25">
      <c r="C6646" s="8"/>
      <c r="G6646" s="11"/>
    </row>
    <row r="6647" spans="3:7" x14ac:dyDescent="0.25">
      <c r="C6647" s="8"/>
      <c r="G6647" s="11"/>
    </row>
    <row r="6648" spans="3:7" x14ac:dyDescent="0.25">
      <c r="C6648" s="8"/>
      <c r="G6648" s="11"/>
    </row>
    <row r="6649" spans="3:7" x14ac:dyDescent="0.25">
      <c r="C6649" s="8"/>
      <c r="G6649" s="11"/>
    </row>
    <row r="6650" spans="3:7" x14ac:dyDescent="0.25">
      <c r="C6650" s="8"/>
      <c r="G6650" s="11"/>
    </row>
    <row r="6651" spans="3:7" x14ac:dyDescent="0.25">
      <c r="C6651" s="8"/>
      <c r="G6651" s="11"/>
    </row>
    <row r="6652" spans="3:7" x14ac:dyDescent="0.25">
      <c r="C6652" s="8"/>
      <c r="G6652" s="11"/>
    </row>
    <row r="6653" spans="3:7" x14ac:dyDescent="0.25">
      <c r="C6653" s="8"/>
      <c r="G6653" s="11"/>
    </row>
    <row r="6654" spans="3:7" x14ac:dyDescent="0.25">
      <c r="C6654" s="8"/>
      <c r="G6654" s="11"/>
    </row>
    <row r="6655" spans="3:7" x14ac:dyDescent="0.25">
      <c r="C6655" s="8"/>
      <c r="G6655" s="11"/>
    </row>
    <row r="6656" spans="3:7" x14ac:dyDescent="0.25">
      <c r="C6656" s="8"/>
      <c r="G6656" s="11"/>
    </row>
    <row r="6657" spans="3:7" x14ac:dyDescent="0.25">
      <c r="C6657" s="8"/>
      <c r="G6657" s="11"/>
    </row>
    <row r="6658" spans="3:7" x14ac:dyDescent="0.25">
      <c r="C6658" s="8"/>
      <c r="G6658" s="11"/>
    </row>
    <row r="6659" spans="3:7" x14ac:dyDescent="0.25">
      <c r="C6659" s="8"/>
      <c r="G6659" s="11"/>
    </row>
    <row r="6660" spans="3:7" x14ac:dyDescent="0.25">
      <c r="C6660" s="8"/>
      <c r="G6660" s="11"/>
    </row>
    <row r="6661" spans="3:7" x14ac:dyDescent="0.25">
      <c r="C6661" s="8"/>
      <c r="G6661" s="11"/>
    </row>
    <row r="6662" spans="3:7" x14ac:dyDescent="0.25">
      <c r="C6662" s="8"/>
      <c r="G6662" s="11"/>
    </row>
    <row r="6663" spans="3:7" x14ac:dyDescent="0.25">
      <c r="C6663" s="8"/>
      <c r="G6663" s="11"/>
    </row>
    <row r="6664" spans="3:7" x14ac:dyDescent="0.25">
      <c r="C6664" s="8"/>
      <c r="G6664" s="11"/>
    </row>
    <row r="6665" spans="3:7" x14ac:dyDescent="0.25">
      <c r="C6665" s="8"/>
      <c r="G6665" s="11"/>
    </row>
    <row r="6666" spans="3:7" x14ac:dyDescent="0.25">
      <c r="C6666" s="8"/>
      <c r="G6666" s="11"/>
    </row>
    <row r="6667" spans="3:7" x14ac:dyDescent="0.25">
      <c r="C6667" s="8"/>
      <c r="G6667" s="11"/>
    </row>
    <row r="6668" spans="3:7" x14ac:dyDescent="0.25">
      <c r="C6668" s="8"/>
      <c r="G6668" s="11"/>
    </row>
    <row r="6669" spans="3:7" x14ac:dyDescent="0.25">
      <c r="C6669" s="8"/>
      <c r="G6669" s="11"/>
    </row>
    <row r="6670" spans="3:7" x14ac:dyDescent="0.25">
      <c r="C6670" s="8"/>
      <c r="G6670" s="11"/>
    </row>
    <row r="6671" spans="3:7" x14ac:dyDescent="0.25">
      <c r="C6671" s="8"/>
      <c r="G6671" s="11"/>
    </row>
    <row r="6672" spans="3:7" x14ac:dyDescent="0.25">
      <c r="C6672" s="8"/>
      <c r="G6672" s="11"/>
    </row>
    <row r="6673" spans="3:7" x14ac:dyDescent="0.25">
      <c r="C6673" s="8"/>
      <c r="G6673" s="11"/>
    </row>
    <row r="6674" spans="3:7" x14ac:dyDescent="0.25">
      <c r="C6674" s="8"/>
      <c r="G6674" s="11"/>
    </row>
    <row r="6675" spans="3:7" x14ac:dyDescent="0.25">
      <c r="C6675" s="8"/>
      <c r="G6675" s="11"/>
    </row>
    <row r="6676" spans="3:7" x14ac:dyDescent="0.25">
      <c r="C6676" s="8"/>
      <c r="G6676" s="11"/>
    </row>
    <row r="6677" spans="3:7" x14ac:dyDescent="0.25">
      <c r="C6677" s="8"/>
      <c r="G6677" s="11"/>
    </row>
    <row r="6678" spans="3:7" x14ac:dyDescent="0.25">
      <c r="C6678" s="8"/>
      <c r="G6678" s="11"/>
    </row>
    <row r="6679" spans="3:7" x14ac:dyDescent="0.25">
      <c r="C6679" s="8"/>
      <c r="G6679" s="11"/>
    </row>
    <row r="6680" spans="3:7" x14ac:dyDescent="0.25">
      <c r="C6680" s="8"/>
      <c r="G6680" s="11"/>
    </row>
    <row r="6681" spans="3:7" x14ac:dyDescent="0.25">
      <c r="C6681" s="8"/>
      <c r="G6681" s="11"/>
    </row>
    <row r="6682" spans="3:7" x14ac:dyDescent="0.25">
      <c r="C6682" s="8"/>
      <c r="G6682" s="11"/>
    </row>
    <row r="6683" spans="3:7" x14ac:dyDescent="0.25">
      <c r="C6683" s="8"/>
      <c r="G6683" s="11"/>
    </row>
    <row r="6684" spans="3:7" x14ac:dyDescent="0.25">
      <c r="C6684" s="8"/>
      <c r="G6684" s="11"/>
    </row>
    <row r="6685" spans="3:7" x14ac:dyDescent="0.25">
      <c r="C6685" s="8"/>
      <c r="G6685" s="11"/>
    </row>
    <row r="6686" spans="3:7" x14ac:dyDescent="0.25">
      <c r="C6686" s="8"/>
      <c r="G6686" s="11"/>
    </row>
    <row r="6687" spans="3:7" x14ac:dyDescent="0.25">
      <c r="C6687" s="8"/>
      <c r="G6687" s="11"/>
    </row>
    <row r="6688" spans="3:7" x14ac:dyDescent="0.25">
      <c r="C6688" s="8"/>
      <c r="G6688" s="11"/>
    </row>
    <row r="6689" spans="3:7" x14ac:dyDescent="0.25">
      <c r="C6689" s="8"/>
      <c r="G6689" s="11"/>
    </row>
    <row r="6690" spans="3:7" x14ac:dyDescent="0.25">
      <c r="C6690" s="8"/>
      <c r="G6690" s="11"/>
    </row>
    <row r="6691" spans="3:7" x14ac:dyDescent="0.25">
      <c r="C6691" s="8"/>
      <c r="G6691" s="11"/>
    </row>
    <row r="6692" spans="3:7" x14ac:dyDescent="0.25">
      <c r="C6692" s="8"/>
      <c r="G6692" s="11"/>
    </row>
    <row r="6693" spans="3:7" x14ac:dyDescent="0.25">
      <c r="C6693" s="8"/>
      <c r="G6693" s="11"/>
    </row>
    <row r="6694" spans="3:7" x14ac:dyDescent="0.25">
      <c r="C6694" s="8"/>
      <c r="G6694" s="11"/>
    </row>
    <row r="6695" spans="3:7" x14ac:dyDescent="0.25">
      <c r="C6695" s="8"/>
      <c r="G6695" s="11"/>
    </row>
    <row r="6696" spans="3:7" x14ac:dyDescent="0.25">
      <c r="C6696" s="8"/>
      <c r="G6696" s="11"/>
    </row>
    <row r="6697" spans="3:7" x14ac:dyDescent="0.25">
      <c r="C6697" s="8"/>
      <c r="G6697" s="11"/>
    </row>
    <row r="6698" spans="3:7" x14ac:dyDescent="0.25">
      <c r="C6698" s="8"/>
      <c r="G6698" s="11"/>
    </row>
    <row r="6699" spans="3:7" x14ac:dyDescent="0.25">
      <c r="C6699" s="8"/>
      <c r="G6699" s="11"/>
    </row>
    <row r="6700" spans="3:7" x14ac:dyDescent="0.25">
      <c r="C6700" s="8"/>
      <c r="G6700" s="11"/>
    </row>
    <row r="6701" spans="3:7" x14ac:dyDescent="0.25">
      <c r="C6701" s="8"/>
      <c r="G6701" s="11"/>
    </row>
    <row r="6702" spans="3:7" x14ac:dyDescent="0.25">
      <c r="C6702" s="8"/>
      <c r="G6702" s="11"/>
    </row>
    <row r="6703" spans="3:7" x14ac:dyDescent="0.25">
      <c r="C6703" s="8"/>
      <c r="G6703" s="11"/>
    </row>
    <row r="6704" spans="3:7" x14ac:dyDescent="0.25">
      <c r="C6704" s="8"/>
      <c r="G6704" s="11"/>
    </row>
    <row r="6705" spans="3:7" x14ac:dyDescent="0.25">
      <c r="C6705" s="8"/>
      <c r="G6705" s="11"/>
    </row>
    <row r="6706" spans="3:7" x14ac:dyDescent="0.25">
      <c r="C6706" s="8"/>
      <c r="G6706" s="11"/>
    </row>
    <row r="6707" spans="3:7" x14ac:dyDescent="0.25">
      <c r="C6707" s="8"/>
      <c r="G6707" s="11"/>
    </row>
    <row r="6708" spans="3:7" x14ac:dyDescent="0.25">
      <c r="C6708" s="8"/>
      <c r="G6708" s="11"/>
    </row>
    <row r="6709" spans="3:7" x14ac:dyDescent="0.25">
      <c r="C6709" s="8"/>
      <c r="G6709" s="11"/>
    </row>
    <row r="6710" spans="3:7" x14ac:dyDescent="0.25">
      <c r="C6710" s="8"/>
      <c r="G6710" s="11"/>
    </row>
    <row r="6711" spans="3:7" x14ac:dyDescent="0.25">
      <c r="C6711" s="8"/>
      <c r="G6711" s="11"/>
    </row>
    <row r="6712" spans="3:7" x14ac:dyDescent="0.25">
      <c r="C6712" s="8"/>
      <c r="G6712" s="11"/>
    </row>
    <row r="6713" spans="3:7" x14ac:dyDescent="0.25">
      <c r="C6713" s="8"/>
      <c r="G6713" s="11"/>
    </row>
    <row r="6714" spans="3:7" x14ac:dyDescent="0.25">
      <c r="C6714" s="8"/>
      <c r="G6714" s="11"/>
    </row>
    <row r="6715" spans="3:7" x14ac:dyDescent="0.25">
      <c r="C6715" s="8"/>
      <c r="G6715" s="11"/>
    </row>
    <row r="6716" spans="3:7" x14ac:dyDescent="0.25">
      <c r="C6716" s="8"/>
      <c r="G6716" s="11"/>
    </row>
    <row r="6717" spans="3:7" x14ac:dyDescent="0.25">
      <c r="C6717" s="8"/>
      <c r="G6717" s="11"/>
    </row>
    <row r="6718" spans="3:7" x14ac:dyDescent="0.25">
      <c r="C6718" s="8"/>
      <c r="G6718" s="11"/>
    </row>
    <row r="6719" spans="3:7" x14ac:dyDescent="0.25">
      <c r="C6719" s="8"/>
      <c r="G6719" s="11"/>
    </row>
    <row r="6720" spans="3:7" x14ac:dyDescent="0.25">
      <c r="C6720" s="8"/>
      <c r="G6720" s="11"/>
    </row>
    <row r="6721" spans="3:7" x14ac:dyDescent="0.25">
      <c r="C6721" s="8"/>
      <c r="G6721" s="11"/>
    </row>
    <row r="6722" spans="3:7" x14ac:dyDescent="0.25">
      <c r="C6722" s="8"/>
      <c r="G6722" s="11"/>
    </row>
    <row r="6723" spans="3:7" x14ac:dyDescent="0.25">
      <c r="C6723" s="8"/>
      <c r="G6723" s="11"/>
    </row>
    <row r="6724" spans="3:7" x14ac:dyDescent="0.25">
      <c r="C6724" s="8"/>
      <c r="G6724" s="11"/>
    </row>
    <row r="6725" spans="3:7" x14ac:dyDescent="0.25">
      <c r="C6725" s="8"/>
      <c r="G6725" s="11"/>
    </row>
    <row r="6726" spans="3:7" x14ac:dyDescent="0.25">
      <c r="C6726" s="8"/>
      <c r="G6726" s="11"/>
    </row>
    <row r="6727" spans="3:7" x14ac:dyDescent="0.25">
      <c r="C6727" s="8"/>
      <c r="G6727" s="11"/>
    </row>
    <row r="6728" spans="3:7" x14ac:dyDescent="0.25">
      <c r="C6728" s="8"/>
      <c r="G6728" s="11"/>
    </row>
    <row r="6729" spans="3:7" x14ac:dyDescent="0.25">
      <c r="C6729" s="8"/>
      <c r="G6729" s="11"/>
    </row>
    <row r="6730" spans="3:7" x14ac:dyDescent="0.25">
      <c r="C6730" s="8"/>
      <c r="G6730" s="11"/>
    </row>
    <row r="6731" spans="3:7" x14ac:dyDescent="0.25">
      <c r="C6731" s="8"/>
      <c r="G6731" s="11"/>
    </row>
    <row r="6732" spans="3:7" x14ac:dyDescent="0.25">
      <c r="C6732" s="8"/>
      <c r="G6732" s="11"/>
    </row>
    <row r="6733" spans="3:7" x14ac:dyDescent="0.25">
      <c r="C6733" s="8"/>
      <c r="G6733" s="11"/>
    </row>
    <row r="6734" spans="3:7" x14ac:dyDescent="0.25">
      <c r="C6734" s="8"/>
      <c r="G6734" s="11"/>
    </row>
    <row r="6735" spans="3:7" x14ac:dyDescent="0.25">
      <c r="C6735" s="8"/>
      <c r="G6735" s="11"/>
    </row>
    <row r="6736" spans="3:7" x14ac:dyDescent="0.25">
      <c r="C6736" s="8"/>
      <c r="G6736" s="11"/>
    </row>
    <row r="6737" spans="3:7" x14ac:dyDescent="0.25">
      <c r="C6737" s="8"/>
      <c r="G6737" s="11"/>
    </row>
    <row r="6738" spans="3:7" x14ac:dyDescent="0.25">
      <c r="C6738" s="8"/>
      <c r="G6738" s="11"/>
    </row>
    <row r="6739" spans="3:7" x14ac:dyDescent="0.25">
      <c r="C6739" s="8"/>
      <c r="G6739" s="11"/>
    </row>
    <row r="6740" spans="3:7" x14ac:dyDescent="0.25">
      <c r="C6740" s="8"/>
      <c r="G6740" s="11"/>
    </row>
    <row r="6741" spans="3:7" x14ac:dyDescent="0.25">
      <c r="C6741" s="8"/>
      <c r="G6741" s="11"/>
    </row>
    <row r="6742" spans="3:7" x14ac:dyDescent="0.25">
      <c r="C6742" s="8"/>
      <c r="G6742" s="11"/>
    </row>
    <row r="6743" spans="3:7" x14ac:dyDescent="0.25">
      <c r="C6743" s="8"/>
      <c r="G6743" s="11"/>
    </row>
    <row r="6744" spans="3:7" x14ac:dyDescent="0.25">
      <c r="C6744" s="8"/>
      <c r="G6744" s="11"/>
    </row>
    <row r="6745" spans="3:7" x14ac:dyDescent="0.25">
      <c r="C6745" s="8"/>
      <c r="G6745" s="11"/>
    </row>
    <row r="6746" spans="3:7" x14ac:dyDescent="0.25">
      <c r="C6746" s="8"/>
      <c r="G6746" s="11"/>
    </row>
    <row r="6747" spans="3:7" x14ac:dyDescent="0.25">
      <c r="C6747" s="8"/>
      <c r="G6747" s="11"/>
    </row>
    <row r="6748" spans="3:7" x14ac:dyDescent="0.25">
      <c r="C6748" s="8"/>
      <c r="G6748" s="11"/>
    </row>
    <row r="6749" spans="3:7" x14ac:dyDescent="0.25">
      <c r="C6749" s="8"/>
      <c r="G6749" s="11"/>
    </row>
    <row r="6750" spans="3:7" x14ac:dyDescent="0.25">
      <c r="C6750" s="8"/>
      <c r="G6750" s="11"/>
    </row>
    <row r="6751" spans="3:7" x14ac:dyDescent="0.25">
      <c r="C6751" s="8"/>
      <c r="G6751" s="11"/>
    </row>
    <row r="6752" spans="3:7" x14ac:dyDescent="0.25">
      <c r="C6752" s="8"/>
      <c r="G6752" s="11"/>
    </row>
    <row r="6753" spans="3:7" x14ac:dyDescent="0.25">
      <c r="C6753" s="8"/>
      <c r="G6753" s="11"/>
    </row>
    <row r="6754" spans="3:7" x14ac:dyDescent="0.25">
      <c r="C6754" s="8"/>
      <c r="G6754" s="11"/>
    </row>
    <row r="6755" spans="3:7" x14ac:dyDescent="0.25">
      <c r="C6755" s="8"/>
      <c r="G6755" s="11"/>
    </row>
    <row r="6756" spans="3:7" x14ac:dyDescent="0.25">
      <c r="C6756" s="8"/>
      <c r="G6756" s="11"/>
    </row>
    <row r="6757" spans="3:7" x14ac:dyDescent="0.25">
      <c r="C6757" s="8"/>
      <c r="G6757" s="11"/>
    </row>
    <row r="6758" spans="3:7" x14ac:dyDescent="0.25">
      <c r="C6758" s="8"/>
      <c r="G6758" s="11"/>
    </row>
    <row r="6759" spans="3:7" x14ac:dyDescent="0.25">
      <c r="C6759" s="8"/>
      <c r="G6759" s="11"/>
    </row>
    <row r="6760" spans="3:7" x14ac:dyDescent="0.25">
      <c r="C6760" s="8"/>
      <c r="G6760" s="11"/>
    </row>
    <row r="6761" spans="3:7" x14ac:dyDescent="0.25">
      <c r="C6761" s="8"/>
      <c r="G6761" s="11"/>
    </row>
    <row r="6762" spans="3:7" x14ac:dyDescent="0.25">
      <c r="C6762" s="8"/>
      <c r="G6762" s="11"/>
    </row>
    <row r="6763" spans="3:7" x14ac:dyDescent="0.25">
      <c r="C6763" s="8"/>
      <c r="G6763" s="11"/>
    </row>
    <row r="6764" spans="3:7" x14ac:dyDescent="0.25">
      <c r="C6764" s="8"/>
      <c r="G6764" s="11"/>
    </row>
    <row r="6765" spans="3:7" x14ac:dyDescent="0.25">
      <c r="C6765" s="8"/>
      <c r="G6765" s="11"/>
    </row>
    <row r="6766" spans="3:7" x14ac:dyDescent="0.25">
      <c r="C6766" s="8"/>
      <c r="G6766" s="11"/>
    </row>
    <row r="6767" spans="3:7" x14ac:dyDescent="0.25">
      <c r="C6767" s="8"/>
      <c r="G6767" s="11"/>
    </row>
    <row r="6768" spans="3:7" x14ac:dyDescent="0.25">
      <c r="C6768" s="8"/>
      <c r="G6768" s="11"/>
    </row>
    <row r="6769" spans="3:7" x14ac:dyDescent="0.25">
      <c r="C6769" s="8"/>
      <c r="G6769" s="11"/>
    </row>
    <row r="6770" spans="3:7" x14ac:dyDescent="0.25">
      <c r="C6770" s="8"/>
      <c r="G6770" s="11"/>
    </row>
    <row r="6771" spans="3:7" x14ac:dyDescent="0.25">
      <c r="C6771" s="8"/>
      <c r="G6771" s="11"/>
    </row>
    <row r="6772" spans="3:7" x14ac:dyDescent="0.25">
      <c r="C6772" s="8"/>
      <c r="G6772" s="11"/>
    </row>
    <row r="6773" spans="3:7" x14ac:dyDescent="0.25">
      <c r="C6773" s="8"/>
      <c r="G6773" s="11"/>
    </row>
    <row r="6774" spans="3:7" x14ac:dyDescent="0.25">
      <c r="C6774" s="8"/>
      <c r="G6774" s="11"/>
    </row>
    <row r="6775" spans="3:7" x14ac:dyDescent="0.25">
      <c r="C6775" s="8"/>
      <c r="G6775" s="11"/>
    </row>
    <row r="6776" spans="3:7" x14ac:dyDescent="0.25">
      <c r="C6776" s="8"/>
      <c r="G6776" s="11"/>
    </row>
    <row r="6777" spans="3:7" x14ac:dyDescent="0.25">
      <c r="C6777" s="8"/>
      <c r="G6777" s="11"/>
    </row>
    <row r="6778" spans="3:7" x14ac:dyDescent="0.25">
      <c r="C6778" s="8"/>
      <c r="G6778" s="11"/>
    </row>
    <row r="6779" spans="3:7" x14ac:dyDescent="0.25">
      <c r="C6779" s="8"/>
      <c r="G6779" s="11"/>
    </row>
    <row r="6780" spans="3:7" x14ac:dyDescent="0.25">
      <c r="C6780" s="8"/>
      <c r="G6780" s="11"/>
    </row>
    <row r="6781" spans="3:7" x14ac:dyDescent="0.25">
      <c r="C6781" s="8"/>
      <c r="G6781" s="11"/>
    </row>
    <row r="6782" spans="3:7" x14ac:dyDescent="0.25">
      <c r="C6782" s="8"/>
      <c r="G6782" s="11"/>
    </row>
    <row r="6783" spans="3:7" x14ac:dyDescent="0.25">
      <c r="C6783" s="8"/>
      <c r="G6783" s="11"/>
    </row>
    <row r="6784" spans="3:7" x14ac:dyDescent="0.25">
      <c r="C6784" s="8"/>
      <c r="G6784" s="11"/>
    </row>
    <row r="6785" spans="3:7" x14ac:dyDescent="0.25">
      <c r="C6785" s="8"/>
      <c r="G6785" s="11"/>
    </row>
    <row r="6786" spans="3:7" x14ac:dyDescent="0.25">
      <c r="C6786" s="8"/>
      <c r="G6786" s="11"/>
    </row>
    <row r="6787" spans="3:7" x14ac:dyDescent="0.25">
      <c r="C6787" s="8"/>
      <c r="G6787" s="11"/>
    </row>
    <row r="6788" spans="3:7" x14ac:dyDescent="0.25">
      <c r="C6788" s="8"/>
      <c r="G6788" s="11"/>
    </row>
    <row r="6789" spans="3:7" x14ac:dyDescent="0.25">
      <c r="C6789" s="8"/>
      <c r="G6789" s="11"/>
    </row>
    <row r="6790" spans="3:7" x14ac:dyDescent="0.25">
      <c r="C6790" s="8"/>
      <c r="G6790" s="11"/>
    </row>
    <row r="6791" spans="3:7" x14ac:dyDescent="0.25">
      <c r="C6791" s="8"/>
      <c r="G6791" s="11"/>
    </row>
    <row r="6792" spans="3:7" x14ac:dyDescent="0.25">
      <c r="C6792" s="8"/>
      <c r="G6792" s="11"/>
    </row>
    <row r="6793" spans="3:7" x14ac:dyDescent="0.25">
      <c r="C6793" s="8"/>
      <c r="G6793" s="11"/>
    </row>
    <row r="6794" spans="3:7" x14ac:dyDescent="0.25">
      <c r="C6794" s="8"/>
      <c r="G6794" s="11"/>
    </row>
    <row r="6795" spans="3:7" x14ac:dyDescent="0.25">
      <c r="C6795" s="8"/>
      <c r="G6795" s="11"/>
    </row>
    <row r="6796" spans="3:7" x14ac:dyDescent="0.25">
      <c r="C6796" s="8"/>
      <c r="G6796" s="11"/>
    </row>
    <row r="6797" spans="3:7" x14ac:dyDescent="0.25">
      <c r="C6797" s="8"/>
      <c r="G6797" s="11"/>
    </row>
    <row r="6798" spans="3:7" x14ac:dyDescent="0.25">
      <c r="C6798" s="8"/>
      <c r="G6798" s="11"/>
    </row>
    <row r="6799" spans="3:7" x14ac:dyDescent="0.25">
      <c r="C6799" s="8"/>
      <c r="G6799" s="11"/>
    </row>
    <row r="6800" spans="3:7" x14ac:dyDescent="0.25">
      <c r="C6800" s="8"/>
      <c r="G6800" s="11"/>
    </row>
    <row r="6801" spans="3:7" x14ac:dyDescent="0.25">
      <c r="C6801" s="8"/>
      <c r="G6801" s="11"/>
    </row>
    <row r="6802" spans="3:7" x14ac:dyDescent="0.25">
      <c r="C6802" s="8"/>
      <c r="G6802" s="11"/>
    </row>
    <row r="6803" spans="3:7" x14ac:dyDescent="0.25">
      <c r="C6803" s="8"/>
      <c r="G6803" s="11"/>
    </row>
    <row r="6804" spans="3:7" x14ac:dyDescent="0.25">
      <c r="C6804" s="8"/>
      <c r="G6804" s="11"/>
    </row>
    <row r="6805" spans="3:7" x14ac:dyDescent="0.25">
      <c r="C6805" s="8"/>
      <c r="G6805" s="11"/>
    </row>
    <row r="6806" spans="3:7" x14ac:dyDescent="0.25">
      <c r="C6806" s="8"/>
      <c r="G6806" s="11"/>
    </row>
    <row r="6807" spans="3:7" x14ac:dyDescent="0.25">
      <c r="C6807" s="8"/>
      <c r="G6807" s="11"/>
    </row>
    <row r="6808" spans="3:7" x14ac:dyDescent="0.25">
      <c r="C6808" s="8"/>
      <c r="G6808" s="11"/>
    </row>
    <row r="6809" spans="3:7" x14ac:dyDescent="0.25">
      <c r="C6809" s="8"/>
      <c r="G6809" s="11"/>
    </row>
    <row r="6810" spans="3:7" x14ac:dyDescent="0.25">
      <c r="C6810" s="8"/>
      <c r="G6810" s="11"/>
    </row>
    <row r="6811" spans="3:7" x14ac:dyDescent="0.25">
      <c r="C6811" s="8"/>
      <c r="G6811" s="11"/>
    </row>
    <row r="6812" spans="3:7" x14ac:dyDescent="0.25">
      <c r="C6812" s="8"/>
      <c r="G6812" s="11"/>
    </row>
    <row r="6813" spans="3:7" x14ac:dyDescent="0.25">
      <c r="C6813" s="8"/>
      <c r="G6813" s="11"/>
    </row>
    <row r="6814" spans="3:7" x14ac:dyDescent="0.25">
      <c r="C6814" s="8"/>
      <c r="G6814" s="11"/>
    </row>
    <row r="6815" spans="3:7" x14ac:dyDescent="0.25">
      <c r="C6815" s="8"/>
      <c r="G6815" s="11"/>
    </row>
    <row r="6816" spans="3:7" x14ac:dyDescent="0.25">
      <c r="C6816" s="8"/>
      <c r="G6816" s="11"/>
    </row>
    <row r="6817" spans="3:7" x14ac:dyDescent="0.25">
      <c r="C6817" s="8"/>
      <c r="G6817" s="11"/>
    </row>
    <row r="6818" spans="3:7" x14ac:dyDescent="0.25">
      <c r="C6818" s="8"/>
      <c r="G6818" s="11"/>
    </row>
    <row r="6819" spans="3:7" x14ac:dyDescent="0.25">
      <c r="C6819" s="8"/>
      <c r="G6819" s="11"/>
    </row>
    <row r="6820" spans="3:7" x14ac:dyDescent="0.25">
      <c r="C6820" s="8"/>
      <c r="G6820" s="11"/>
    </row>
    <row r="6821" spans="3:7" x14ac:dyDescent="0.25">
      <c r="C6821" s="8"/>
      <c r="G6821" s="11"/>
    </row>
    <row r="6822" spans="3:7" x14ac:dyDescent="0.25">
      <c r="C6822" s="8"/>
      <c r="G6822" s="11"/>
    </row>
    <row r="6823" spans="3:7" x14ac:dyDescent="0.25">
      <c r="C6823" s="8"/>
      <c r="G6823" s="11"/>
    </row>
    <row r="6824" spans="3:7" x14ac:dyDescent="0.25">
      <c r="C6824" s="8"/>
      <c r="G6824" s="11"/>
    </row>
    <row r="6825" spans="3:7" x14ac:dyDescent="0.25">
      <c r="C6825" s="8"/>
      <c r="G6825" s="11"/>
    </row>
    <row r="6826" spans="3:7" x14ac:dyDescent="0.25">
      <c r="C6826" s="8"/>
      <c r="G6826" s="11"/>
    </row>
    <row r="6827" spans="3:7" x14ac:dyDescent="0.25">
      <c r="C6827" s="8"/>
      <c r="G6827" s="11"/>
    </row>
    <row r="6828" spans="3:7" x14ac:dyDescent="0.25">
      <c r="C6828" s="8"/>
      <c r="G6828" s="11"/>
    </row>
    <row r="6829" spans="3:7" x14ac:dyDescent="0.25">
      <c r="C6829" s="8"/>
      <c r="G6829" s="11"/>
    </row>
    <row r="6830" spans="3:7" x14ac:dyDescent="0.25">
      <c r="C6830" s="8"/>
      <c r="G6830" s="11"/>
    </row>
    <row r="6831" spans="3:7" x14ac:dyDescent="0.25">
      <c r="C6831" s="8"/>
      <c r="G6831" s="11"/>
    </row>
    <row r="6832" spans="3:7" x14ac:dyDescent="0.25">
      <c r="C6832" s="8"/>
      <c r="G6832" s="11"/>
    </row>
    <row r="6833" spans="3:7" x14ac:dyDescent="0.25">
      <c r="C6833" s="8"/>
      <c r="G6833" s="11"/>
    </row>
    <row r="6834" spans="3:7" x14ac:dyDescent="0.25">
      <c r="C6834" s="8"/>
      <c r="G6834" s="11"/>
    </row>
    <row r="6835" spans="3:7" x14ac:dyDescent="0.25">
      <c r="C6835" s="8"/>
      <c r="G6835" s="11"/>
    </row>
    <row r="6836" spans="3:7" x14ac:dyDescent="0.25">
      <c r="C6836" s="8"/>
      <c r="G6836" s="11"/>
    </row>
    <row r="6837" spans="3:7" x14ac:dyDescent="0.25">
      <c r="C6837" s="8"/>
      <c r="G6837" s="11"/>
    </row>
    <row r="6838" spans="3:7" x14ac:dyDescent="0.25">
      <c r="C6838" s="8"/>
      <c r="G6838" s="11"/>
    </row>
    <row r="6839" spans="3:7" x14ac:dyDescent="0.25">
      <c r="C6839" s="8"/>
      <c r="G6839" s="11"/>
    </row>
    <row r="6840" spans="3:7" x14ac:dyDescent="0.25">
      <c r="C6840" s="8"/>
      <c r="G6840" s="11"/>
    </row>
    <row r="6841" spans="3:7" x14ac:dyDescent="0.25">
      <c r="C6841" s="8"/>
      <c r="G6841" s="11"/>
    </row>
    <row r="6842" spans="3:7" x14ac:dyDescent="0.25">
      <c r="C6842" s="8"/>
      <c r="G6842" s="11"/>
    </row>
    <row r="6843" spans="3:7" x14ac:dyDescent="0.25">
      <c r="C6843" s="8"/>
      <c r="G6843" s="11"/>
    </row>
    <row r="6844" spans="3:7" x14ac:dyDescent="0.25">
      <c r="C6844" s="8"/>
      <c r="G6844" s="11"/>
    </row>
    <row r="6845" spans="3:7" x14ac:dyDescent="0.25">
      <c r="C6845" s="8"/>
      <c r="G6845" s="11"/>
    </row>
    <row r="6846" spans="3:7" x14ac:dyDescent="0.25">
      <c r="C6846" s="8"/>
      <c r="G6846" s="11"/>
    </row>
    <row r="6847" spans="3:7" x14ac:dyDescent="0.25">
      <c r="C6847" s="8"/>
      <c r="G6847" s="11"/>
    </row>
    <row r="6848" spans="3:7" x14ac:dyDescent="0.25">
      <c r="C6848" s="8"/>
      <c r="G6848" s="11"/>
    </row>
    <row r="6849" spans="3:7" x14ac:dyDescent="0.25">
      <c r="C6849" s="8"/>
      <c r="G6849" s="11"/>
    </row>
    <row r="6850" spans="3:7" x14ac:dyDescent="0.25">
      <c r="C6850" s="8"/>
      <c r="G6850" s="11"/>
    </row>
    <row r="6851" spans="3:7" x14ac:dyDescent="0.25">
      <c r="C6851" s="8"/>
      <c r="G6851" s="11"/>
    </row>
    <row r="6852" spans="3:7" x14ac:dyDescent="0.25">
      <c r="C6852" s="8"/>
      <c r="G6852" s="11"/>
    </row>
    <row r="6853" spans="3:7" x14ac:dyDescent="0.25">
      <c r="C6853" s="8"/>
      <c r="G6853" s="11"/>
    </row>
    <row r="6854" spans="3:7" x14ac:dyDescent="0.25">
      <c r="C6854" s="8"/>
      <c r="G6854" s="11"/>
    </row>
    <row r="6855" spans="3:7" x14ac:dyDescent="0.25">
      <c r="C6855" s="8"/>
      <c r="G6855" s="11"/>
    </row>
    <row r="6856" spans="3:7" x14ac:dyDescent="0.25">
      <c r="C6856" s="8"/>
      <c r="G6856" s="11"/>
    </row>
    <row r="6857" spans="3:7" x14ac:dyDescent="0.25">
      <c r="C6857" s="8"/>
      <c r="G6857" s="11"/>
    </row>
    <row r="6858" spans="3:7" x14ac:dyDescent="0.25">
      <c r="C6858" s="8"/>
      <c r="G6858" s="11"/>
    </row>
    <row r="6859" spans="3:7" x14ac:dyDescent="0.25">
      <c r="C6859" s="8"/>
      <c r="G6859" s="11"/>
    </row>
    <row r="6860" spans="3:7" x14ac:dyDescent="0.25">
      <c r="C6860" s="8"/>
      <c r="G6860" s="11"/>
    </row>
    <row r="6861" spans="3:7" x14ac:dyDescent="0.25">
      <c r="C6861" s="8"/>
      <c r="G6861" s="11"/>
    </row>
    <row r="6862" spans="3:7" x14ac:dyDescent="0.25">
      <c r="C6862" s="8"/>
      <c r="G6862" s="11"/>
    </row>
    <row r="6863" spans="3:7" x14ac:dyDescent="0.25">
      <c r="C6863" s="8"/>
      <c r="G6863" s="11"/>
    </row>
    <row r="6864" spans="3:7" x14ac:dyDescent="0.25">
      <c r="C6864" s="8"/>
      <c r="G6864" s="11"/>
    </row>
    <row r="6865" spans="3:7" x14ac:dyDescent="0.25">
      <c r="C6865" s="8"/>
      <c r="G6865" s="11"/>
    </row>
    <row r="6866" spans="3:7" x14ac:dyDescent="0.25">
      <c r="C6866" s="8"/>
      <c r="G6866" s="11"/>
    </row>
    <row r="6867" spans="3:7" x14ac:dyDescent="0.25">
      <c r="C6867" s="8"/>
      <c r="G6867" s="11"/>
    </row>
    <row r="6868" spans="3:7" x14ac:dyDescent="0.25">
      <c r="C6868" s="8"/>
      <c r="G6868" s="11"/>
    </row>
    <row r="6869" spans="3:7" x14ac:dyDescent="0.25">
      <c r="C6869" s="8"/>
      <c r="G6869" s="11"/>
    </row>
    <row r="6870" spans="3:7" x14ac:dyDescent="0.25">
      <c r="C6870" s="8"/>
      <c r="G6870" s="11"/>
    </row>
    <row r="6871" spans="3:7" x14ac:dyDescent="0.25">
      <c r="C6871" s="8"/>
      <c r="G6871" s="11"/>
    </row>
    <row r="6872" spans="3:7" x14ac:dyDescent="0.25">
      <c r="C6872" s="8"/>
      <c r="G6872" s="11"/>
    </row>
    <row r="6873" spans="3:7" x14ac:dyDescent="0.25">
      <c r="C6873" s="8"/>
      <c r="G6873" s="11"/>
    </row>
    <row r="6874" spans="3:7" x14ac:dyDescent="0.25">
      <c r="C6874" s="8"/>
      <c r="G6874" s="11"/>
    </row>
    <row r="6875" spans="3:7" x14ac:dyDescent="0.25">
      <c r="C6875" s="8"/>
      <c r="G6875" s="11"/>
    </row>
    <row r="6876" spans="3:7" x14ac:dyDescent="0.25">
      <c r="C6876" s="8"/>
      <c r="G6876" s="11"/>
    </row>
    <row r="6877" spans="3:7" x14ac:dyDescent="0.25">
      <c r="C6877" s="8"/>
      <c r="G6877" s="11"/>
    </row>
    <row r="6878" spans="3:7" x14ac:dyDescent="0.25">
      <c r="C6878" s="8"/>
      <c r="G6878" s="11"/>
    </row>
    <row r="6879" spans="3:7" x14ac:dyDescent="0.25">
      <c r="C6879" s="8"/>
      <c r="G6879" s="11"/>
    </row>
    <row r="6880" spans="3:7" x14ac:dyDescent="0.25">
      <c r="C6880" s="8"/>
      <c r="G6880" s="11"/>
    </row>
    <row r="6881" spans="3:7" x14ac:dyDescent="0.25">
      <c r="C6881" s="8"/>
      <c r="G6881" s="11"/>
    </row>
    <row r="6882" spans="3:7" x14ac:dyDescent="0.25">
      <c r="C6882" s="8"/>
      <c r="G6882" s="11"/>
    </row>
    <row r="6883" spans="3:7" x14ac:dyDescent="0.25">
      <c r="C6883" s="8"/>
      <c r="G6883" s="11"/>
    </row>
    <row r="6884" spans="3:7" x14ac:dyDescent="0.25">
      <c r="C6884" s="8"/>
      <c r="G6884" s="11"/>
    </row>
    <row r="6885" spans="3:7" x14ac:dyDescent="0.25">
      <c r="C6885" s="8"/>
      <c r="G6885" s="11"/>
    </row>
    <row r="6886" spans="3:7" x14ac:dyDescent="0.25">
      <c r="C6886" s="8"/>
      <c r="G6886" s="11"/>
    </row>
    <row r="6887" spans="3:7" x14ac:dyDescent="0.25">
      <c r="C6887" s="8"/>
      <c r="G6887" s="11"/>
    </row>
    <row r="6888" spans="3:7" x14ac:dyDescent="0.25">
      <c r="C6888" s="8"/>
      <c r="G6888" s="11"/>
    </row>
    <row r="6889" spans="3:7" x14ac:dyDescent="0.25">
      <c r="C6889" s="8"/>
      <c r="G6889" s="11"/>
    </row>
    <row r="6890" spans="3:7" x14ac:dyDescent="0.25">
      <c r="C6890" s="8"/>
      <c r="G6890" s="11"/>
    </row>
    <row r="6891" spans="3:7" x14ac:dyDescent="0.25">
      <c r="C6891" s="8"/>
      <c r="G6891" s="11"/>
    </row>
    <row r="6892" spans="3:7" x14ac:dyDescent="0.25">
      <c r="C6892" s="8"/>
      <c r="G6892" s="11"/>
    </row>
    <row r="6893" spans="3:7" x14ac:dyDescent="0.25">
      <c r="C6893" s="8"/>
      <c r="G6893" s="11"/>
    </row>
    <row r="6894" spans="3:7" x14ac:dyDescent="0.25">
      <c r="C6894" s="8"/>
      <c r="G6894" s="11"/>
    </row>
    <row r="6895" spans="3:7" x14ac:dyDescent="0.25">
      <c r="C6895" s="8"/>
      <c r="G6895" s="11"/>
    </row>
    <row r="6896" spans="3:7" x14ac:dyDescent="0.25">
      <c r="C6896" s="8"/>
      <c r="G6896" s="11"/>
    </row>
    <row r="6897" spans="3:7" x14ac:dyDescent="0.25">
      <c r="C6897" s="8"/>
      <c r="G6897" s="11"/>
    </row>
    <row r="6898" spans="3:7" x14ac:dyDescent="0.25">
      <c r="C6898" s="8"/>
      <c r="G6898" s="11"/>
    </row>
    <row r="6899" spans="3:7" x14ac:dyDescent="0.25">
      <c r="C6899" s="8"/>
      <c r="G6899" s="11"/>
    </row>
    <row r="6900" spans="3:7" x14ac:dyDescent="0.25">
      <c r="C6900" s="8"/>
      <c r="G6900" s="11"/>
    </row>
    <row r="6901" spans="3:7" x14ac:dyDescent="0.25">
      <c r="C6901" s="8"/>
      <c r="G6901" s="11"/>
    </row>
    <row r="6902" spans="3:7" x14ac:dyDescent="0.25">
      <c r="C6902" s="8"/>
      <c r="G6902" s="11"/>
    </row>
    <row r="6903" spans="3:7" x14ac:dyDescent="0.25">
      <c r="C6903" s="8"/>
      <c r="G6903" s="11"/>
    </row>
    <row r="6904" spans="3:7" x14ac:dyDescent="0.25">
      <c r="C6904" s="8"/>
      <c r="G6904" s="11"/>
    </row>
    <row r="6905" spans="3:7" x14ac:dyDescent="0.25">
      <c r="C6905" s="8"/>
      <c r="G6905" s="11"/>
    </row>
    <row r="6906" spans="3:7" x14ac:dyDescent="0.25">
      <c r="C6906" s="8"/>
      <c r="G6906" s="11"/>
    </row>
    <row r="6907" spans="3:7" x14ac:dyDescent="0.25">
      <c r="C6907" s="8"/>
      <c r="G6907" s="11"/>
    </row>
    <row r="6908" spans="3:7" x14ac:dyDescent="0.25">
      <c r="C6908" s="8"/>
      <c r="G6908" s="11"/>
    </row>
    <row r="6909" spans="3:7" x14ac:dyDescent="0.25">
      <c r="C6909" s="8"/>
      <c r="G6909" s="11"/>
    </row>
    <row r="6910" spans="3:7" x14ac:dyDescent="0.25">
      <c r="C6910" s="8"/>
      <c r="G6910" s="11"/>
    </row>
    <row r="6911" spans="3:7" x14ac:dyDescent="0.25">
      <c r="C6911" s="8"/>
      <c r="G6911" s="11"/>
    </row>
    <row r="6912" spans="3:7" x14ac:dyDescent="0.25">
      <c r="C6912" s="8"/>
      <c r="G6912" s="11"/>
    </row>
    <row r="6913" spans="3:7" x14ac:dyDescent="0.25">
      <c r="C6913" s="8"/>
      <c r="G6913" s="11"/>
    </row>
    <row r="6914" spans="3:7" x14ac:dyDescent="0.25">
      <c r="C6914" s="8"/>
      <c r="G6914" s="11"/>
    </row>
    <row r="6915" spans="3:7" x14ac:dyDescent="0.25">
      <c r="C6915" s="8"/>
      <c r="G6915" s="11"/>
    </row>
    <row r="6916" spans="3:7" x14ac:dyDescent="0.25">
      <c r="C6916" s="8"/>
      <c r="G6916" s="11"/>
    </row>
    <row r="6917" spans="3:7" x14ac:dyDescent="0.25">
      <c r="C6917" s="8"/>
      <c r="G6917" s="11"/>
    </row>
    <row r="6918" spans="3:7" x14ac:dyDescent="0.25">
      <c r="C6918" s="8"/>
      <c r="G6918" s="11"/>
    </row>
    <row r="6919" spans="3:7" x14ac:dyDescent="0.25">
      <c r="C6919" s="8"/>
      <c r="G6919" s="11"/>
    </row>
    <row r="6920" spans="3:7" x14ac:dyDescent="0.25">
      <c r="C6920" s="8"/>
      <c r="G6920" s="11"/>
    </row>
    <row r="6921" spans="3:7" x14ac:dyDescent="0.25">
      <c r="C6921" s="8"/>
      <c r="G6921" s="11"/>
    </row>
    <row r="6922" spans="3:7" x14ac:dyDescent="0.25">
      <c r="C6922" s="8"/>
      <c r="G6922" s="11"/>
    </row>
    <row r="6923" spans="3:7" x14ac:dyDescent="0.25">
      <c r="C6923" s="8"/>
      <c r="G6923" s="11"/>
    </row>
    <row r="6924" spans="3:7" x14ac:dyDescent="0.25">
      <c r="C6924" s="8"/>
      <c r="G6924" s="11"/>
    </row>
    <row r="6925" spans="3:7" x14ac:dyDescent="0.25">
      <c r="C6925" s="8"/>
      <c r="G6925" s="11"/>
    </row>
    <row r="6926" spans="3:7" x14ac:dyDescent="0.25">
      <c r="C6926" s="8"/>
      <c r="G6926" s="11"/>
    </row>
    <row r="6927" spans="3:7" x14ac:dyDescent="0.25">
      <c r="C6927" s="8"/>
      <c r="G6927" s="11"/>
    </row>
    <row r="6928" spans="3:7" x14ac:dyDescent="0.25">
      <c r="C6928" s="8"/>
      <c r="G6928" s="11"/>
    </row>
    <row r="6929" spans="3:7" x14ac:dyDescent="0.25">
      <c r="C6929" s="8"/>
      <c r="G6929" s="11"/>
    </row>
    <row r="6930" spans="3:7" x14ac:dyDescent="0.25">
      <c r="C6930" s="8"/>
      <c r="G6930" s="11"/>
    </row>
    <row r="6931" spans="3:7" x14ac:dyDescent="0.25">
      <c r="C6931" s="8"/>
      <c r="G6931" s="11"/>
    </row>
    <row r="6932" spans="3:7" x14ac:dyDescent="0.25">
      <c r="C6932" s="8"/>
      <c r="G6932" s="11"/>
    </row>
    <row r="6933" spans="3:7" x14ac:dyDescent="0.25">
      <c r="C6933" s="8"/>
      <c r="G6933" s="11"/>
    </row>
    <row r="6934" spans="3:7" x14ac:dyDescent="0.25">
      <c r="C6934" s="8"/>
      <c r="G6934" s="11"/>
    </row>
    <row r="6935" spans="3:7" x14ac:dyDescent="0.25">
      <c r="C6935" s="8"/>
      <c r="G6935" s="11"/>
    </row>
    <row r="6936" spans="3:7" x14ac:dyDescent="0.25">
      <c r="C6936" s="8"/>
      <c r="G6936" s="11"/>
    </row>
    <row r="6937" spans="3:7" x14ac:dyDescent="0.25">
      <c r="C6937" s="8"/>
      <c r="G6937" s="11"/>
    </row>
    <row r="6938" spans="3:7" x14ac:dyDescent="0.25">
      <c r="C6938" s="8"/>
      <c r="G6938" s="11"/>
    </row>
    <row r="6939" spans="3:7" x14ac:dyDescent="0.25">
      <c r="C6939" s="8"/>
      <c r="G6939" s="11"/>
    </row>
    <row r="6940" spans="3:7" x14ac:dyDescent="0.25">
      <c r="C6940" s="8"/>
      <c r="G6940" s="11"/>
    </row>
    <row r="6941" spans="3:7" x14ac:dyDescent="0.25">
      <c r="C6941" s="8"/>
      <c r="G6941" s="11"/>
    </row>
    <row r="6942" spans="3:7" x14ac:dyDescent="0.25">
      <c r="C6942" s="8"/>
      <c r="G6942" s="11"/>
    </row>
    <row r="6943" spans="3:7" x14ac:dyDescent="0.25">
      <c r="C6943" s="8"/>
      <c r="G6943" s="11"/>
    </row>
    <row r="6944" spans="3:7" x14ac:dyDescent="0.25">
      <c r="C6944" s="8"/>
      <c r="G6944" s="11"/>
    </row>
    <row r="6945" spans="3:7" x14ac:dyDescent="0.25">
      <c r="C6945" s="8"/>
      <c r="G6945" s="11"/>
    </row>
    <row r="6946" spans="3:7" x14ac:dyDescent="0.25">
      <c r="C6946" s="8"/>
      <c r="G6946" s="11"/>
    </row>
    <row r="6947" spans="3:7" x14ac:dyDescent="0.25">
      <c r="C6947" s="8"/>
      <c r="G6947" s="11"/>
    </row>
    <row r="6948" spans="3:7" x14ac:dyDescent="0.25">
      <c r="C6948" s="8"/>
      <c r="G6948" s="11"/>
    </row>
    <row r="6949" spans="3:7" x14ac:dyDescent="0.25">
      <c r="C6949" s="8"/>
      <c r="G6949" s="11"/>
    </row>
    <row r="6950" spans="3:7" x14ac:dyDescent="0.25">
      <c r="C6950" s="8"/>
      <c r="G6950" s="11"/>
    </row>
    <row r="6951" spans="3:7" x14ac:dyDescent="0.25">
      <c r="C6951" s="8"/>
      <c r="G6951" s="11"/>
    </row>
    <row r="6952" spans="3:7" x14ac:dyDescent="0.25">
      <c r="C6952" s="8"/>
      <c r="G6952" s="11"/>
    </row>
    <row r="6953" spans="3:7" x14ac:dyDescent="0.25">
      <c r="C6953" s="8"/>
      <c r="G6953" s="11"/>
    </row>
    <row r="6954" spans="3:7" x14ac:dyDescent="0.25">
      <c r="C6954" s="8"/>
      <c r="G6954" s="11"/>
    </row>
    <row r="6955" spans="3:7" x14ac:dyDescent="0.25">
      <c r="C6955" s="8"/>
      <c r="G6955" s="11"/>
    </row>
    <row r="6956" spans="3:7" x14ac:dyDescent="0.25">
      <c r="C6956" s="8"/>
      <c r="G6956" s="11"/>
    </row>
    <row r="6957" spans="3:7" x14ac:dyDescent="0.25">
      <c r="C6957" s="8"/>
      <c r="G6957" s="11"/>
    </row>
    <row r="6958" spans="3:7" x14ac:dyDescent="0.25">
      <c r="C6958" s="8"/>
      <c r="G6958" s="11"/>
    </row>
    <row r="6959" spans="3:7" x14ac:dyDescent="0.25">
      <c r="C6959" s="8"/>
      <c r="G6959" s="11"/>
    </row>
    <row r="6960" spans="3:7" x14ac:dyDescent="0.25">
      <c r="C6960" s="8"/>
      <c r="G6960" s="11"/>
    </row>
    <row r="6961" spans="3:7" x14ac:dyDescent="0.25">
      <c r="C6961" s="8"/>
      <c r="G6961" s="11"/>
    </row>
    <row r="6962" spans="3:7" x14ac:dyDescent="0.25">
      <c r="C6962" s="8"/>
      <c r="G6962" s="11"/>
    </row>
    <row r="6963" spans="3:7" x14ac:dyDescent="0.25">
      <c r="C6963" s="8"/>
      <c r="G6963" s="11"/>
    </row>
    <row r="6964" spans="3:7" x14ac:dyDescent="0.25">
      <c r="C6964" s="8"/>
      <c r="G6964" s="11"/>
    </row>
    <row r="6965" spans="3:7" x14ac:dyDescent="0.25">
      <c r="C6965" s="8"/>
      <c r="G6965" s="11"/>
    </row>
    <row r="6966" spans="3:7" x14ac:dyDescent="0.25">
      <c r="C6966" s="8"/>
      <c r="G6966" s="11"/>
    </row>
    <row r="6967" spans="3:7" x14ac:dyDescent="0.25">
      <c r="C6967" s="8"/>
      <c r="G6967" s="11"/>
    </row>
    <row r="6968" spans="3:7" x14ac:dyDescent="0.25">
      <c r="C6968" s="8"/>
      <c r="G6968" s="11"/>
    </row>
    <row r="6969" spans="3:7" x14ac:dyDescent="0.25">
      <c r="C6969" s="8"/>
      <c r="G6969" s="11"/>
    </row>
    <row r="6970" spans="3:7" x14ac:dyDescent="0.25">
      <c r="C6970" s="8"/>
      <c r="G6970" s="11"/>
    </row>
    <row r="6971" spans="3:7" x14ac:dyDescent="0.25">
      <c r="C6971" s="8"/>
      <c r="G6971" s="11"/>
    </row>
    <row r="6972" spans="3:7" x14ac:dyDescent="0.25">
      <c r="C6972" s="8"/>
      <c r="G6972" s="11"/>
    </row>
    <row r="6973" spans="3:7" x14ac:dyDescent="0.25">
      <c r="C6973" s="8"/>
      <c r="G6973" s="11"/>
    </row>
    <row r="6974" spans="3:7" x14ac:dyDescent="0.25">
      <c r="C6974" s="8"/>
      <c r="G6974" s="11"/>
    </row>
    <row r="6975" spans="3:7" x14ac:dyDescent="0.25">
      <c r="C6975" s="8"/>
      <c r="G6975" s="11"/>
    </row>
    <row r="6976" spans="3:7" x14ac:dyDescent="0.25">
      <c r="C6976" s="8"/>
      <c r="G6976" s="11"/>
    </row>
    <row r="6977" spans="3:7" x14ac:dyDescent="0.25">
      <c r="C6977" s="8"/>
      <c r="G6977" s="11"/>
    </row>
    <row r="6978" spans="3:7" x14ac:dyDescent="0.25">
      <c r="C6978" s="8"/>
      <c r="G6978" s="11"/>
    </row>
    <row r="6979" spans="3:7" x14ac:dyDescent="0.25">
      <c r="C6979" s="8"/>
      <c r="G6979" s="11"/>
    </row>
    <row r="6980" spans="3:7" x14ac:dyDescent="0.25">
      <c r="C6980" s="8"/>
      <c r="G6980" s="11"/>
    </row>
    <row r="6981" spans="3:7" x14ac:dyDescent="0.25">
      <c r="C6981" s="8"/>
      <c r="G6981" s="11"/>
    </row>
    <row r="6982" spans="3:7" x14ac:dyDescent="0.25">
      <c r="C6982" s="8"/>
      <c r="G6982" s="11"/>
    </row>
    <row r="6983" spans="3:7" x14ac:dyDescent="0.25">
      <c r="C6983" s="8"/>
      <c r="G6983" s="11"/>
    </row>
    <row r="6984" spans="3:7" x14ac:dyDescent="0.25">
      <c r="C6984" s="8"/>
      <c r="G6984" s="11"/>
    </row>
    <row r="6985" spans="3:7" x14ac:dyDescent="0.25">
      <c r="C6985" s="8"/>
      <c r="G6985" s="11"/>
    </row>
    <row r="6986" spans="3:7" x14ac:dyDescent="0.25">
      <c r="C6986" s="8"/>
      <c r="G6986" s="11"/>
    </row>
    <row r="6987" spans="3:7" x14ac:dyDescent="0.25">
      <c r="C6987" s="8"/>
      <c r="G6987" s="11"/>
    </row>
    <row r="6988" spans="3:7" x14ac:dyDescent="0.25">
      <c r="C6988" s="8"/>
      <c r="G6988" s="11"/>
    </row>
    <row r="6989" spans="3:7" x14ac:dyDescent="0.25">
      <c r="C6989" s="8"/>
      <c r="G6989" s="11"/>
    </row>
    <row r="6990" spans="3:7" x14ac:dyDescent="0.25">
      <c r="C6990" s="8"/>
      <c r="G6990" s="11"/>
    </row>
    <row r="6991" spans="3:7" x14ac:dyDescent="0.25">
      <c r="C6991" s="8"/>
      <c r="G6991" s="11"/>
    </row>
    <row r="6992" spans="3:7" x14ac:dyDescent="0.25">
      <c r="C6992" s="8"/>
      <c r="G6992" s="11"/>
    </row>
    <row r="6993" spans="3:7" x14ac:dyDescent="0.25">
      <c r="C6993" s="8"/>
      <c r="G6993" s="11"/>
    </row>
    <row r="6994" spans="3:7" x14ac:dyDescent="0.25">
      <c r="C6994" s="8"/>
      <c r="G6994" s="11"/>
    </row>
    <row r="6995" spans="3:7" x14ac:dyDescent="0.25">
      <c r="C6995" s="8"/>
      <c r="G6995" s="11"/>
    </row>
    <row r="6996" spans="3:7" x14ac:dyDescent="0.25">
      <c r="C6996" s="8"/>
      <c r="G6996" s="11"/>
    </row>
    <row r="6997" spans="3:7" x14ac:dyDescent="0.25">
      <c r="C6997" s="8"/>
      <c r="G6997" s="11"/>
    </row>
    <row r="6998" spans="3:7" x14ac:dyDescent="0.25">
      <c r="C6998" s="8"/>
      <c r="G6998" s="11"/>
    </row>
    <row r="6999" spans="3:7" x14ac:dyDescent="0.25">
      <c r="C6999" s="8"/>
      <c r="G6999" s="11"/>
    </row>
    <row r="7000" spans="3:7" x14ac:dyDescent="0.25">
      <c r="C7000" s="8"/>
      <c r="G7000" s="11"/>
    </row>
    <row r="7001" spans="3:7" x14ac:dyDescent="0.25">
      <c r="C7001" s="8"/>
      <c r="G7001" s="11"/>
    </row>
    <row r="7002" spans="3:7" x14ac:dyDescent="0.25">
      <c r="C7002" s="8"/>
      <c r="G7002" s="11"/>
    </row>
    <row r="7003" spans="3:7" x14ac:dyDescent="0.25">
      <c r="C7003" s="8"/>
      <c r="G7003" s="11"/>
    </row>
    <row r="7004" spans="3:7" x14ac:dyDescent="0.25">
      <c r="C7004" s="8"/>
      <c r="G7004" s="11"/>
    </row>
    <row r="7005" spans="3:7" x14ac:dyDescent="0.25">
      <c r="C7005" s="8"/>
      <c r="G7005" s="11"/>
    </row>
    <row r="7006" spans="3:7" x14ac:dyDescent="0.25">
      <c r="C7006" s="8"/>
      <c r="G7006" s="11"/>
    </row>
    <row r="7007" spans="3:7" x14ac:dyDescent="0.25">
      <c r="C7007" s="8"/>
      <c r="G7007" s="11"/>
    </row>
    <row r="7008" spans="3:7" x14ac:dyDescent="0.25">
      <c r="C7008" s="8"/>
      <c r="G7008" s="11"/>
    </row>
    <row r="7009" spans="3:7" x14ac:dyDescent="0.25">
      <c r="C7009" s="8"/>
      <c r="G7009" s="11"/>
    </row>
    <row r="7010" spans="3:7" x14ac:dyDescent="0.25">
      <c r="C7010" s="8"/>
      <c r="G7010" s="11"/>
    </row>
    <row r="7011" spans="3:7" x14ac:dyDescent="0.25">
      <c r="C7011" s="8"/>
      <c r="G7011" s="11"/>
    </row>
    <row r="7012" spans="3:7" x14ac:dyDescent="0.25">
      <c r="C7012" s="8"/>
      <c r="G7012" s="11"/>
    </row>
    <row r="7013" spans="3:7" x14ac:dyDescent="0.25">
      <c r="C7013" s="8"/>
      <c r="G7013" s="11"/>
    </row>
    <row r="7014" spans="3:7" x14ac:dyDescent="0.25">
      <c r="C7014" s="8"/>
      <c r="G7014" s="11"/>
    </row>
    <row r="7015" spans="3:7" x14ac:dyDescent="0.25">
      <c r="C7015" s="8"/>
      <c r="G7015" s="11"/>
    </row>
    <row r="7016" spans="3:7" x14ac:dyDescent="0.25">
      <c r="C7016" s="8"/>
      <c r="G7016" s="11"/>
    </row>
    <row r="7017" spans="3:7" x14ac:dyDescent="0.25">
      <c r="C7017" s="8"/>
      <c r="G7017" s="11"/>
    </row>
    <row r="7018" spans="3:7" x14ac:dyDescent="0.25">
      <c r="C7018" s="8"/>
      <c r="G7018" s="11"/>
    </row>
    <row r="7019" spans="3:7" x14ac:dyDescent="0.25">
      <c r="C7019" s="8"/>
      <c r="G7019" s="11"/>
    </row>
    <row r="7020" spans="3:7" x14ac:dyDescent="0.25">
      <c r="C7020" s="8"/>
      <c r="G7020" s="11"/>
    </row>
    <row r="7021" spans="3:7" x14ac:dyDescent="0.25">
      <c r="C7021" s="8"/>
      <c r="G7021" s="11"/>
    </row>
    <row r="7022" spans="3:7" x14ac:dyDescent="0.25">
      <c r="C7022" s="8"/>
      <c r="G7022" s="11"/>
    </row>
    <row r="7023" spans="3:7" x14ac:dyDescent="0.25">
      <c r="C7023" s="8"/>
      <c r="G7023" s="11"/>
    </row>
    <row r="7024" spans="3:7" x14ac:dyDescent="0.25">
      <c r="C7024" s="8"/>
      <c r="G7024" s="11"/>
    </row>
    <row r="7025" spans="3:7" x14ac:dyDescent="0.25">
      <c r="C7025" s="8"/>
      <c r="G7025" s="11"/>
    </row>
    <row r="7026" spans="3:7" x14ac:dyDescent="0.25">
      <c r="C7026" s="8"/>
      <c r="G7026" s="11"/>
    </row>
    <row r="7027" spans="3:7" x14ac:dyDescent="0.25">
      <c r="C7027" s="8"/>
      <c r="G7027" s="11"/>
    </row>
    <row r="7028" spans="3:7" x14ac:dyDescent="0.25">
      <c r="C7028" s="8"/>
      <c r="G7028" s="11"/>
    </row>
    <row r="7029" spans="3:7" x14ac:dyDescent="0.25">
      <c r="C7029" s="8"/>
      <c r="G7029" s="11"/>
    </row>
    <row r="7030" spans="3:7" x14ac:dyDescent="0.25">
      <c r="C7030" s="8"/>
      <c r="G7030" s="11"/>
    </row>
    <row r="7031" spans="3:7" x14ac:dyDescent="0.25">
      <c r="C7031" s="8"/>
      <c r="G7031" s="11"/>
    </row>
    <row r="7032" spans="3:7" x14ac:dyDescent="0.25">
      <c r="C7032" s="8"/>
      <c r="G7032" s="11"/>
    </row>
    <row r="7033" spans="3:7" x14ac:dyDescent="0.25">
      <c r="C7033" s="8"/>
      <c r="G7033" s="11"/>
    </row>
    <row r="7034" spans="3:7" x14ac:dyDescent="0.25">
      <c r="C7034" s="8"/>
      <c r="G7034" s="11"/>
    </row>
    <row r="7035" spans="3:7" x14ac:dyDescent="0.25">
      <c r="C7035" s="8"/>
      <c r="G7035" s="11"/>
    </row>
    <row r="7036" spans="3:7" x14ac:dyDescent="0.25">
      <c r="C7036" s="8"/>
      <c r="G7036" s="11"/>
    </row>
    <row r="7037" spans="3:7" x14ac:dyDescent="0.25">
      <c r="C7037" s="8"/>
      <c r="G7037" s="11"/>
    </row>
    <row r="7038" spans="3:7" x14ac:dyDescent="0.25">
      <c r="C7038" s="8"/>
      <c r="G7038" s="11"/>
    </row>
    <row r="7039" spans="3:7" x14ac:dyDescent="0.25">
      <c r="C7039" s="8"/>
      <c r="G7039" s="11"/>
    </row>
    <row r="7040" spans="3:7" x14ac:dyDescent="0.25">
      <c r="C7040" s="8"/>
      <c r="G7040" s="11"/>
    </row>
    <row r="7041" spans="3:7" x14ac:dyDescent="0.25">
      <c r="C7041" s="8"/>
      <c r="G7041" s="11"/>
    </row>
    <row r="7042" spans="3:7" x14ac:dyDescent="0.25">
      <c r="C7042" s="8"/>
      <c r="G7042" s="11"/>
    </row>
    <row r="7043" spans="3:7" x14ac:dyDescent="0.25">
      <c r="C7043" s="8"/>
      <c r="G7043" s="11"/>
    </row>
    <row r="7044" spans="3:7" x14ac:dyDescent="0.25">
      <c r="C7044" s="8"/>
      <c r="G7044" s="11"/>
    </row>
    <row r="7045" spans="3:7" x14ac:dyDescent="0.25">
      <c r="C7045" s="8"/>
      <c r="G7045" s="11"/>
    </row>
    <row r="7046" spans="3:7" x14ac:dyDescent="0.25">
      <c r="C7046" s="8"/>
      <c r="G7046" s="11"/>
    </row>
    <row r="7047" spans="3:7" x14ac:dyDescent="0.25">
      <c r="C7047" s="8"/>
      <c r="G7047" s="11"/>
    </row>
    <row r="7048" spans="3:7" x14ac:dyDescent="0.25">
      <c r="C7048" s="8"/>
      <c r="G7048" s="11"/>
    </row>
    <row r="7049" spans="3:7" x14ac:dyDescent="0.25">
      <c r="C7049" s="8"/>
      <c r="G7049" s="11"/>
    </row>
    <row r="7050" spans="3:7" x14ac:dyDescent="0.25">
      <c r="C7050" s="8"/>
      <c r="G7050" s="11"/>
    </row>
    <row r="7051" spans="3:7" x14ac:dyDescent="0.25">
      <c r="C7051" s="8"/>
      <c r="G7051" s="11"/>
    </row>
    <row r="7052" spans="3:7" x14ac:dyDescent="0.25">
      <c r="C7052" s="8"/>
      <c r="G7052" s="11"/>
    </row>
    <row r="7053" spans="3:7" x14ac:dyDescent="0.25">
      <c r="C7053" s="8"/>
      <c r="G7053" s="11"/>
    </row>
    <row r="7054" spans="3:7" x14ac:dyDescent="0.25">
      <c r="C7054" s="8"/>
      <c r="G7054" s="11"/>
    </row>
    <row r="7055" spans="3:7" x14ac:dyDescent="0.25">
      <c r="C7055" s="8"/>
      <c r="G7055" s="11"/>
    </row>
    <row r="7056" spans="3:7" x14ac:dyDescent="0.25">
      <c r="C7056" s="8"/>
      <c r="G7056" s="11"/>
    </row>
    <row r="7057" spans="3:7" x14ac:dyDescent="0.25">
      <c r="C7057" s="8"/>
      <c r="G7057" s="11"/>
    </row>
    <row r="7058" spans="3:7" x14ac:dyDescent="0.25">
      <c r="C7058" s="8"/>
      <c r="G7058" s="11"/>
    </row>
    <row r="7059" spans="3:7" x14ac:dyDescent="0.25">
      <c r="C7059" s="8"/>
      <c r="G7059" s="11"/>
    </row>
    <row r="7060" spans="3:7" x14ac:dyDescent="0.25">
      <c r="C7060" s="8"/>
      <c r="G7060" s="11"/>
    </row>
    <row r="7061" spans="3:7" x14ac:dyDescent="0.25">
      <c r="C7061" s="8"/>
      <c r="G7061" s="11"/>
    </row>
    <row r="7062" spans="3:7" x14ac:dyDescent="0.25">
      <c r="C7062" s="8"/>
      <c r="G7062" s="11"/>
    </row>
    <row r="7063" spans="3:7" x14ac:dyDescent="0.25">
      <c r="C7063" s="8"/>
      <c r="G7063" s="11"/>
    </row>
    <row r="7064" spans="3:7" x14ac:dyDescent="0.25">
      <c r="C7064" s="8"/>
      <c r="G7064" s="11"/>
    </row>
    <row r="7065" spans="3:7" x14ac:dyDescent="0.25">
      <c r="C7065" s="8"/>
      <c r="G7065" s="11"/>
    </row>
    <row r="7066" spans="3:7" x14ac:dyDescent="0.25">
      <c r="C7066" s="8"/>
      <c r="G7066" s="11"/>
    </row>
    <row r="7067" spans="3:7" x14ac:dyDescent="0.25">
      <c r="C7067" s="8"/>
      <c r="G7067" s="11"/>
    </row>
    <row r="7068" spans="3:7" x14ac:dyDescent="0.25">
      <c r="C7068" s="8"/>
      <c r="G7068" s="11"/>
    </row>
    <row r="7069" spans="3:7" x14ac:dyDescent="0.25">
      <c r="C7069" s="8"/>
      <c r="G7069" s="11"/>
    </row>
    <row r="7070" spans="3:7" x14ac:dyDescent="0.25">
      <c r="C7070" s="8"/>
      <c r="G7070" s="11"/>
    </row>
    <row r="7071" spans="3:7" x14ac:dyDescent="0.25">
      <c r="C7071" s="8"/>
      <c r="G7071" s="11"/>
    </row>
    <row r="7072" spans="3:7" x14ac:dyDescent="0.25">
      <c r="C7072" s="8"/>
      <c r="G7072" s="11"/>
    </row>
    <row r="7073" spans="3:7" x14ac:dyDescent="0.25">
      <c r="C7073" s="8"/>
      <c r="G7073" s="11"/>
    </row>
    <row r="7074" spans="3:7" x14ac:dyDescent="0.25">
      <c r="C7074" s="8"/>
      <c r="G7074" s="11"/>
    </row>
    <row r="7075" spans="3:7" x14ac:dyDescent="0.25">
      <c r="C7075" s="8"/>
      <c r="G7075" s="11"/>
    </row>
    <row r="7076" spans="3:7" x14ac:dyDescent="0.25">
      <c r="C7076" s="8"/>
      <c r="G7076" s="11"/>
    </row>
    <row r="7077" spans="3:7" x14ac:dyDescent="0.25">
      <c r="C7077" s="8"/>
      <c r="G7077" s="11"/>
    </row>
    <row r="7078" spans="3:7" x14ac:dyDescent="0.25">
      <c r="C7078" s="8"/>
      <c r="G7078" s="11"/>
    </row>
    <row r="7079" spans="3:7" x14ac:dyDescent="0.25">
      <c r="C7079" s="8"/>
      <c r="G7079" s="11"/>
    </row>
    <row r="7080" spans="3:7" x14ac:dyDescent="0.25">
      <c r="C7080" s="8"/>
      <c r="G7080" s="11"/>
    </row>
    <row r="7081" spans="3:7" x14ac:dyDescent="0.25">
      <c r="C7081" s="8"/>
      <c r="G7081" s="11"/>
    </row>
    <row r="7082" spans="3:7" x14ac:dyDescent="0.25">
      <c r="C7082" s="8"/>
      <c r="G7082" s="11"/>
    </row>
    <row r="7083" spans="3:7" x14ac:dyDescent="0.25">
      <c r="C7083" s="8"/>
      <c r="G7083" s="11"/>
    </row>
    <row r="7084" spans="3:7" x14ac:dyDescent="0.25">
      <c r="C7084" s="8"/>
      <c r="G7084" s="11"/>
    </row>
    <row r="7085" spans="3:7" x14ac:dyDescent="0.25">
      <c r="C7085" s="8"/>
      <c r="G7085" s="11"/>
    </row>
    <row r="7086" spans="3:7" x14ac:dyDescent="0.25">
      <c r="C7086" s="8"/>
      <c r="G7086" s="11"/>
    </row>
    <row r="7087" spans="3:7" x14ac:dyDescent="0.25">
      <c r="C7087" s="8"/>
      <c r="G7087" s="11"/>
    </row>
    <row r="7088" spans="3:7" x14ac:dyDescent="0.25">
      <c r="C7088" s="8"/>
      <c r="G7088" s="11"/>
    </row>
    <row r="7089" spans="3:7" x14ac:dyDescent="0.25">
      <c r="C7089" s="8"/>
      <c r="G7089" s="11"/>
    </row>
    <row r="7090" spans="3:7" x14ac:dyDescent="0.25">
      <c r="C7090" s="8"/>
      <c r="G7090" s="11"/>
    </row>
    <row r="7091" spans="3:7" x14ac:dyDescent="0.25">
      <c r="C7091" s="8"/>
      <c r="G7091" s="11"/>
    </row>
    <row r="7092" spans="3:7" x14ac:dyDescent="0.25">
      <c r="C7092" s="8"/>
      <c r="G7092" s="11"/>
    </row>
    <row r="7093" spans="3:7" x14ac:dyDescent="0.25">
      <c r="C7093" s="8"/>
      <c r="G7093" s="11"/>
    </row>
    <row r="7094" spans="3:7" x14ac:dyDescent="0.25">
      <c r="C7094" s="8"/>
      <c r="G7094" s="11"/>
    </row>
    <row r="7095" spans="3:7" x14ac:dyDescent="0.25">
      <c r="C7095" s="8"/>
      <c r="G7095" s="11"/>
    </row>
    <row r="7096" spans="3:7" x14ac:dyDescent="0.25">
      <c r="C7096" s="8"/>
      <c r="G7096" s="11"/>
    </row>
    <row r="7097" spans="3:7" x14ac:dyDescent="0.25">
      <c r="C7097" s="8"/>
      <c r="G7097" s="11"/>
    </row>
    <row r="7098" spans="3:7" x14ac:dyDescent="0.25">
      <c r="C7098" s="8"/>
      <c r="G7098" s="11"/>
    </row>
    <row r="7099" spans="3:7" x14ac:dyDescent="0.25">
      <c r="C7099" s="8"/>
      <c r="G7099" s="11"/>
    </row>
    <row r="7100" spans="3:7" x14ac:dyDescent="0.25">
      <c r="C7100" s="8"/>
      <c r="G7100" s="11"/>
    </row>
    <row r="7101" spans="3:7" x14ac:dyDescent="0.25">
      <c r="C7101" s="8"/>
      <c r="G7101" s="11"/>
    </row>
    <row r="7102" spans="3:7" x14ac:dyDescent="0.25">
      <c r="C7102" s="8"/>
      <c r="G7102" s="11"/>
    </row>
    <row r="7103" spans="3:7" x14ac:dyDescent="0.25">
      <c r="C7103" s="8"/>
      <c r="G7103" s="11"/>
    </row>
    <row r="7104" spans="3:7" x14ac:dyDescent="0.25">
      <c r="C7104" s="8"/>
      <c r="G7104" s="11"/>
    </row>
    <row r="7105" spans="3:7" x14ac:dyDescent="0.25">
      <c r="C7105" s="8"/>
      <c r="G7105" s="11"/>
    </row>
    <row r="7106" spans="3:7" x14ac:dyDescent="0.25">
      <c r="C7106" s="8"/>
      <c r="G7106" s="11"/>
    </row>
    <row r="7107" spans="3:7" x14ac:dyDescent="0.25">
      <c r="C7107" s="8"/>
      <c r="G7107" s="11"/>
    </row>
    <row r="7108" spans="3:7" x14ac:dyDescent="0.25">
      <c r="C7108" s="8"/>
      <c r="G7108" s="11"/>
    </row>
    <row r="7109" spans="3:7" x14ac:dyDescent="0.25">
      <c r="C7109" s="8"/>
      <c r="G7109" s="11"/>
    </row>
    <row r="7110" spans="3:7" x14ac:dyDescent="0.25">
      <c r="C7110" s="8"/>
      <c r="G7110" s="11"/>
    </row>
    <row r="7111" spans="3:7" x14ac:dyDescent="0.25">
      <c r="C7111" s="8"/>
      <c r="G7111" s="11"/>
    </row>
    <row r="7112" spans="3:7" x14ac:dyDescent="0.25">
      <c r="C7112" s="8"/>
      <c r="G7112" s="11"/>
    </row>
    <row r="7113" spans="3:7" x14ac:dyDescent="0.25">
      <c r="C7113" s="8"/>
      <c r="G7113" s="11"/>
    </row>
    <row r="7114" spans="3:7" x14ac:dyDescent="0.25">
      <c r="C7114" s="8"/>
      <c r="G7114" s="11"/>
    </row>
    <row r="7115" spans="3:7" x14ac:dyDescent="0.25">
      <c r="C7115" s="8"/>
      <c r="G7115" s="11"/>
    </row>
    <row r="7116" spans="3:7" x14ac:dyDescent="0.25">
      <c r="C7116" s="8"/>
      <c r="G7116" s="11"/>
    </row>
    <row r="7117" spans="3:7" x14ac:dyDescent="0.25">
      <c r="C7117" s="8"/>
      <c r="G7117" s="11"/>
    </row>
    <row r="7118" spans="3:7" x14ac:dyDescent="0.25">
      <c r="C7118" s="8"/>
      <c r="G7118" s="11"/>
    </row>
    <row r="7119" spans="3:7" x14ac:dyDescent="0.25">
      <c r="C7119" s="8"/>
      <c r="G7119" s="11"/>
    </row>
    <row r="7120" spans="3:7" x14ac:dyDescent="0.25">
      <c r="C7120" s="8"/>
      <c r="G7120" s="11"/>
    </row>
    <row r="7121" spans="3:7" x14ac:dyDescent="0.25">
      <c r="C7121" s="8"/>
      <c r="G7121" s="11"/>
    </row>
    <row r="7122" spans="3:7" x14ac:dyDescent="0.25">
      <c r="C7122" s="8"/>
      <c r="G7122" s="11"/>
    </row>
    <row r="7123" spans="3:7" x14ac:dyDescent="0.25">
      <c r="C7123" s="8"/>
      <c r="G7123" s="11"/>
    </row>
    <row r="7124" spans="3:7" x14ac:dyDescent="0.25">
      <c r="C7124" s="8"/>
      <c r="G7124" s="11"/>
    </row>
    <row r="7125" spans="3:7" x14ac:dyDescent="0.25">
      <c r="C7125" s="8"/>
      <c r="G7125" s="11"/>
    </row>
    <row r="7126" spans="3:7" x14ac:dyDescent="0.25">
      <c r="C7126" s="8"/>
      <c r="G7126" s="11"/>
    </row>
    <row r="7127" spans="3:7" x14ac:dyDescent="0.25">
      <c r="C7127" s="8"/>
      <c r="G7127" s="11"/>
    </row>
    <row r="7128" spans="3:7" x14ac:dyDescent="0.25">
      <c r="C7128" s="8"/>
      <c r="G7128" s="11"/>
    </row>
    <row r="7129" spans="3:7" x14ac:dyDescent="0.25">
      <c r="C7129" s="8"/>
      <c r="G7129" s="11"/>
    </row>
    <row r="7130" spans="3:7" x14ac:dyDescent="0.25">
      <c r="C7130" s="8"/>
      <c r="G7130" s="11"/>
    </row>
    <row r="7131" spans="3:7" x14ac:dyDescent="0.25">
      <c r="C7131" s="8"/>
      <c r="G7131" s="11"/>
    </row>
    <row r="7132" spans="3:7" x14ac:dyDescent="0.25">
      <c r="C7132" s="8"/>
      <c r="G7132" s="11"/>
    </row>
    <row r="7133" spans="3:7" x14ac:dyDescent="0.25">
      <c r="C7133" s="8"/>
      <c r="G7133" s="11"/>
    </row>
    <row r="7134" spans="3:7" x14ac:dyDescent="0.25">
      <c r="C7134" s="8"/>
      <c r="G7134" s="11"/>
    </row>
    <row r="7135" spans="3:7" x14ac:dyDescent="0.25">
      <c r="C7135" s="8"/>
      <c r="G7135" s="11"/>
    </row>
    <row r="7136" spans="3:7" x14ac:dyDescent="0.25">
      <c r="C7136" s="8"/>
      <c r="G7136" s="11"/>
    </row>
    <row r="7137" spans="3:7" x14ac:dyDescent="0.25">
      <c r="C7137" s="8"/>
      <c r="G7137" s="11"/>
    </row>
    <row r="7138" spans="3:7" x14ac:dyDescent="0.25">
      <c r="C7138" s="8"/>
      <c r="G7138" s="11"/>
    </row>
    <row r="7139" spans="3:7" x14ac:dyDescent="0.25">
      <c r="C7139" s="8"/>
      <c r="G7139" s="11"/>
    </row>
    <row r="7140" spans="3:7" x14ac:dyDescent="0.25">
      <c r="C7140" s="8"/>
      <c r="G7140" s="11"/>
    </row>
    <row r="7141" spans="3:7" x14ac:dyDescent="0.25">
      <c r="C7141" s="8"/>
      <c r="G7141" s="11"/>
    </row>
    <row r="7142" spans="3:7" x14ac:dyDescent="0.25">
      <c r="C7142" s="8"/>
      <c r="G7142" s="11"/>
    </row>
    <row r="7143" spans="3:7" x14ac:dyDescent="0.25">
      <c r="C7143" s="8"/>
      <c r="G7143" s="11"/>
    </row>
    <row r="7144" spans="3:7" x14ac:dyDescent="0.25">
      <c r="C7144" s="8"/>
      <c r="G7144" s="11"/>
    </row>
    <row r="7145" spans="3:7" x14ac:dyDescent="0.25">
      <c r="C7145" s="8"/>
      <c r="G7145" s="11"/>
    </row>
    <row r="7146" spans="3:7" x14ac:dyDescent="0.25">
      <c r="C7146" s="8"/>
      <c r="G7146" s="11"/>
    </row>
    <row r="7147" spans="3:7" x14ac:dyDescent="0.25">
      <c r="C7147" s="8"/>
      <c r="G7147" s="11"/>
    </row>
    <row r="7148" spans="3:7" x14ac:dyDescent="0.25">
      <c r="C7148" s="8"/>
      <c r="G7148" s="11"/>
    </row>
    <row r="7149" spans="3:7" x14ac:dyDescent="0.25">
      <c r="C7149" s="8"/>
      <c r="G7149" s="11"/>
    </row>
    <row r="7150" spans="3:7" x14ac:dyDescent="0.25">
      <c r="C7150" s="8"/>
      <c r="G7150" s="11"/>
    </row>
    <row r="7151" spans="3:7" x14ac:dyDescent="0.25">
      <c r="C7151" s="8"/>
      <c r="G7151" s="11"/>
    </row>
    <row r="7152" spans="3:7" x14ac:dyDescent="0.25">
      <c r="C7152" s="8"/>
      <c r="G7152" s="11"/>
    </row>
    <row r="7153" spans="3:7" x14ac:dyDescent="0.25">
      <c r="C7153" s="8"/>
      <c r="G7153" s="11"/>
    </row>
    <row r="7154" spans="3:7" x14ac:dyDescent="0.25">
      <c r="C7154" s="8"/>
      <c r="G7154" s="11"/>
    </row>
    <row r="7155" spans="3:7" x14ac:dyDescent="0.25">
      <c r="C7155" s="8"/>
      <c r="G7155" s="11"/>
    </row>
    <row r="7156" spans="3:7" x14ac:dyDescent="0.25">
      <c r="C7156" s="8"/>
      <c r="G7156" s="11"/>
    </row>
    <row r="7157" spans="3:7" x14ac:dyDescent="0.25">
      <c r="C7157" s="8"/>
      <c r="G7157" s="11"/>
    </row>
    <row r="7158" spans="3:7" x14ac:dyDescent="0.25">
      <c r="C7158" s="8"/>
      <c r="G7158" s="11"/>
    </row>
    <row r="7159" spans="3:7" x14ac:dyDescent="0.25">
      <c r="C7159" s="8"/>
      <c r="G7159" s="11"/>
    </row>
    <row r="7160" spans="3:7" x14ac:dyDescent="0.25">
      <c r="C7160" s="8"/>
      <c r="G7160" s="11"/>
    </row>
    <row r="7161" spans="3:7" x14ac:dyDescent="0.25">
      <c r="C7161" s="8"/>
      <c r="G7161" s="11"/>
    </row>
    <row r="7162" spans="3:7" x14ac:dyDescent="0.25">
      <c r="C7162" s="8"/>
      <c r="G7162" s="11"/>
    </row>
    <row r="7163" spans="3:7" x14ac:dyDescent="0.25">
      <c r="C7163" s="8"/>
      <c r="G7163" s="11"/>
    </row>
    <row r="7164" spans="3:7" x14ac:dyDescent="0.25">
      <c r="C7164" s="8"/>
      <c r="G7164" s="11"/>
    </row>
    <row r="7165" spans="3:7" x14ac:dyDescent="0.25">
      <c r="C7165" s="8"/>
      <c r="G7165" s="11"/>
    </row>
    <row r="7166" spans="3:7" x14ac:dyDescent="0.25">
      <c r="C7166" s="8"/>
      <c r="G7166" s="11"/>
    </row>
    <row r="7167" spans="3:7" x14ac:dyDescent="0.25">
      <c r="C7167" s="8"/>
      <c r="G7167" s="11"/>
    </row>
    <row r="7168" spans="3:7" x14ac:dyDescent="0.25">
      <c r="C7168" s="8"/>
      <c r="G7168" s="11"/>
    </row>
    <row r="7169" spans="3:7" x14ac:dyDescent="0.25">
      <c r="C7169" s="8"/>
      <c r="G7169" s="11"/>
    </row>
    <row r="7170" spans="3:7" x14ac:dyDescent="0.25">
      <c r="C7170" s="8"/>
      <c r="G7170" s="11"/>
    </row>
    <row r="7171" spans="3:7" x14ac:dyDescent="0.25">
      <c r="C7171" s="8"/>
      <c r="G7171" s="11"/>
    </row>
    <row r="7172" spans="3:7" x14ac:dyDescent="0.25">
      <c r="C7172" s="8"/>
      <c r="G7172" s="11"/>
    </row>
    <row r="7173" spans="3:7" x14ac:dyDescent="0.25">
      <c r="C7173" s="8"/>
      <c r="G7173" s="11"/>
    </row>
    <row r="7174" spans="3:7" x14ac:dyDescent="0.25">
      <c r="C7174" s="8"/>
      <c r="G7174" s="11"/>
    </row>
    <row r="7175" spans="3:7" x14ac:dyDescent="0.25">
      <c r="C7175" s="8"/>
      <c r="G7175" s="11"/>
    </row>
    <row r="7176" spans="3:7" x14ac:dyDescent="0.25">
      <c r="C7176" s="8"/>
      <c r="G7176" s="11"/>
    </row>
    <row r="7177" spans="3:7" x14ac:dyDescent="0.25">
      <c r="C7177" s="8"/>
      <c r="G7177" s="11"/>
    </row>
    <row r="7178" spans="3:7" x14ac:dyDescent="0.25">
      <c r="C7178" s="8"/>
      <c r="G7178" s="11"/>
    </row>
    <row r="7179" spans="3:7" x14ac:dyDescent="0.25">
      <c r="C7179" s="8"/>
      <c r="G7179" s="11"/>
    </row>
    <row r="7180" spans="3:7" x14ac:dyDescent="0.25">
      <c r="C7180" s="8"/>
      <c r="G7180" s="11"/>
    </row>
    <row r="7181" spans="3:7" x14ac:dyDescent="0.25">
      <c r="C7181" s="8"/>
      <c r="G7181" s="11"/>
    </row>
    <row r="7182" spans="3:7" x14ac:dyDescent="0.25">
      <c r="C7182" s="8"/>
      <c r="G7182" s="11"/>
    </row>
    <row r="7183" spans="3:7" x14ac:dyDescent="0.25">
      <c r="C7183" s="8"/>
      <c r="G7183" s="11"/>
    </row>
    <row r="7184" spans="3:7" x14ac:dyDescent="0.25">
      <c r="C7184" s="8"/>
      <c r="G7184" s="11"/>
    </row>
    <row r="7185" spans="3:7" x14ac:dyDescent="0.25">
      <c r="C7185" s="8"/>
      <c r="G7185" s="11"/>
    </row>
    <row r="7186" spans="3:7" x14ac:dyDescent="0.25">
      <c r="C7186" s="8"/>
      <c r="G7186" s="11"/>
    </row>
    <row r="7187" spans="3:7" x14ac:dyDescent="0.25">
      <c r="C7187" s="8"/>
      <c r="G7187" s="11"/>
    </row>
    <row r="7188" spans="3:7" x14ac:dyDescent="0.25">
      <c r="C7188" s="8"/>
      <c r="G7188" s="11"/>
    </row>
    <row r="7189" spans="3:7" x14ac:dyDescent="0.25">
      <c r="C7189" s="8"/>
      <c r="G7189" s="11"/>
    </row>
    <row r="7190" spans="3:7" x14ac:dyDescent="0.25">
      <c r="C7190" s="8"/>
      <c r="G7190" s="11"/>
    </row>
    <row r="7191" spans="3:7" x14ac:dyDescent="0.25">
      <c r="C7191" s="8"/>
      <c r="G7191" s="11"/>
    </row>
    <row r="7192" spans="3:7" x14ac:dyDescent="0.25">
      <c r="C7192" s="8"/>
      <c r="G7192" s="11"/>
    </row>
    <row r="7193" spans="3:7" x14ac:dyDescent="0.25">
      <c r="C7193" s="8"/>
      <c r="G7193" s="11"/>
    </row>
    <row r="7194" spans="3:7" x14ac:dyDescent="0.25">
      <c r="C7194" s="8"/>
      <c r="G7194" s="11"/>
    </row>
    <row r="7195" spans="3:7" x14ac:dyDescent="0.25">
      <c r="C7195" s="8"/>
      <c r="G7195" s="11"/>
    </row>
    <row r="7196" spans="3:7" x14ac:dyDescent="0.25">
      <c r="C7196" s="8"/>
      <c r="G7196" s="11"/>
    </row>
    <row r="7197" spans="3:7" x14ac:dyDescent="0.25">
      <c r="C7197" s="8"/>
      <c r="G7197" s="11"/>
    </row>
    <row r="7198" spans="3:7" x14ac:dyDescent="0.25">
      <c r="C7198" s="8"/>
      <c r="G7198" s="11"/>
    </row>
    <row r="7199" spans="3:7" x14ac:dyDescent="0.25">
      <c r="C7199" s="8"/>
      <c r="G7199" s="11"/>
    </row>
    <row r="7200" spans="3:7" x14ac:dyDescent="0.25">
      <c r="C7200" s="8"/>
      <c r="G7200" s="11"/>
    </row>
    <row r="7201" spans="3:7" x14ac:dyDescent="0.25">
      <c r="C7201" s="8"/>
      <c r="G7201" s="11"/>
    </row>
    <row r="7202" spans="3:7" x14ac:dyDescent="0.25">
      <c r="C7202" s="8"/>
      <c r="G7202" s="11"/>
    </row>
    <row r="7203" spans="3:7" x14ac:dyDescent="0.25">
      <c r="C7203" s="8"/>
      <c r="G7203" s="11"/>
    </row>
    <row r="7204" spans="3:7" x14ac:dyDescent="0.25">
      <c r="C7204" s="8"/>
      <c r="G7204" s="11"/>
    </row>
    <row r="7205" spans="3:7" x14ac:dyDescent="0.25">
      <c r="C7205" s="8"/>
      <c r="G7205" s="11"/>
    </row>
    <row r="7206" spans="3:7" x14ac:dyDescent="0.25">
      <c r="C7206" s="8"/>
      <c r="G7206" s="11"/>
    </row>
    <row r="7207" spans="3:7" x14ac:dyDescent="0.25">
      <c r="C7207" s="8"/>
      <c r="G7207" s="11"/>
    </row>
    <row r="7208" spans="3:7" x14ac:dyDescent="0.25">
      <c r="C7208" s="8"/>
      <c r="G7208" s="11"/>
    </row>
    <row r="7209" spans="3:7" x14ac:dyDescent="0.25">
      <c r="C7209" s="8"/>
      <c r="G7209" s="11"/>
    </row>
    <row r="7210" spans="3:7" x14ac:dyDescent="0.25">
      <c r="C7210" s="8"/>
      <c r="G7210" s="11"/>
    </row>
    <row r="7211" spans="3:7" x14ac:dyDescent="0.25">
      <c r="C7211" s="8"/>
      <c r="G7211" s="11"/>
    </row>
    <row r="7212" spans="3:7" x14ac:dyDescent="0.25">
      <c r="C7212" s="8"/>
      <c r="G7212" s="11"/>
    </row>
    <row r="7213" spans="3:7" x14ac:dyDescent="0.25">
      <c r="C7213" s="8"/>
      <c r="G7213" s="11"/>
    </row>
    <row r="7214" spans="3:7" x14ac:dyDescent="0.25">
      <c r="C7214" s="8"/>
      <c r="G7214" s="11"/>
    </row>
    <row r="7215" spans="3:7" x14ac:dyDescent="0.25">
      <c r="C7215" s="8"/>
      <c r="G7215" s="11"/>
    </row>
    <row r="7216" spans="3:7" x14ac:dyDescent="0.25">
      <c r="C7216" s="8"/>
      <c r="G7216" s="11"/>
    </row>
    <row r="7217" spans="3:7" x14ac:dyDescent="0.25">
      <c r="C7217" s="8"/>
      <c r="G7217" s="11"/>
    </row>
    <row r="7218" spans="3:7" x14ac:dyDescent="0.25">
      <c r="C7218" s="8"/>
      <c r="G7218" s="11"/>
    </row>
    <row r="7219" spans="3:7" x14ac:dyDescent="0.25">
      <c r="C7219" s="8"/>
      <c r="G7219" s="11"/>
    </row>
    <row r="7220" spans="3:7" x14ac:dyDescent="0.25">
      <c r="C7220" s="8"/>
      <c r="G7220" s="11"/>
    </row>
    <row r="7221" spans="3:7" x14ac:dyDescent="0.25">
      <c r="C7221" s="8"/>
      <c r="G7221" s="11"/>
    </row>
    <row r="7222" spans="3:7" x14ac:dyDescent="0.25">
      <c r="C7222" s="8"/>
      <c r="G7222" s="11"/>
    </row>
    <row r="7223" spans="3:7" x14ac:dyDescent="0.25">
      <c r="C7223" s="8"/>
      <c r="G7223" s="11"/>
    </row>
    <row r="7224" spans="3:7" x14ac:dyDescent="0.25">
      <c r="C7224" s="8"/>
      <c r="G7224" s="11"/>
    </row>
    <row r="7225" spans="3:7" x14ac:dyDescent="0.25">
      <c r="C7225" s="8"/>
      <c r="G7225" s="11"/>
    </row>
    <row r="7226" spans="3:7" x14ac:dyDescent="0.25">
      <c r="C7226" s="8"/>
      <c r="G7226" s="11"/>
    </row>
    <row r="7227" spans="3:7" x14ac:dyDescent="0.25">
      <c r="C7227" s="8"/>
      <c r="G7227" s="11"/>
    </row>
    <row r="7228" spans="3:7" x14ac:dyDescent="0.25">
      <c r="C7228" s="8"/>
      <c r="G7228" s="11"/>
    </row>
    <row r="7229" spans="3:7" x14ac:dyDescent="0.25">
      <c r="C7229" s="8"/>
      <c r="G7229" s="11"/>
    </row>
    <row r="7230" spans="3:7" x14ac:dyDescent="0.25">
      <c r="C7230" s="8"/>
      <c r="G7230" s="11"/>
    </row>
    <row r="7231" spans="3:7" x14ac:dyDescent="0.25">
      <c r="C7231" s="8"/>
      <c r="G7231" s="11"/>
    </row>
    <row r="7232" spans="3:7" x14ac:dyDescent="0.25">
      <c r="C7232" s="8"/>
      <c r="G7232" s="11"/>
    </row>
    <row r="7233" spans="3:7" x14ac:dyDescent="0.25">
      <c r="C7233" s="8"/>
      <c r="G7233" s="11"/>
    </row>
    <row r="7234" spans="3:7" x14ac:dyDescent="0.25">
      <c r="C7234" s="8"/>
      <c r="G7234" s="11"/>
    </row>
    <row r="7235" spans="3:7" x14ac:dyDescent="0.25">
      <c r="C7235" s="8"/>
      <c r="G7235" s="11"/>
    </row>
    <row r="7236" spans="3:7" x14ac:dyDescent="0.25">
      <c r="C7236" s="8"/>
      <c r="G7236" s="11"/>
    </row>
    <row r="7237" spans="3:7" x14ac:dyDescent="0.25">
      <c r="C7237" s="8"/>
      <c r="G7237" s="11"/>
    </row>
    <row r="7238" spans="3:7" x14ac:dyDescent="0.25">
      <c r="C7238" s="8"/>
      <c r="G7238" s="11"/>
    </row>
    <row r="7239" spans="3:7" x14ac:dyDescent="0.25">
      <c r="C7239" s="8"/>
      <c r="G7239" s="11"/>
    </row>
    <row r="7240" spans="3:7" x14ac:dyDescent="0.25">
      <c r="C7240" s="8"/>
      <c r="G7240" s="11"/>
    </row>
    <row r="7241" spans="3:7" x14ac:dyDescent="0.25">
      <c r="C7241" s="8"/>
      <c r="G7241" s="11"/>
    </row>
    <row r="7242" spans="3:7" x14ac:dyDescent="0.25">
      <c r="C7242" s="8"/>
      <c r="G7242" s="11"/>
    </row>
    <row r="7243" spans="3:7" x14ac:dyDescent="0.25">
      <c r="C7243" s="8"/>
      <c r="G7243" s="11"/>
    </row>
    <row r="7244" spans="3:7" x14ac:dyDescent="0.25">
      <c r="C7244" s="8"/>
      <c r="G7244" s="11"/>
    </row>
    <row r="7245" spans="3:7" x14ac:dyDescent="0.25">
      <c r="C7245" s="8"/>
      <c r="G7245" s="11"/>
    </row>
    <row r="7246" spans="3:7" x14ac:dyDescent="0.25">
      <c r="C7246" s="8"/>
      <c r="G7246" s="11"/>
    </row>
    <row r="7247" spans="3:7" x14ac:dyDescent="0.25">
      <c r="C7247" s="8"/>
      <c r="G7247" s="11"/>
    </row>
    <row r="7248" spans="3:7" x14ac:dyDescent="0.25">
      <c r="C7248" s="8"/>
      <c r="G7248" s="11"/>
    </row>
    <row r="7249" spans="3:7" x14ac:dyDescent="0.25">
      <c r="C7249" s="8"/>
      <c r="G7249" s="11"/>
    </row>
    <row r="7250" spans="3:7" x14ac:dyDescent="0.25">
      <c r="C7250" s="8"/>
      <c r="G7250" s="11"/>
    </row>
    <row r="7251" spans="3:7" x14ac:dyDescent="0.25">
      <c r="C7251" s="8"/>
      <c r="G7251" s="11"/>
    </row>
    <row r="7252" spans="3:7" x14ac:dyDescent="0.25">
      <c r="C7252" s="8"/>
      <c r="G7252" s="11"/>
    </row>
    <row r="7253" spans="3:7" x14ac:dyDescent="0.25">
      <c r="C7253" s="8"/>
      <c r="G7253" s="11"/>
    </row>
    <row r="7254" spans="3:7" x14ac:dyDescent="0.25">
      <c r="C7254" s="8"/>
      <c r="G7254" s="11"/>
    </row>
    <row r="7255" spans="3:7" x14ac:dyDescent="0.25">
      <c r="C7255" s="8"/>
      <c r="G7255" s="11"/>
    </row>
    <row r="7256" spans="3:7" x14ac:dyDescent="0.25">
      <c r="C7256" s="8"/>
      <c r="G7256" s="11"/>
    </row>
    <row r="7257" spans="3:7" x14ac:dyDescent="0.25">
      <c r="C7257" s="8"/>
      <c r="G7257" s="11"/>
    </row>
    <row r="7258" spans="3:7" x14ac:dyDescent="0.25">
      <c r="C7258" s="8"/>
      <c r="G7258" s="11"/>
    </row>
    <row r="7259" spans="3:7" x14ac:dyDescent="0.25">
      <c r="C7259" s="8"/>
      <c r="G7259" s="11"/>
    </row>
    <row r="7260" spans="3:7" x14ac:dyDescent="0.25">
      <c r="C7260" s="8"/>
      <c r="G7260" s="11"/>
    </row>
    <row r="7261" spans="3:7" x14ac:dyDescent="0.25">
      <c r="C7261" s="8"/>
      <c r="G7261" s="11"/>
    </row>
    <row r="7262" spans="3:7" x14ac:dyDescent="0.25">
      <c r="C7262" s="8"/>
      <c r="G7262" s="11"/>
    </row>
    <row r="7263" spans="3:7" x14ac:dyDescent="0.25">
      <c r="C7263" s="8"/>
      <c r="G7263" s="11"/>
    </row>
    <row r="7264" spans="3:7" x14ac:dyDescent="0.25">
      <c r="C7264" s="8"/>
      <c r="G7264" s="11"/>
    </row>
    <row r="7265" spans="3:7" x14ac:dyDescent="0.25">
      <c r="C7265" s="8"/>
      <c r="G7265" s="11"/>
    </row>
    <row r="7266" spans="3:7" x14ac:dyDescent="0.25">
      <c r="C7266" s="8"/>
      <c r="G7266" s="11"/>
    </row>
    <row r="7267" spans="3:7" x14ac:dyDescent="0.25">
      <c r="C7267" s="8"/>
      <c r="G7267" s="11"/>
    </row>
    <row r="7268" spans="3:7" x14ac:dyDescent="0.25">
      <c r="C7268" s="8"/>
      <c r="G7268" s="11"/>
    </row>
    <row r="7269" spans="3:7" x14ac:dyDescent="0.25">
      <c r="C7269" s="8"/>
      <c r="G7269" s="11"/>
    </row>
    <row r="7270" spans="3:7" x14ac:dyDescent="0.25">
      <c r="C7270" s="8"/>
      <c r="G7270" s="11"/>
    </row>
    <row r="7271" spans="3:7" x14ac:dyDescent="0.25">
      <c r="C7271" s="8"/>
      <c r="G7271" s="11"/>
    </row>
    <row r="7272" spans="3:7" x14ac:dyDescent="0.25">
      <c r="C7272" s="8"/>
      <c r="G7272" s="11"/>
    </row>
    <row r="7273" spans="3:7" x14ac:dyDescent="0.25">
      <c r="C7273" s="8"/>
      <c r="G7273" s="11"/>
    </row>
    <row r="7274" spans="3:7" x14ac:dyDescent="0.25">
      <c r="C7274" s="8"/>
      <c r="G7274" s="11"/>
    </row>
    <row r="7275" spans="3:7" x14ac:dyDescent="0.25">
      <c r="C7275" s="8"/>
      <c r="G7275" s="11"/>
    </row>
    <row r="7276" spans="3:7" x14ac:dyDescent="0.25">
      <c r="C7276" s="8"/>
      <c r="G7276" s="11"/>
    </row>
    <row r="7277" spans="3:7" x14ac:dyDescent="0.25">
      <c r="C7277" s="8"/>
      <c r="G7277" s="11"/>
    </row>
    <row r="7278" spans="3:7" x14ac:dyDescent="0.25">
      <c r="C7278" s="8"/>
      <c r="G7278" s="11"/>
    </row>
    <row r="7279" spans="3:7" x14ac:dyDescent="0.25">
      <c r="C7279" s="8"/>
      <c r="G7279" s="11"/>
    </row>
    <row r="7280" spans="3:7" x14ac:dyDescent="0.25">
      <c r="C7280" s="8"/>
      <c r="G7280" s="11"/>
    </row>
    <row r="7281" spans="3:7" x14ac:dyDescent="0.25">
      <c r="C7281" s="8"/>
      <c r="G7281" s="11"/>
    </row>
    <row r="7282" spans="3:7" x14ac:dyDescent="0.25">
      <c r="C7282" s="8"/>
      <c r="G7282" s="11"/>
    </row>
    <row r="7283" spans="3:7" x14ac:dyDescent="0.25">
      <c r="C7283" s="8"/>
      <c r="G7283" s="11"/>
    </row>
    <row r="7284" spans="3:7" x14ac:dyDescent="0.25">
      <c r="C7284" s="8"/>
      <c r="G7284" s="11"/>
    </row>
    <row r="7285" spans="3:7" x14ac:dyDescent="0.25">
      <c r="C7285" s="8"/>
      <c r="G7285" s="11"/>
    </row>
    <row r="7286" spans="3:7" x14ac:dyDescent="0.25">
      <c r="C7286" s="8"/>
      <c r="G7286" s="11"/>
    </row>
    <row r="7287" spans="3:7" x14ac:dyDescent="0.25">
      <c r="C7287" s="8"/>
      <c r="G7287" s="11"/>
    </row>
    <row r="7288" spans="3:7" x14ac:dyDescent="0.25">
      <c r="C7288" s="8"/>
      <c r="G7288" s="11"/>
    </row>
    <row r="7289" spans="3:7" x14ac:dyDescent="0.25">
      <c r="C7289" s="8"/>
      <c r="G7289" s="11"/>
    </row>
    <row r="7290" spans="3:7" x14ac:dyDescent="0.25">
      <c r="C7290" s="8"/>
      <c r="G7290" s="11"/>
    </row>
    <row r="7291" spans="3:7" x14ac:dyDescent="0.25">
      <c r="C7291" s="8"/>
      <c r="G7291" s="11"/>
    </row>
    <row r="7292" spans="3:7" x14ac:dyDescent="0.25">
      <c r="C7292" s="8"/>
      <c r="G7292" s="11"/>
    </row>
    <row r="7293" spans="3:7" x14ac:dyDescent="0.25">
      <c r="C7293" s="8"/>
      <c r="G7293" s="11"/>
    </row>
    <row r="7294" spans="3:7" x14ac:dyDescent="0.25">
      <c r="C7294" s="8"/>
      <c r="G7294" s="11"/>
    </row>
    <row r="7295" spans="3:7" x14ac:dyDescent="0.25">
      <c r="C7295" s="8"/>
      <c r="G7295" s="11"/>
    </row>
    <row r="7296" spans="3:7" x14ac:dyDescent="0.25">
      <c r="C7296" s="8"/>
      <c r="G7296" s="11"/>
    </row>
    <row r="7297" spans="3:7" x14ac:dyDescent="0.25">
      <c r="C7297" s="8"/>
      <c r="G7297" s="11"/>
    </row>
    <row r="7298" spans="3:7" x14ac:dyDescent="0.25">
      <c r="C7298" s="8"/>
      <c r="G7298" s="11"/>
    </row>
    <row r="7299" spans="3:7" x14ac:dyDescent="0.25">
      <c r="C7299" s="8"/>
      <c r="G7299" s="11"/>
    </row>
    <row r="7300" spans="3:7" x14ac:dyDescent="0.25">
      <c r="C7300" s="8"/>
      <c r="G7300" s="11"/>
    </row>
    <row r="7301" spans="3:7" x14ac:dyDescent="0.25">
      <c r="C7301" s="8"/>
      <c r="G7301" s="11"/>
    </row>
    <row r="7302" spans="3:7" x14ac:dyDescent="0.25">
      <c r="C7302" s="8"/>
      <c r="G7302" s="11"/>
    </row>
    <row r="7303" spans="3:7" x14ac:dyDescent="0.25">
      <c r="C7303" s="8"/>
      <c r="G7303" s="11"/>
    </row>
    <row r="7304" spans="3:7" x14ac:dyDescent="0.25">
      <c r="C7304" s="8"/>
      <c r="G7304" s="11"/>
    </row>
    <row r="7305" spans="3:7" x14ac:dyDescent="0.25">
      <c r="C7305" s="8"/>
      <c r="G7305" s="11"/>
    </row>
    <row r="7306" spans="3:7" x14ac:dyDescent="0.25">
      <c r="C7306" s="8"/>
      <c r="G7306" s="11"/>
    </row>
    <row r="7307" spans="3:7" x14ac:dyDescent="0.25">
      <c r="C7307" s="8"/>
      <c r="G7307" s="11"/>
    </row>
    <row r="7308" spans="3:7" x14ac:dyDescent="0.25">
      <c r="C7308" s="8"/>
      <c r="G7308" s="11"/>
    </row>
    <row r="7309" spans="3:7" x14ac:dyDescent="0.25">
      <c r="C7309" s="8"/>
      <c r="G7309" s="11"/>
    </row>
    <row r="7310" spans="3:7" x14ac:dyDescent="0.25">
      <c r="C7310" s="8"/>
      <c r="G7310" s="11"/>
    </row>
    <row r="7311" spans="3:7" x14ac:dyDescent="0.25">
      <c r="C7311" s="8"/>
      <c r="G7311" s="11"/>
    </row>
    <row r="7312" spans="3:7" x14ac:dyDescent="0.25">
      <c r="C7312" s="8"/>
      <c r="G7312" s="11"/>
    </row>
    <row r="7313" spans="3:7" x14ac:dyDescent="0.25">
      <c r="C7313" s="8"/>
      <c r="G7313" s="11"/>
    </row>
    <row r="7314" spans="3:7" x14ac:dyDescent="0.25">
      <c r="C7314" s="8"/>
      <c r="G7314" s="11"/>
    </row>
    <row r="7315" spans="3:7" x14ac:dyDescent="0.25">
      <c r="C7315" s="8"/>
      <c r="G7315" s="11"/>
    </row>
    <row r="7316" spans="3:7" x14ac:dyDescent="0.25">
      <c r="C7316" s="8"/>
      <c r="G7316" s="11"/>
    </row>
    <row r="7317" spans="3:7" x14ac:dyDescent="0.25">
      <c r="C7317" s="8"/>
      <c r="G7317" s="11"/>
    </row>
    <row r="7318" spans="3:7" x14ac:dyDescent="0.25">
      <c r="C7318" s="8"/>
      <c r="G7318" s="11"/>
    </row>
    <row r="7319" spans="3:7" x14ac:dyDescent="0.25">
      <c r="C7319" s="8"/>
      <c r="G7319" s="11"/>
    </row>
    <row r="7320" spans="3:7" x14ac:dyDescent="0.25">
      <c r="C7320" s="8"/>
      <c r="G7320" s="11"/>
    </row>
    <row r="7321" spans="3:7" x14ac:dyDescent="0.25">
      <c r="C7321" s="8"/>
      <c r="G7321" s="11"/>
    </row>
    <row r="7322" spans="3:7" x14ac:dyDescent="0.25">
      <c r="C7322" s="8"/>
      <c r="G7322" s="11"/>
    </row>
    <row r="7323" spans="3:7" x14ac:dyDescent="0.25">
      <c r="C7323" s="8"/>
      <c r="G7323" s="11"/>
    </row>
    <row r="7324" spans="3:7" x14ac:dyDescent="0.25">
      <c r="C7324" s="8"/>
      <c r="G7324" s="11"/>
    </row>
    <row r="7325" spans="3:7" x14ac:dyDescent="0.25">
      <c r="C7325" s="8"/>
      <c r="G7325" s="11"/>
    </row>
    <row r="7326" spans="3:7" x14ac:dyDescent="0.25">
      <c r="C7326" s="8"/>
      <c r="G7326" s="11"/>
    </row>
    <row r="7327" spans="3:7" x14ac:dyDescent="0.25">
      <c r="C7327" s="8"/>
      <c r="G7327" s="11"/>
    </row>
    <row r="7328" spans="3:7" x14ac:dyDescent="0.25">
      <c r="C7328" s="8"/>
      <c r="G7328" s="11"/>
    </row>
    <row r="7329" spans="3:7" x14ac:dyDescent="0.25">
      <c r="C7329" s="8"/>
      <c r="G7329" s="11"/>
    </row>
    <row r="7330" spans="3:7" x14ac:dyDescent="0.25">
      <c r="C7330" s="8"/>
      <c r="G7330" s="11"/>
    </row>
    <row r="7331" spans="3:7" x14ac:dyDescent="0.25">
      <c r="C7331" s="8"/>
      <c r="G7331" s="11"/>
    </row>
    <row r="7332" spans="3:7" x14ac:dyDescent="0.25">
      <c r="C7332" s="8"/>
      <c r="G7332" s="11"/>
    </row>
    <row r="7333" spans="3:7" x14ac:dyDescent="0.25">
      <c r="C7333" s="8"/>
      <c r="G7333" s="11"/>
    </row>
    <row r="7334" spans="3:7" x14ac:dyDescent="0.25">
      <c r="C7334" s="8"/>
      <c r="G7334" s="11"/>
    </row>
    <row r="7335" spans="3:7" x14ac:dyDescent="0.25">
      <c r="C7335" s="8"/>
      <c r="G7335" s="11"/>
    </row>
    <row r="7336" spans="3:7" x14ac:dyDescent="0.25">
      <c r="C7336" s="8"/>
      <c r="G7336" s="11"/>
    </row>
    <row r="7337" spans="3:7" x14ac:dyDescent="0.25">
      <c r="C7337" s="8"/>
      <c r="G7337" s="11"/>
    </row>
    <row r="7338" spans="3:7" x14ac:dyDescent="0.25">
      <c r="C7338" s="8"/>
      <c r="G7338" s="11"/>
    </row>
    <row r="7339" spans="3:7" x14ac:dyDescent="0.25">
      <c r="C7339" s="8"/>
      <c r="G7339" s="11"/>
    </row>
    <row r="7340" spans="3:7" x14ac:dyDescent="0.25">
      <c r="C7340" s="8"/>
      <c r="G7340" s="11"/>
    </row>
    <row r="7341" spans="3:7" x14ac:dyDescent="0.25">
      <c r="C7341" s="8"/>
      <c r="G7341" s="11"/>
    </row>
    <row r="7342" spans="3:7" x14ac:dyDescent="0.25">
      <c r="C7342" s="8"/>
      <c r="G7342" s="11"/>
    </row>
    <row r="7343" spans="3:7" x14ac:dyDescent="0.25">
      <c r="C7343" s="8"/>
      <c r="G7343" s="11"/>
    </row>
    <row r="7344" spans="3:7" x14ac:dyDescent="0.25">
      <c r="C7344" s="8"/>
      <c r="G7344" s="11"/>
    </row>
    <row r="7345" spans="3:7" x14ac:dyDescent="0.25">
      <c r="C7345" s="8"/>
      <c r="G7345" s="11"/>
    </row>
    <row r="7346" spans="3:7" x14ac:dyDescent="0.25">
      <c r="C7346" s="8"/>
      <c r="G7346" s="11"/>
    </row>
    <row r="7347" spans="3:7" x14ac:dyDescent="0.25">
      <c r="C7347" s="8"/>
      <c r="G7347" s="11"/>
    </row>
    <row r="7348" spans="3:7" x14ac:dyDescent="0.25">
      <c r="C7348" s="8"/>
      <c r="G7348" s="11"/>
    </row>
    <row r="7349" spans="3:7" x14ac:dyDescent="0.25">
      <c r="C7349" s="8"/>
      <c r="G7349" s="11"/>
    </row>
    <row r="7350" spans="3:7" x14ac:dyDescent="0.25">
      <c r="C7350" s="8"/>
      <c r="G7350" s="11"/>
    </row>
    <row r="7351" spans="3:7" x14ac:dyDescent="0.25">
      <c r="C7351" s="8"/>
      <c r="G7351" s="11"/>
    </row>
    <row r="7352" spans="3:7" x14ac:dyDescent="0.25">
      <c r="C7352" s="8"/>
      <c r="G7352" s="11"/>
    </row>
    <row r="7353" spans="3:7" x14ac:dyDescent="0.25">
      <c r="C7353" s="8"/>
      <c r="G7353" s="11"/>
    </row>
    <row r="7354" spans="3:7" x14ac:dyDescent="0.25">
      <c r="C7354" s="8"/>
      <c r="G7354" s="11"/>
    </row>
    <row r="7355" spans="3:7" x14ac:dyDescent="0.25">
      <c r="C7355" s="8"/>
      <c r="G7355" s="11"/>
    </row>
    <row r="7356" spans="3:7" x14ac:dyDescent="0.25">
      <c r="C7356" s="8"/>
      <c r="G7356" s="11"/>
    </row>
    <row r="7357" spans="3:7" x14ac:dyDescent="0.25">
      <c r="C7357" s="8"/>
      <c r="G7357" s="11"/>
    </row>
    <row r="7358" spans="3:7" x14ac:dyDescent="0.25">
      <c r="C7358" s="8"/>
      <c r="G7358" s="11"/>
    </row>
    <row r="7359" spans="3:7" x14ac:dyDescent="0.25">
      <c r="C7359" s="8"/>
      <c r="G7359" s="11"/>
    </row>
    <row r="7360" spans="3:7" x14ac:dyDescent="0.25">
      <c r="C7360" s="8"/>
      <c r="G7360" s="11"/>
    </row>
    <row r="7361" spans="3:7" x14ac:dyDescent="0.25">
      <c r="C7361" s="8"/>
      <c r="G7361" s="11"/>
    </row>
    <row r="7362" spans="3:7" x14ac:dyDescent="0.25">
      <c r="C7362" s="8"/>
      <c r="G7362" s="11"/>
    </row>
    <row r="7363" spans="3:7" x14ac:dyDescent="0.25">
      <c r="C7363" s="8"/>
      <c r="G7363" s="11"/>
    </row>
    <row r="7364" spans="3:7" x14ac:dyDescent="0.25">
      <c r="C7364" s="8"/>
      <c r="G7364" s="11"/>
    </row>
    <row r="7365" spans="3:7" x14ac:dyDescent="0.25">
      <c r="C7365" s="8"/>
      <c r="G7365" s="11"/>
    </row>
    <row r="7366" spans="3:7" x14ac:dyDescent="0.25">
      <c r="C7366" s="8"/>
      <c r="G7366" s="11"/>
    </row>
    <row r="7367" spans="3:7" x14ac:dyDescent="0.25">
      <c r="C7367" s="8"/>
      <c r="G7367" s="11"/>
    </row>
    <row r="7368" spans="3:7" x14ac:dyDescent="0.25">
      <c r="C7368" s="8"/>
      <c r="G7368" s="11"/>
    </row>
    <row r="7369" spans="3:7" x14ac:dyDescent="0.25">
      <c r="C7369" s="8"/>
      <c r="G7369" s="11"/>
    </row>
    <row r="7370" spans="3:7" x14ac:dyDescent="0.25">
      <c r="C7370" s="8"/>
      <c r="G7370" s="11"/>
    </row>
    <row r="7371" spans="3:7" x14ac:dyDescent="0.25">
      <c r="C7371" s="8"/>
      <c r="G7371" s="11"/>
    </row>
    <row r="7372" spans="3:7" x14ac:dyDescent="0.25">
      <c r="C7372" s="8"/>
      <c r="G7372" s="11"/>
    </row>
    <row r="7373" spans="3:7" x14ac:dyDescent="0.25">
      <c r="C7373" s="8"/>
      <c r="G7373" s="11"/>
    </row>
    <row r="7374" spans="3:7" x14ac:dyDescent="0.25">
      <c r="C7374" s="8"/>
      <c r="G7374" s="11"/>
    </row>
    <row r="7375" spans="3:7" x14ac:dyDescent="0.25">
      <c r="C7375" s="8"/>
      <c r="G7375" s="11"/>
    </row>
    <row r="7376" spans="3:7" x14ac:dyDescent="0.25">
      <c r="C7376" s="8"/>
      <c r="G7376" s="11"/>
    </row>
    <row r="7377" spans="3:7" x14ac:dyDescent="0.25">
      <c r="C7377" s="8"/>
      <c r="G7377" s="11"/>
    </row>
    <row r="7378" spans="3:7" x14ac:dyDescent="0.25">
      <c r="C7378" s="8"/>
      <c r="G7378" s="11"/>
    </row>
    <row r="7379" spans="3:7" x14ac:dyDescent="0.25">
      <c r="C7379" s="8"/>
      <c r="G7379" s="11"/>
    </row>
    <row r="7380" spans="3:7" x14ac:dyDescent="0.25">
      <c r="C7380" s="8"/>
      <c r="G7380" s="11"/>
    </row>
    <row r="7381" spans="3:7" x14ac:dyDescent="0.25">
      <c r="C7381" s="8"/>
      <c r="G7381" s="11"/>
    </row>
    <row r="7382" spans="3:7" x14ac:dyDescent="0.25">
      <c r="C7382" s="8"/>
      <c r="G7382" s="11"/>
    </row>
    <row r="7383" spans="3:7" x14ac:dyDescent="0.25">
      <c r="C7383" s="8"/>
      <c r="G7383" s="11"/>
    </row>
    <row r="7384" spans="3:7" x14ac:dyDescent="0.25">
      <c r="C7384" s="8"/>
      <c r="G7384" s="11"/>
    </row>
    <row r="7385" spans="3:7" x14ac:dyDescent="0.25">
      <c r="C7385" s="8"/>
      <c r="G7385" s="11"/>
    </row>
    <row r="7386" spans="3:7" x14ac:dyDescent="0.25">
      <c r="C7386" s="8"/>
      <c r="G7386" s="11"/>
    </row>
    <row r="7387" spans="3:7" x14ac:dyDescent="0.25">
      <c r="C7387" s="8"/>
      <c r="G7387" s="11"/>
    </row>
    <row r="7388" spans="3:7" x14ac:dyDescent="0.25">
      <c r="C7388" s="8"/>
      <c r="G7388" s="11"/>
    </row>
    <row r="7389" spans="3:7" x14ac:dyDescent="0.25">
      <c r="C7389" s="8"/>
      <c r="G7389" s="11"/>
    </row>
    <row r="7390" spans="3:7" x14ac:dyDescent="0.25">
      <c r="C7390" s="8"/>
      <c r="G7390" s="11"/>
    </row>
    <row r="7391" spans="3:7" x14ac:dyDescent="0.25">
      <c r="C7391" s="8"/>
      <c r="G7391" s="11"/>
    </row>
    <row r="7392" spans="3:7" x14ac:dyDescent="0.25">
      <c r="C7392" s="8"/>
      <c r="G7392" s="11"/>
    </row>
    <row r="7393" spans="3:7" x14ac:dyDescent="0.25">
      <c r="C7393" s="8"/>
      <c r="G7393" s="11"/>
    </row>
    <row r="7394" spans="3:7" x14ac:dyDescent="0.25">
      <c r="C7394" s="8"/>
      <c r="G7394" s="11"/>
    </row>
    <row r="7395" spans="3:7" x14ac:dyDescent="0.25">
      <c r="C7395" s="8"/>
      <c r="G7395" s="11"/>
    </row>
    <row r="7396" spans="3:7" x14ac:dyDescent="0.25">
      <c r="C7396" s="8"/>
      <c r="G7396" s="11"/>
    </row>
    <row r="7397" spans="3:7" x14ac:dyDescent="0.25">
      <c r="C7397" s="8"/>
      <c r="G7397" s="11"/>
    </row>
    <row r="7398" spans="3:7" x14ac:dyDescent="0.25">
      <c r="C7398" s="8"/>
      <c r="G7398" s="11"/>
    </row>
    <row r="7399" spans="3:7" x14ac:dyDescent="0.25">
      <c r="C7399" s="8"/>
      <c r="G7399" s="11"/>
    </row>
    <row r="7400" spans="3:7" x14ac:dyDescent="0.25">
      <c r="C7400" s="8"/>
      <c r="G7400" s="11"/>
    </row>
    <row r="7401" spans="3:7" x14ac:dyDescent="0.25">
      <c r="C7401" s="8"/>
      <c r="G7401" s="11"/>
    </row>
    <row r="7402" spans="3:7" x14ac:dyDescent="0.25">
      <c r="C7402" s="8"/>
      <c r="G7402" s="11"/>
    </row>
    <row r="7403" spans="3:7" x14ac:dyDescent="0.25">
      <c r="C7403" s="8"/>
      <c r="G7403" s="11"/>
    </row>
    <row r="7404" spans="3:7" x14ac:dyDescent="0.25">
      <c r="C7404" s="8"/>
      <c r="G7404" s="11"/>
    </row>
    <row r="7405" spans="3:7" x14ac:dyDescent="0.25">
      <c r="C7405" s="8"/>
      <c r="G7405" s="11"/>
    </row>
    <row r="7406" spans="3:7" x14ac:dyDescent="0.25">
      <c r="C7406" s="8"/>
      <c r="G7406" s="11"/>
    </row>
    <row r="7407" spans="3:7" x14ac:dyDescent="0.25">
      <c r="C7407" s="8"/>
      <c r="G7407" s="11"/>
    </row>
    <row r="7408" spans="3:7" x14ac:dyDescent="0.25">
      <c r="C7408" s="8"/>
      <c r="G7408" s="11"/>
    </row>
    <row r="7409" spans="3:7" x14ac:dyDescent="0.25">
      <c r="C7409" s="8"/>
      <c r="G7409" s="11"/>
    </row>
    <row r="7410" spans="3:7" x14ac:dyDescent="0.25">
      <c r="C7410" s="8"/>
      <c r="G7410" s="11"/>
    </row>
    <row r="7411" spans="3:7" x14ac:dyDescent="0.25">
      <c r="C7411" s="8"/>
      <c r="G7411" s="11"/>
    </row>
    <row r="7412" spans="3:7" x14ac:dyDescent="0.25">
      <c r="C7412" s="8"/>
      <c r="G7412" s="11"/>
    </row>
    <row r="7413" spans="3:7" x14ac:dyDescent="0.25">
      <c r="C7413" s="8"/>
      <c r="G7413" s="11"/>
    </row>
    <row r="7414" spans="3:7" x14ac:dyDescent="0.25">
      <c r="C7414" s="8"/>
      <c r="G7414" s="11"/>
    </row>
    <row r="7415" spans="3:7" x14ac:dyDescent="0.25">
      <c r="C7415" s="8"/>
      <c r="G7415" s="11"/>
    </row>
    <row r="7416" spans="3:7" x14ac:dyDescent="0.25">
      <c r="C7416" s="8"/>
      <c r="G7416" s="11"/>
    </row>
    <row r="7417" spans="3:7" x14ac:dyDescent="0.25">
      <c r="C7417" s="8"/>
      <c r="G7417" s="11"/>
    </row>
    <row r="7418" spans="3:7" x14ac:dyDescent="0.25">
      <c r="C7418" s="8"/>
      <c r="G7418" s="11"/>
    </row>
    <row r="7419" spans="3:7" x14ac:dyDescent="0.25">
      <c r="C7419" s="8"/>
      <c r="G7419" s="11"/>
    </row>
    <row r="7420" spans="3:7" x14ac:dyDescent="0.25">
      <c r="C7420" s="8"/>
      <c r="G7420" s="11"/>
    </row>
    <row r="7421" spans="3:7" x14ac:dyDescent="0.25">
      <c r="C7421" s="8"/>
      <c r="G7421" s="11"/>
    </row>
    <row r="7422" spans="3:7" x14ac:dyDescent="0.25">
      <c r="C7422" s="8"/>
      <c r="G7422" s="11"/>
    </row>
    <row r="7423" spans="3:7" x14ac:dyDescent="0.25">
      <c r="C7423" s="8"/>
      <c r="G7423" s="11"/>
    </row>
    <row r="7424" spans="3:7" x14ac:dyDescent="0.25">
      <c r="C7424" s="8"/>
      <c r="G7424" s="11"/>
    </row>
    <row r="7425" spans="3:7" x14ac:dyDescent="0.25">
      <c r="C7425" s="8"/>
      <c r="G7425" s="11"/>
    </row>
    <row r="7426" spans="3:7" x14ac:dyDescent="0.25">
      <c r="C7426" s="8"/>
      <c r="G7426" s="11"/>
    </row>
    <row r="7427" spans="3:7" x14ac:dyDescent="0.25">
      <c r="C7427" s="8"/>
      <c r="G7427" s="11"/>
    </row>
    <row r="7428" spans="3:7" x14ac:dyDescent="0.25">
      <c r="C7428" s="8"/>
      <c r="G7428" s="11"/>
    </row>
    <row r="7429" spans="3:7" x14ac:dyDescent="0.25">
      <c r="C7429" s="8"/>
      <c r="G7429" s="11"/>
    </row>
    <row r="7430" spans="3:7" x14ac:dyDescent="0.25">
      <c r="C7430" s="8"/>
      <c r="G7430" s="11"/>
    </row>
    <row r="7431" spans="3:7" x14ac:dyDescent="0.25">
      <c r="C7431" s="8"/>
      <c r="G7431" s="11"/>
    </row>
    <row r="7432" spans="3:7" x14ac:dyDescent="0.25">
      <c r="C7432" s="8"/>
      <c r="G7432" s="11"/>
    </row>
    <row r="7433" spans="3:7" x14ac:dyDescent="0.25">
      <c r="C7433" s="8"/>
      <c r="G7433" s="11"/>
    </row>
    <row r="7434" spans="3:7" x14ac:dyDescent="0.25">
      <c r="C7434" s="8"/>
      <c r="G7434" s="11"/>
    </row>
    <row r="7435" spans="3:7" x14ac:dyDescent="0.25">
      <c r="C7435" s="8"/>
      <c r="G7435" s="11"/>
    </row>
    <row r="7436" spans="3:7" x14ac:dyDescent="0.25">
      <c r="C7436" s="8"/>
      <c r="G7436" s="11"/>
    </row>
    <row r="7437" spans="3:7" x14ac:dyDescent="0.25">
      <c r="C7437" s="8"/>
      <c r="G7437" s="11"/>
    </row>
    <row r="7438" spans="3:7" x14ac:dyDescent="0.25">
      <c r="C7438" s="8"/>
      <c r="G7438" s="11"/>
    </row>
    <row r="7439" spans="3:7" x14ac:dyDescent="0.25">
      <c r="C7439" s="8"/>
      <c r="G7439" s="11"/>
    </row>
    <row r="7440" spans="3:7" x14ac:dyDescent="0.25">
      <c r="C7440" s="8"/>
      <c r="G7440" s="11"/>
    </row>
    <row r="7441" spans="3:7" x14ac:dyDescent="0.25">
      <c r="C7441" s="8"/>
      <c r="G7441" s="11"/>
    </row>
    <row r="7442" spans="3:7" x14ac:dyDescent="0.25">
      <c r="C7442" s="8"/>
      <c r="G7442" s="11"/>
    </row>
    <row r="7443" spans="3:7" x14ac:dyDescent="0.25">
      <c r="C7443" s="8"/>
      <c r="G7443" s="11"/>
    </row>
    <row r="7444" spans="3:7" x14ac:dyDescent="0.25">
      <c r="C7444" s="8"/>
      <c r="G7444" s="11"/>
    </row>
    <row r="7445" spans="3:7" x14ac:dyDescent="0.25">
      <c r="C7445" s="8"/>
      <c r="G7445" s="11"/>
    </row>
    <row r="7446" spans="3:7" x14ac:dyDescent="0.25">
      <c r="C7446" s="8"/>
      <c r="G7446" s="11"/>
    </row>
    <row r="7447" spans="3:7" x14ac:dyDescent="0.25">
      <c r="C7447" s="8"/>
      <c r="G7447" s="11"/>
    </row>
    <row r="7448" spans="3:7" x14ac:dyDescent="0.25">
      <c r="C7448" s="8"/>
      <c r="G7448" s="11"/>
    </row>
    <row r="7449" spans="3:7" x14ac:dyDescent="0.25">
      <c r="C7449" s="8"/>
      <c r="G7449" s="11"/>
    </row>
    <row r="7450" spans="3:7" x14ac:dyDescent="0.25">
      <c r="C7450" s="8"/>
      <c r="G7450" s="11"/>
    </row>
    <row r="7451" spans="3:7" x14ac:dyDescent="0.25">
      <c r="C7451" s="8"/>
      <c r="G7451" s="11"/>
    </row>
    <row r="7452" spans="3:7" x14ac:dyDescent="0.25">
      <c r="C7452" s="8"/>
      <c r="G7452" s="11"/>
    </row>
    <row r="7453" spans="3:7" x14ac:dyDescent="0.25">
      <c r="C7453" s="8"/>
      <c r="G7453" s="11"/>
    </row>
    <row r="7454" spans="3:7" x14ac:dyDescent="0.25">
      <c r="C7454" s="8"/>
      <c r="G7454" s="11"/>
    </row>
    <row r="7455" spans="3:7" x14ac:dyDescent="0.25">
      <c r="C7455" s="8"/>
      <c r="G7455" s="11"/>
    </row>
    <row r="7456" spans="3:7" x14ac:dyDescent="0.25">
      <c r="C7456" s="8"/>
      <c r="G7456" s="11"/>
    </row>
    <row r="7457" spans="3:7" x14ac:dyDescent="0.25">
      <c r="C7457" s="8"/>
      <c r="G7457" s="11"/>
    </row>
    <row r="7458" spans="3:7" x14ac:dyDescent="0.25">
      <c r="C7458" s="8"/>
      <c r="G7458" s="11"/>
    </row>
    <row r="7459" spans="3:7" x14ac:dyDescent="0.25">
      <c r="C7459" s="8"/>
      <c r="G7459" s="11"/>
    </row>
    <row r="7460" spans="3:7" x14ac:dyDescent="0.25">
      <c r="C7460" s="8"/>
      <c r="G7460" s="11"/>
    </row>
    <row r="7461" spans="3:7" x14ac:dyDescent="0.25">
      <c r="C7461" s="8"/>
      <c r="G7461" s="11"/>
    </row>
    <row r="7462" spans="3:7" x14ac:dyDescent="0.25">
      <c r="C7462" s="8"/>
      <c r="G7462" s="11"/>
    </row>
    <row r="7463" spans="3:7" x14ac:dyDescent="0.25">
      <c r="C7463" s="8"/>
      <c r="G7463" s="11"/>
    </row>
    <row r="7464" spans="3:7" x14ac:dyDescent="0.25">
      <c r="C7464" s="8"/>
      <c r="G7464" s="11"/>
    </row>
    <row r="7465" spans="3:7" x14ac:dyDescent="0.25">
      <c r="C7465" s="8"/>
      <c r="G7465" s="11"/>
    </row>
    <row r="7466" spans="3:7" x14ac:dyDescent="0.25">
      <c r="C7466" s="8"/>
      <c r="G7466" s="11"/>
    </row>
    <row r="7467" spans="3:7" x14ac:dyDescent="0.25">
      <c r="C7467" s="8"/>
      <c r="G7467" s="11"/>
    </row>
    <row r="7468" spans="3:7" x14ac:dyDescent="0.25">
      <c r="C7468" s="8"/>
      <c r="G7468" s="11"/>
    </row>
    <row r="7469" spans="3:7" x14ac:dyDescent="0.25">
      <c r="C7469" s="8"/>
      <c r="G7469" s="11"/>
    </row>
    <row r="7470" spans="3:7" x14ac:dyDescent="0.25">
      <c r="C7470" s="8"/>
      <c r="G7470" s="11"/>
    </row>
    <row r="7471" spans="3:7" x14ac:dyDescent="0.25">
      <c r="C7471" s="8"/>
      <c r="G7471" s="11"/>
    </row>
    <row r="7472" spans="3:7" x14ac:dyDescent="0.25">
      <c r="C7472" s="8"/>
      <c r="G7472" s="11"/>
    </row>
    <row r="7473" spans="3:7" x14ac:dyDescent="0.25">
      <c r="C7473" s="8"/>
      <c r="G7473" s="11"/>
    </row>
    <row r="7474" spans="3:7" x14ac:dyDescent="0.25">
      <c r="C7474" s="8"/>
      <c r="G7474" s="11"/>
    </row>
    <row r="7475" spans="3:7" x14ac:dyDescent="0.25">
      <c r="C7475" s="8"/>
      <c r="G7475" s="11"/>
    </row>
    <row r="7476" spans="3:7" x14ac:dyDescent="0.25">
      <c r="C7476" s="8"/>
      <c r="G7476" s="11"/>
    </row>
    <row r="7477" spans="3:7" x14ac:dyDescent="0.25">
      <c r="C7477" s="8"/>
      <c r="G7477" s="11"/>
    </row>
    <row r="7478" spans="3:7" x14ac:dyDescent="0.25">
      <c r="C7478" s="8"/>
      <c r="G7478" s="11"/>
    </row>
    <row r="7479" spans="3:7" x14ac:dyDescent="0.25">
      <c r="C7479" s="8"/>
      <c r="G7479" s="11"/>
    </row>
    <row r="7480" spans="3:7" x14ac:dyDescent="0.25">
      <c r="C7480" s="8"/>
      <c r="G7480" s="11"/>
    </row>
    <row r="7481" spans="3:7" x14ac:dyDescent="0.25">
      <c r="C7481" s="8"/>
      <c r="G7481" s="11"/>
    </row>
    <row r="7482" spans="3:7" x14ac:dyDescent="0.25">
      <c r="C7482" s="8"/>
      <c r="G7482" s="11"/>
    </row>
    <row r="7483" spans="3:7" x14ac:dyDescent="0.25">
      <c r="C7483" s="8"/>
      <c r="G7483" s="11"/>
    </row>
    <row r="7484" spans="3:7" x14ac:dyDescent="0.25">
      <c r="C7484" s="8"/>
      <c r="G7484" s="11"/>
    </row>
    <row r="7485" spans="3:7" x14ac:dyDescent="0.25">
      <c r="C7485" s="8"/>
      <c r="G7485" s="11"/>
    </row>
    <row r="7486" spans="3:7" x14ac:dyDescent="0.25">
      <c r="C7486" s="8"/>
      <c r="G7486" s="11"/>
    </row>
    <row r="7487" spans="3:7" x14ac:dyDescent="0.25">
      <c r="C7487" s="8"/>
      <c r="G7487" s="11"/>
    </row>
    <row r="7488" spans="3:7" x14ac:dyDescent="0.25">
      <c r="C7488" s="8"/>
      <c r="G7488" s="11"/>
    </row>
    <row r="7489" spans="3:7" x14ac:dyDescent="0.25">
      <c r="C7489" s="8"/>
      <c r="G7489" s="11"/>
    </row>
    <row r="7490" spans="3:7" x14ac:dyDescent="0.25">
      <c r="C7490" s="8"/>
      <c r="G7490" s="11"/>
    </row>
    <row r="7491" spans="3:7" x14ac:dyDescent="0.25">
      <c r="C7491" s="8"/>
      <c r="G7491" s="11"/>
    </row>
    <row r="7492" spans="3:7" x14ac:dyDescent="0.25">
      <c r="C7492" s="8"/>
      <c r="G7492" s="11"/>
    </row>
    <row r="7493" spans="3:7" x14ac:dyDescent="0.25">
      <c r="C7493" s="8"/>
      <c r="G7493" s="11"/>
    </row>
    <row r="7494" spans="3:7" x14ac:dyDescent="0.25">
      <c r="C7494" s="8"/>
      <c r="G7494" s="11"/>
    </row>
    <row r="7495" spans="3:7" x14ac:dyDescent="0.25">
      <c r="C7495" s="8"/>
      <c r="G7495" s="11"/>
    </row>
    <row r="7496" spans="3:7" x14ac:dyDescent="0.25">
      <c r="C7496" s="8"/>
      <c r="G7496" s="11"/>
    </row>
    <row r="7497" spans="3:7" x14ac:dyDescent="0.25">
      <c r="C7497" s="8"/>
      <c r="G7497" s="11"/>
    </row>
    <row r="7498" spans="3:7" x14ac:dyDescent="0.25">
      <c r="C7498" s="8"/>
      <c r="G7498" s="11"/>
    </row>
    <row r="7499" spans="3:7" x14ac:dyDescent="0.25">
      <c r="C7499" s="8"/>
      <c r="G7499" s="11"/>
    </row>
    <row r="7500" spans="3:7" x14ac:dyDescent="0.25">
      <c r="C7500" s="8"/>
      <c r="G7500" s="11"/>
    </row>
    <row r="7501" spans="3:7" x14ac:dyDescent="0.25">
      <c r="C7501" s="8"/>
      <c r="G7501" s="11"/>
    </row>
    <row r="7502" spans="3:7" x14ac:dyDescent="0.25">
      <c r="C7502" s="8"/>
      <c r="G7502" s="11"/>
    </row>
    <row r="7503" spans="3:7" x14ac:dyDescent="0.25">
      <c r="C7503" s="8"/>
      <c r="G7503" s="11"/>
    </row>
    <row r="7504" spans="3:7" x14ac:dyDescent="0.25">
      <c r="C7504" s="8"/>
      <c r="G7504" s="11"/>
    </row>
    <row r="7505" spans="3:7" x14ac:dyDescent="0.25">
      <c r="C7505" s="8"/>
      <c r="G7505" s="11"/>
    </row>
    <row r="7506" spans="3:7" x14ac:dyDescent="0.25">
      <c r="C7506" s="8"/>
      <c r="G7506" s="11"/>
    </row>
    <row r="7507" spans="3:7" x14ac:dyDescent="0.25">
      <c r="C7507" s="8"/>
      <c r="G7507" s="11"/>
    </row>
    <row r="7508" spans="3:7" x14ac:dyDescent="0.25">
      <c r="C7508" s="8"/>
      <c r="G7508" s="11"/>
    </row>
    <row r="7509" spans="3:7" x14ac:dyDescent="0.25">
      <c r="C7509" s="8"/>
      <c r="G7509" s="11"/>
    </row>
    <row r="7510" spans="3:7" x14ac:dyDescent="0.25">
      <c r="C7510" s="8"/>
      <c r="G7510" s="11"/>
    </row>
    <row r="7511" spans="3:7" x14ac:dyDescent="0.25">
      <c r="C7511" s="8"/>
      <c r="G7511" s="11"/>
    </row>
    <row r="7512" spans="3:7" x14ac:dyDescent="0.25">
      <c r="C7512" s="8"/>
      <c r="G7512" s="11"/>
    </row>
    <row r="7513" spans="3:7" x14ac:dyDescent="0.25">
      <c r="C7513" s="8"/>
      <c r="G7513" s="11"/>
    </row>
    <row r="7514" spans="3:7" x14ac:dyDescent="0.25">
      <c r="C7514" s="8"/>
      <c r="G7514" s="11"/>
    </row>
    <row r="7515" spans="3:7" x14ac:dyDescent="0.25">
      <c r="C7515" s="8"/>
      <c r="G7515" s="11"/>
    </row>
    <row r="7516" spans="3:7" x14ac:dyDescent="0.25">
      <c r="C7516" s="8"/>
      <c r="G7516" s="11"/>
    </row>
    <row r="7517" spans="3:7" x14ac:dyDescent="0.25">
      <c r="C7517" s="8"/>
      <c r="G7517" s="11"/>
    </row>
    <row r="7518" spans="3:7" x14ac:dyDescent="0.25">
      <c r="C7518" s="8"/>
      <c r="G7518" s="11"/>
    </row>
    <row r="7519" spans="3:7" x14ac:dyDescent="0.25">
      <c r="C7519" s="8"/>
      <c r="G7519" s="11"/>
    </row>
    <row r="7520" spans="3:7" x14ac:dyDescent="0.25">
      <c r="C7520" s="8"/>
      <c r="G7520" s="11"/>
    </row>
    <row r="7521" spans="3:7" x14ac:dyDescent="0.25">
      <c r="C7521" s="8"/>
      <c r="G7521" s="11"/>
    </row>
    <row r="7522" spans="3:7" x14ac:dyDescent="0.25">
      <c r="C7522" s="8"/>
      <c r="G7522" s="11"/>
    </row>
    <row r="7523" spans="3:7" x14ac:dyDescent="0.25">
      <c r="C7523" s="8"/>
      <c r="G7523" s="11"/>
    </row>
    <row r="7524" spans="3:7" x14ac:dyDescent="0.25">
      <c r="C7524" s="8"/>
      <c r="G7524" s="11"/>
    </row>
    <row r="7525" spans="3:7" x14ac:dyDescent="0.25">
      <c r="C7525" s="8"/>
      <c r="G7525" s="11"/>
    </row>
    <row r="7526" spans="3:7" x14ac:dyDescent="0.25">
      <c r="C7526" s="8"/>
      <c r="G7526" s="11"/>
    </row>
    <row r="7527" spans="3:7" x14ac:dyDescent="0.25">
      <c r="C7527" s="8"/>
      <c r="G7527" s="11"/>
    </row>
    <row r="7528" spans="3:7" x14ac:dyDescent="0.25">
      <c r="C7528" s="8"/>
      <c r="G7528" s="11"/>
    </row>
    <row r="7529" spans="3:7" x14ac:dyDescent="0.25">
      <c r="C7529" s="8"/>
      <c r="G7529" s="11"/>
    </row>
    <row r="7530" spans="3:7" x14ac:dyDescent="0.25">
      <c r="C7530" s="8"/>
      <c r="G7530" s="11"/>
    </row>
    <row r="7531" spans="3:7" x14ac:dyDescent="0.25">
      <c r="C7531" s="8"/>
      <c r="G7531" s="11"/>
    </row>
    <row r="7532" spans="3:7" x14ac:dyDescent="0.25">
      <c r="C7532" s="8"/>
      <c r="G7532" s="11"/>
    </row>
    <row r="7533" spans="3:7" x14ac:dyDescent="0.25">
      <c r="C7533" s="8"/>
      <c r="G7533" s="11"/>
    </row>
    <row r="7534" spans="3:7" x14ac:dyDescent="0.25">
      <c r="C7534" s="8"/>
      <c r="G7534" s="11"/>
    </row>
    <row r="7535" spans="3:7" x14ac:dyDescent="0.25">
      <c r="C7535" s="8"/>
      <c r="G7535" s="11"/>
    </row>
    <row r="7536" spans="3:7" x14ac:dyDescent="0.25">
      <c r="C7536" s="8"/>
      <c r="G7536" s="11"/>
    </row>
    <row r="7537" spans="3:7" x14ac:dyDescent="0.25">
      <c r="C7537" s="8"/>
      <c r="G7537" s="11"/>
    </row>
    <row r="7538" spans="3:7" x14ac:dyDescent="0.25">
      <c r="C7538" s="8"/>
      <c r="G7538" s="11"/>
    </row>
    <row r="7539" spans="3:7" x14ac:dyDescent="0.25">
      <c r="C7539" s="8"/>
      <c r="G7539" s="11"/>
    </row>
    <row r="7540" spans="3:7" x14ac:dyDescent="0.25">
      <c r="C7540" s="8"/>
      <c r="G7540" s="11"/>
    </row>
    <row r="7541" spans="3:7" x14ac:dyDescent="0.25">
      <c r="C7541" s="8"/>
      <c r="G7541" s="11"/>
    </row>
    <row r="7542" spans="3:7" x14ac:dyDescent="0.25">
      <c r="C7542" s="8"/>
      <c r="G7542" s="11"/>
    </row>
    <row r="7543" spans="3:7" x14ac:dyDescent="0.25">
      <c r="C7543" s="8"/>
      <c r="G7543" s="11"/>
    </row>
    <row r="7544" spans="3:7" x14ac:dyDescent="0.25">
      <c r="C7544" s="8"/>
      <c r="G7544" s="11"/>
    </row>
    <row r="7545" spans="3:7" x14ac:dyDescent="0.25">
      <c r="C7545" s="8"/>
      <c r="G7545" s="11"/>
    </row>
    <row r="7546" spans="3:7" x14ac:dyDescent="0.25">
      <c r="C7546" s="8"/>
      <c r="G7546" s="11"/>
    </row>
    <row r="7547" spans="3:7" x14ac:dyDescent="0.25">
      <c r="C7547" s="8"/>
      <c r="G7547" s="11"/>
    </row>
    <row r="7548" spans="3:7" x14ac:dyDescent="0.25">
      <c r="C7548" s="8"/>
      <c r="G7548" s="11"/>
    </row>
    <row r="7549" spans="3:7" x14ac:dyDescent="0.25">
      <c r="C7549" s="8"/>
      <c r="G7549" s="11"/>
    </row>
    <row r="7550" spans="3:7" x14ac:dyDescent="0.25">
      <c r="C7550" s="8"/>
      <c r="G7550" s="11"/>
    </row>
    <row r="7551" spans="3:7" x14ac:dyDescent="0.25">
      <c r="C7551" s="8"/>
      <c r="G7551" s="11"/>
    </row>
    <row r="7552" spans="3:7" x14ac:dyDescent="0.25">
      <c r="C7552" s="8"/>
      <c r="G7552" s="11"/>
    </row>
    <row r="7553" spans="3:7" x14ac:dyDescent="0.25">
      <c r="C7553" s="8"/>
      <c r="G7553" s="11"/>
    </row>
    <row r="7554" spans="3:7" x14ac:dyDescent="0.25">
      <c r="C7554" s="8"/>
      <c r="G7554" s="11"/>
    </row>
    <row r="7555" spans="3:7" x14ac:dyDescent="0.25">
      <c r="C7555" s="8"/>
      <c r="G7555" s="11"/>
    </row>
    <row r="7556" spans="3:7" x14ac:dyDescent="0.25">
      <c r="C7556" s="8"/>
      <c r="G7556" s="11"/>
    </row>
    <row r="7557" spans="3:7" x14ac:dyDescent="0.25">
      <c r="C7557" s="8"/>
      <c r="G7557" s="11"/>
    </row>
    <row r="7558" spans="3:7" x14ac:dyDescent="0.25">
      <c r="C7558" s="8"/>
      <c r="G7558" s="11"/>
    </row>
    <row r="7559" spans="3:7" x14ac:dyDescent="0.25">
      <c r="C7559" s="8"/>
      <c r="G7559" s="11"/>
    </row>
    <row r="7560" spans="3:7" x14ac:dyDescent="0.25">
      <c r="C7560" s="8"/>
      <c r="G7560" s="11"/>
    </row>
    <row r="7561" spans="3:7" x14ac:dyDescent="0.25">
      <c r="C7561" s="8"/>
      <c r="G7561" s="11"/>
    </row>
    <row r="7562" spans="3:7" x14ac:dyDescent="0.25">
      <c r="C7562" s="8"/>
      <c r="G7562" s="11"/>
    </row>
    <row r="7563" spans="3:7" x14ac:dyDescent="0.25">
      <c r="C7563" s="8"/>
      <c r="G7563" s="11"/>
    </row>
    <row r="7564" spans="3:7" x14ac:dyDescent="0.25">
      <c r="C7564" s="8"/>
      <c r="G7564" s="11"/>
    </row>
    <row r="7565" spans="3:7" x14ac:dyDescent="0.25">
      <c r="C7565" s="8"/>
      <c r="G7565" s="11"/>
    </row>
    <row r="7566" spans="3:7" x14ac:dyDescent="0.25">
      <c r="C7566" s="8"/>
      <c r="G7566" s="11"/>
    </row>
    <row r="7567" spans="3:7" x14ac:dyDescent="0.25">
      <c r="C7567" s="8"/>
      <c r="G7567" s="11"/>
    </row>
    <row r="7568" spans="3:7" x14ac:dyDescent="0.25">
      <c r="C7568" s="8"/>
      <c r="G7568" s="11"/>
    </row>
    <row r="7569" spans="3:7" x14ac:dyDescent="0.25">
      <c r="C7569" s="8"/>
      <c r="G7569" s="11"/>
    </row>
    <row r="7570" spans="3:7" x14ac:dyDescent="0.25">
      <c r="C7570" s="8"/>
      <c r="G7570" s="11"/>
    </row>
    <row r="7571" spans="3:7" x14ac:dyDescent="0.25">
      <c r="C7571" s="8"/>
      <c r="G7571" s="11"/>
    </row>
    <row r="7572" spans="3:7" x14ac:dyDescent="0.25">
      <c r="C7572" s="8"/>
      <c r="G7572" s="11"/>
    </row>
    <row r="7573" spans="3:7" x14ac:dyDescent="0.25">
      <c r="C7573" s="8"/>
      <c r="G7573" s="11"/>
    </row>
    <row r="7574" spans="3:7" x14ac:dyDescent="0.25">
      <c r="C7574" s="8"/>
      <c r="G7574" s="11"/>
    </row>
    <row r="7575" spans="3:7" x14ac:dyDescent="0.25">
      <c r="C7575" s="8"/>
      <c r="G7575" s="11"/>
    </row>
    <row r="7576" spans="3:7" x14ac:dyDescent="0.25">
      <c r="C7576" s="8"/>
      <c r="G7576" s="11"/>
    </row>
    <row r="7577" spans="3:7" x14ac:dyDescent="0.25">
      <c r="C7577" s="8"/>
      <c r="G7577" s="11"/>
    </row>
    <row r="7578" spans="3:7" x14ac:dyDescent="0.25">
      <c r="C7578" s="8"/>
      <c r="G7578" s="11"/>
    </row>
    <row r="7579" spans="3:7" x14ac:dyDescent="0.25">
      <c r="C7579" s="8"/>
      <c r="G7579" s="11"/>
    </row>
    <row r="7580" spans="3:7" x14ac:dyDescent="0.25">
      <c r="C7580" s="8"/>
      <c r="G7580" s="11"/>
    </row>
    <row r="7581" spans="3:7" x14ac:dyDescent="0.25">
      <c r="C7581" s="8"/>
      <c r="G7581" s="11"/>
    </row>
    <row r="7582" spans="3:7" x14ac:dyDescent="0.25">
      <c r="C7582" s="8"/>
      <c r="G7582" s="11"/>
    </row>
    <row r="7583" spans="3:7" x14ac:dyDescent="0.25">
      <c r="C7583" s="8"/>
      <c r="G7583" s="11"/>
    </row>
    <row r="7584" spans="3:7" x14ac:dyDescent="0.25">
      <c r="C7584" s="8"/>
      <c r="G7584" s="11"/>
    </row>
    <row r="7585" spans="3:7" x14ac:dyDescent="0.25">
      <c r="C7585" s="8"/>
      <c r="G7585" s="11"/>
    </row>
    <row r="7586" spans="3:7" x14ac:dyDescent="0.25">
      <c r="C7586" s="8"/>
      <c r="G7586" s="11"/>
    </row>
    <row r="7587" spans="3:7" x14ac:dyDescent="0.25">
      <c r="C7587" s="8"/>
      <c r="G7587" s="11"/>
    </row>
    <row r="7588" spans="3:7" x14ac:dyDescent="0.25">
      <c r="C7588" s="8"/>
      <c r="G7588" s="11"/>
    </row>
    <row r="7589" spans="3:7" x14ac:dyDescent="0.25">
      <c r="C7589" s="8"/>
      <c r="G7589" s="11"/>
    </row>
    <row r="7590" spans="3:7" x14ac:dyDescent="0.25">
      <c r="C7590" s="8"/>
      <c r="G7590" s="11"/>
    </row>
    <row r="7591" spans="3:7" x14ac:dyDescent="0.25">
      <c r="C7591" s="8"/>
      <c r="G7591" s="11"/>
    </row>
    <row r="7592" spans="3:7" x14ac:dyDescent="0.25">
      <c r="C7592" s="8"/>
      <c r="G7592" s="11"/>
    </row>
    <row r="7593" spans="3:7" x14ac:dyDescent="0.25">
      <c r="C7593" s="8"/>
      <c r="G7593" s="11"/>
    </row>
    <row r="7594" spans="3:7" x14ac:dyDescent="0.25">
      <c r="C7594" s="8"/>
      <c r="G7594" s="11"/>
    </row>
    <row r="7595" spans="3:7" x14ac:dyDescent="0.25">
      <c r="C7595" s="8"/>
      <c r="G7595" s="11"/>
    </row>
    <row r="7596" spans="3:7" x14ac:dyDescent="0.25">
      <c r="C7596" s="8"/>
      <c r="G7596" s="11"/>
    </row>
    <row r="7597" spans="3:7" x14ac:dyDescent="0.25">
      <c r="C7597" s="8"/>
      <c r="G7597" s="11"/>
    </row>
    <row r="7598" spans="3:7" x14ac:dyDescent="0.25">
      <c r="C7598" s="8"/>
      <c r="G7598" s="11"/>
    </row>
    <row r="7599" spans="3:7" x14ac:dyDescent="0.25">
      <c r="C7599" s="8"/>
      <c r="G7599" s="11"/>
    </row>
    <row r="7600" spans="3:7" x14ac:dyDescent="0.25">
      <c r="C7600" s="8"/>
      <c r="G7600" s="11"/>
    </row>
    <row r="7601" spans="3:7" x14ac:dyDescent="0.25">
      <c r="C7601" s="8"/>
      <c r="G7601" s="11"/>
    </row>
    <row r="7602" spans="3:7" x14ac:dyDescent="0.25">
      <c r="C7602" s="8"/>
      <c r="G7602" s="11"/>
    </row>
    <row r="7603" spans="3:7" x14ac:dyDescent="0.25">
      <c r="C7603" s="8"/>
      <c r="G7603" s="11"/>
    </row>
    <row r="7604" spans="3:7" x14ac:dyDescent="0.25">
      <c r="C7604" s="8"/>
      <c r="G7604" s="11"/>
    </row>
    <row r="7605" spans="3:7" x14ac:dyDescent="0.25">
      <c r="C7605" s="8"/>
      <c r="G7605" s="11"/>
    </row>
    <row r="7606" spans="3:7" x14ac:dyDescent="0.25">
      <c r="C7606" s="8"/>
      <c r="G7606" s="11"/>
    </row>
    <row r="7607" spans="3:7" x14ac:dyDescent="0.25">
      <c r="C7607" s="8"/>
      <c r="G7607" s="11"/>
    </row>
    <row r="7608" spans="3:7" x14ac:dyDescent="0.25">
      <c r="C7608" s="8"/>
      <c r="G7608" s="11"/>
    </row>
    <row r="7609" spans="3:7" x14ac:dyDescent="0.25">
      <c r="C7609" s="8"/>
      <c r="G7609" s="11"/>
    </row>
    <row r="7610" spans="3:7" x14ac:dyDescent="0.25">
      <c r="C7610" s="8"/>
      <c r="G7610" s="11"/>
    </row>
    <row r="7611" spans="3:7" x14ac:dyDescent="0.25">
      <c r="C7611" s="8"/>
      <c r="G7611" s="11"/>
    </row>
    <row r="7612" spans="3:7" x14ac:dyDescent="0.25">
      <c r="C7612" s="8"/>
      <c r="G7612" s="11"/>
    </row>
    <row r="7613" spans="3:7" x14ac:dyDescent="0.25">
      <c r="C7613" s="8"/>
      <c r="G7613" s="11"/>
    </row>
    <row r="7614" spans="3:7" x14ac:dyDescent="0.25">
      <c r="C7614" s="8"/>
      <c r="G7614" s="11"/>
    </row>
    <row r="7615" spans="3:7" x14ac:dyDescent="0.25">
      <c r="C7615" s="8"/>
      <c r="G7615" s="11"/>
    </row>
    <row r="7616" spans="3:7" x14ac:dyDescent="0.25">
      <c r="C7616" s="8"/>
      <c r="G7616" s="11"/>
    </row>
    <row r="7617" spans="3:7" x14ac:dyDescent="0.25">
      <c r="C7617" s="8"/>
      <c r="G7617" s="11"/>
    </row>
    <row r="7618" spans="3:7" x14ac:dyDescent="0.25">
      <c r="C7618" s="8"/>
      <c r="G7618" s="11"/>
    </row>
    <row r="7619" spans="3:7" x14ac:dyDescent="0.25">
      <c r="C7619" s="8"/>
      <c r="G7619" s="11"/>
    </row>
    <row r="7620" spans="3:7" x14ac:dyDescent="0.25">
      <c r="C7620" s="8"/>
      <c r="G7620" s="11"/>
    </row>
    <row r="7621" spans="3:7" x14ac:dyDescent="0.25">
      <c r="C7621" s="8"/>
      <c r="G7621" s="11"/>
    </row>
    <row r="7622" spans="3:7" x14ac:dyDescent="0.25">
      <c r="C7622" s="8"/>
      <c r="G7622" s="11"/>
    </row>
    <row r="7623" spans="3:7" x14ac:dyDescent="0.25">
      <c r="C7623" s="8"/>
      <c r="G7623" s="11"/>
    </row>
    <row r="7624" spans="3:7" x14ac:dyDescent="0.25">
      <c r="C7624" s="8"/>
      <c r="G7624" s="11"/>
    </row>
    <row r="7625" spans="3:7" x14ac:dyDescent="0.25">
      <c r="C7625" s="8"/>
      <c r="G7625" s="11"/>
    </row>
    <row r="7626" spans="3:7" x14ac:dyDescent="0.25">
      <c r="C7626" s="8"/>
      <c r="G7626" s="11"/>
    </row>
    <row r="7627" spans="3:7" x14ac:dyDescent="0.25">
      <c r="C7627" s="8"/>
      <c r="G7627" s="11"/>
    </row>
    <row r="7628" spans="3:7" x14ac:dyDescent="0.25">
      <c r="C7628" s="8"/>
      <c r="G7628" s="11"/>
    </row>
    <row r="7629" spans="3:7" x14ac:dyDescent="0.25">
      <c r="C7629" s="8"/>
      <c r="G7629" s="11"/>
    </row>
    <row r="7630" spans="3:7" x14ac:dyDescent="0.25">
      <c r="C7630" s="8"/>
      <c r="G7630" s="11"/>
    </row>
    <row r="7631" spans="3:7" x14ac:dyDescent="0.25">
      <c r="C7631" s="8"/>
      <c r="G7631" s="11"/>
    </row>
    <row r="7632" spans="3:7" x14ac:dyDescent="0.25">
      <c r="C7632" s="8"/>
      <c r="G7632" s="11"/>
    </row>
    <row r="7633" spans="3:7" x14ac:dyDescent="0.25">
      <c r="C7633" s="8"/>
      <c r="G7633" s="11"/>
    </row>
    <row r="7634" spans="3:7" x14ac:dyDescent="0.25">
      <c r="C7634" s="8"/>
      <c r="G7634" s="11"/>
    </row>
    <row r="7635" spans="3:7" x14ac:dyDescent="0.25">
      <c r="C7635" s="8"/>
      <c r="G7635" s="11"/>
    </row>
    <row r="7636" spans="3:7" x14ac:dyDescent="0.25">
      <c r="C7636" s="8"/>
      <c r="G7636" s="11"/>
    </row>
    <row r="7637" spans="3:7" x14ac:dyDescent="0.25">
      <c r="C7637" s="8"/>
      <c r="G7637" s="11"/>
    </row>
    <row r="7638" spans="3:7" x14ac:dyDescent="0.25">
      <c r="C7638" s="8"/>
      <c r="G7638" s="11"/>
    </row>
    <row r="7639" spans="3:7" x14ac:dyDescent="0.25">
      <c r="C7639" s="8"/>
      <c r="G7639" s="11"/>
    </row>
    <row r="7640" spans="3:7" x14ac:dyDescent="0.25">
      <c r="C7640" s="8"/>
      <c r="G7640" s="11"/>
    </row>
    <row r="7641" spans="3:7" x14ac:dyDescent="0.25">
      <c r="C7641" s="8"/>
      <c r="G7641" s="11"/>
    </row>
    <row r="7642" spans="3:7" x14ac:dyDescent="0.25">
      <c r="C7642" s="8"/>
      <c r="G7642" s="11"/>
    </row>
    <row r="7643" spans="3:7" x14ac:dyDescent="0.25">
      <c r="C7643" s="8"/>
      <c r="G7643" s="11"/>
    </row>
    <row r="7644" spans="3:7" x14ac:dyDescent="0.25">
      <c r="C7644" s="8"/>
      <c r="G7644" s="11"/>
    </row>
    <row r="7645" spans="3:7" x14ac:dyDescent="0.25">
      <c r="C7645" s="8"/>
      <c r="G7645" s="11"/>
    </row>
    <row r="7646" spans="3:7" x14ac:dyDescent="0.25">
      <c r="C7646" s="8"/>
      <c r="G7646" s="11"/>
    </row>
    <row r="7647" spans="3:7" x14ac:dyDescent="0.25">
      <c r="C7647" s="8"/>
      <c r="G7647" s="11"/>
    </row>
    <row r="7648" spans="3:7" x14ac:dyDescent="0.25">
      <c r="C7648" s="8"/>
      <c r="G7648" s="11"/>
    </row>
    <row r="7649" spans="3:7" x14ac:dyDescent="0.25">
      <c r="C7649" s="8"/>
      <c r="G7649" s="11"/>
    </row>
    <row r="7650" spans="3:7" x14ac:dyDescent="0.25">
      <c r="C7650" s="8"/>
      <c r="G7650" s="11"/>
    </row>
    <row r="7651" spans="3:7" x14ac:dyDescent="0.25">
      <c r="C7651" s="8"/>
      <c r="G7651" s="11"/>
    </row>
    <row r="7652" spans="3:7" x14ac:dyDescent="0.25">
      <c r="C7652" s="8"/>
      <c r="G7652" s="11"/>
    </row>
    <row r="7653" spans="3:7" x14ac:dyDescent="0.25">
      <c r="C7653" s="8"/>
      <c r="G7653" s="11"/>
    </row>
    <row r="7654" spans="3:7" x14ac:dyDescent="0.25">
      <c r="C7654" s="8"/>
      <c r="G7654" s="11"/>
    </row>
    <row r="7655" spans="3:7" x14ac:dyDescent="0.25">
      <c r="C7655" s="8"/>
      <c r="G7655" s="11"/>
    </row>
    <row r="7656" spans="3:7" x14ac:dyDescent="0.25">
      <c r="C7656" s="8"/>
      <c r="G7656" s="11"/>
    </row>
    <row r="7657" spans="3:7" x14ac:dyDescent="0.25">
      <c r="C7657" s="8"/>
      <c r="G7657" s="11"/>
    </row>
    <row r="7658" spans="3:7" x14ac:dyDescent="0.25">
      <c r="C7658" s="8"/>
      <c r="G7658" s="11"/>
    </row>
    <row r="7659" spans="3:7" x14ac:dyDescent="0.25">
      <c r="C7659" s="8"/>
      <c r="G7659" s="11"/>
    </row>
    <row r="7660" spans="3:7" x14ac:dyDescent="0.25">
      <c r="C7660" s="8"/>
      <c r="G7660" s="11"/>
    </row>
    <row r="7661" spans="3:7" x14ac:dyDescent="0.25">
      <c r="C7661" s="8"/>
      <c r="G7661" s="11"/>
    </row>
    <row r="7662" spans="3:7" x14ac:dyDescent="0.25">
      <c r="C7662" s="8"/>
      <c r="G7662" s="11"/>
    </row>
    <row r="7663" spans="3:7" x14ac:dyDescent="0.25">
      <c r="C7663" s="8"/>
      <c r="G7663" s="11"/>
    </row>
    <row r="7664" spans="3:7" x14ac:dyDescent="0.25">
      <c r="C7664" s="8"/>
      <c r="G7664" s="11"/>
    </row>
    <row r="7665" spans="3:7" x14ac:dyDescent="0.25">
      <c r="C7665" s="8"/>
      <c r="G7665" s="11"/>
    </row>
    <row r="7666" spans="3:7" x14ac:dyDescent="0.25">
      <c r="C7666" s="8"/>
      <c r="G7666" s="11"/>
    </row>
    <row r="7667" spans="3:7" x14ac:dyDescent="0.25">
      <c r="C7667" s="8"/>
      <c r="G7667" s="11"/>
    </row>
    <row r="7668" spans="3:7" x14ac:dyDescent="0.25">
      <c r="C7668" s="8"/>
      <c r="G7668" s="11"/>
    </row>
    <row r="7669" spans="3:7" x14ac:dyDescent="0.25">
      <c r="C7669" s="8"/>
      <c r="G7669" s="11"/>
    </row>
    <row r="7670" spans="3:7" x14ac:dyDescent="0.25">
      <c r="C7670" s="8"/>
      <c r="G7670" s="11"/>
    </row>
    <row r="7671" spans="3:7" x14ac:dyDescent="0.25">
      <c r="C7671" s="8"/>
      <c r="G7671" s="11"/>
    </row>
    <row r="7672" spans="3:7" x14ac:dyDescent="0.25">
      <c r="C7672" s="8"/>
      <c r="G7672" s="11"/>
    </row>
    <row r="7673" spans="3:7" x14ac:dyDescent="0.25">
      <c r="C7673" s="8"/>
      <c r="G7673" s="11"/>
    </row>
    <row r="7674" spans="3:7" x14ac:dyDescent="0.25">
      <c r="C7674" s="8"/>
      <c r="G7674" s="11"/>
    </row>
    <row r="7675" spans="3:7" x14ac:dyDescent="0.25">
      <c r="C7675" s="8"/>
      <c r="G7675" s="11"/>
    </row>
    <row r="7676" spans="3:7" x14ac:dyDescent="0.25">
      <c r="C7676" s="8"/>
      <c r="G7676" s="11"/>
    </row>
    <row r="7677" spans="3:7" x14ac:dyDescent="0.25">
      <c r="C7677" s="8"/>
      <c r="G7677" s="11"/>
    </row>
    <row r="7678" spans="3:7" x14ac:dyDescent="0.25">
      <c r="C7678" s="8"/>
      <c r="G7678" s="11"/>
    </row>
    <row r="7679" spans="3:7" x14ac:dyDescent="0.25">
      <c r="C7679" s="8"/>
      <c r="G7679" s="11"/>
    </row>
    <row r="7680" spans="3:7" x14ac:dyDescent="0.25">
      <c r="C7680" s="8"/>
      <c r="G7680" s="11"/>
    </row>
    <row r="7681" spans="3:7" x14ac:dyDescent="0.25">
      <c r="C7681" s="8"/>
      <c r="G7681" s="11"/>
    </row>
    <row r="7682" spans="3:7" x14ac:dyDescent="0.25">
      <c r="C7682" s="8"/>
      <c r="G7682" s="11"/>
    </row>
    <row r="7683" spans="3:7" x14ac:dyDescent="0.25">
      <c r="C7683" s="8"/>
      <c r="G7683" s="11"/>
    </row>
    <row r="7684" spans="3:7" x14ac:dyDescent="0.25">
      <c r="C7684" s="8"/>
      <c r="G7684" s="11"/>
    </row>
    <row r="7685" spans="3:7" x14ac:dyDescent="0.25">
      <c r="C7685" s="8"/>
      <c r="G7685" s="11"/>
    </row>
    <row r="7686" spans="3:7" x14ac:dyDescent="0.25">
      <c r="C7686" s="8"/>
      <c r="G7686" s="11"/>
    </row>
    <row r="7687" spans="3:7" x14ac:dyDescent="0.25">
      <c r="C7687" s="8"/>
      <c r="G7687" s="11"/>
    </row>
    <row r="7688" spans="3:7" x14ac:dyDescent="0.25">
      <c r="C7688" s="8"/>
      <c r="G7688" s="11"/>
    </row>
    <row r="7689" spans="3:7" x14ac:dyDescent="0.25">
      <c r="C7689" s="8"/>
      <c r="G7689" s="11"/>
    </row>
    <row r="7690" spans="3:7" x14ac:dyDescent="0.25">
      <c r="C7690" s="8"/>
      <c r="G7690" s="11"/>
    </row>
    <row r="7691" spans="3:7" x14ac:dyDescent="0.25">
      <c r="C7691" s="8"/>
      <c r="G7691" s="11"/>
    </row>
    <row r="7692" spans="3:7" x14ac:dyDescent="0.25">
      <c r="C7692" s="8"/>
      <c r="G7692" s="11"/>
    </row>
    <row r="7693" spans="3:7" x14ac:dyDescent="0.25">
      <c r="C7693" s="8"/>
      <c r="G7693" s="11"/>
    </row>
    <row r="7694" spans="3:7" x14ac:dyDescent="0.25">
      <c r="C7694" s="8"/>
      <c r="G7694" s="11"/>
    </row>
    <row r="7695" spans="3:7" x14ac:dyDescent="0.25">
      <c r="C7695" s="8"/>
      <c r="G7695" s="11"/>
    </row>
    <row r="7696" spans="3:7" x14ac:dyDescent="0.25">
      <c r="C7696" s="8"/>
      <c r="G7696" s="11"/>
    </row>
    <row r="7697" spans="3:7" x14ac:dyDescent="0.25">
      <c r="C7697" s="8"/>
      <c r="G7697" s="11"/>
    </row>
    <row r="7698" spans="3:7" x14ac:dyDescent="0.25">
      <c r="C7698" s="8"/>
      <c r="G7698" s="11"/>
    </row>
    <row r="7699" spans="3:7" x14ac:dyDescent="0.25">
      <c r="C7699" s="8"/>
      <c r="G7699" s="11"/>
    </row>
    <row r="7700" spans="3:7" x14ac:dyDescent="0.25">
      <c r="C7700" s="8"/>
      <c r="G7700" s="11"/>
    </row>
    <row r="7701" spans="3:7" x14ac:dyDescent="0.25">
      <c r="C7701" s="8"/>
      <c r="G7701" s="11"/>
    </row>
    <row r="7702" spans="3:7" x14ac:dyDescent="0.25">
      <c r="C7702" s="8"/>
      <c r="G7702" s="11"/>
    </row>
    <row r="7703" spans="3:7" x14ac:dyDescent="0.25">
      <c r="C7703" s="8"/>
      <c r="G7703" s="11"/>
    </row>
    <row r="7704" spans="3:7" x14ac:dyDescent="0.25">
      <c r="C7704" s="8"/>
      <c r="G7704" s="11"/>
    </row>
    <row r="7705" spans="3:7" x14ac:dyDescent="0.25">
      <c r="C7705" s="8"/>
      <c r="G7705" s="11"/>
    </row>
    <row r="7706" spans="3:7" x14ac:dyDescent="0.25">
      <c r="C7706" s="8"/>
      <c r="G7706" s="11"/>
    </row>
    <row r="7707" spans="3:7" x14ac:dyDescent="0.25">
      <c r="C7707" s="8"/>
      <c r="G7707" s="11"/>
    </row>
    <row r="7708" spans="3:7" x14ac:dyDescent="0.25">
      <c r="C7708" s="8"/>
      <c r="G7708" s="11"/>
    </row>
    <row r="7709" spans="3:7" x14ac:dyDescent="0.25">
      <c r="C7709" s="8"/>
      <c r="G7709" s="11"/>
    </row>
    <row r="7710" spans="3:7" x14ac:dyDescent="0.25">
      <c r="C7710" s="8"/>
      <c r="G7710" s="11"/>
    </row>
    <row r="7711" spans="3:7" x14ac:dyDescent="0.25">
      <c r="C7711" s="8"/>
      <c r="G7711" s="11"/>
    </row>
    <row r="7712" spans="3:7" x14ac:dyDescent="0.25">
      <c r="C7712" s="8"/>
      <c r="G7712" s="11"/>
    </row>
    <row r="7713" spans="3:7" x14ac:dyDescent="0.25">
      <c r="C7713" s="8"/>
      <c r="G7713" s="11"/>
    </row>
    <row r="7714" spans="3:7" x14ac:dyDescent="0.25">
      <c r="C7714" s="8"/>
      <c r="G7714" s="11"/>
    </row>
    <row r="7715" spans="3:7" x14ac:dyDescent="0.25">
      <c r="C7715" s="8"/>
      <c r="G7715" s="11"/>
    </row>
    <row r="7716" spans="3:7" x14ac:dyDescent="0.25">
      <c r="C7716" s="8"/>
      <c r="G7716" s="11"/>
    </row>
    <row r="7717" spans="3:7" x14ac:dyDescent="0.25">
      <c r="C7717" s="8"/>
      <c r="G7717" s="11"/>
    </row>
    <row r="7718" spans="3:7" x14ac:dyDescent="0.25">
      <c r="C7718" s="8"/>
      <c r="G7718" s="11"/>
    </row>
    <row r="7719" spans="3:7" x14ac:dyDescent="0.25">
      <c r="C7719" s="8"/>
      <c r="G7719" s="11"/>
    </row>
    <row r="7720" spans="3:7" x14ac:dyDescent="0.25">
      <c r="C7720" s="8"/>
      <c r="G7720" s="11"/>
    </row>
    <row r="7721" spans="3:7" x14ac:dyDescent="0.25">
      <c r="C7721" s="8"/>
      <c r="G7721" s="11"/>
    </row>
    <row r="7722" spans="3:7" x14ac:dyDescent="0.25">
      <c r="C7722" s="8"/>
      <c r="G7722" s="11"/>
    </row>
    <row r="7723" spans="3:7" x14ac:dyDescent="0.25">
      <c r="C7723" s="8"/>
      <c r="G7723" s="11"/>
    </row>
    <row r="7724" spans="3:7" x14ac:dyDescent="0.25">
      <c r="C7724" s="8"/>
      <c r="G7724" s="11"/>
    </row>
    <row r="7725" spans="3:7" x14ac:dyDescent="0.25">
      <c r="C7725" s="8"/>
      <c r="G7725" s="11"/>
    </row>
    <row r="7726" spans="3:7" x14ac:dyDescent="0.25">
      <c r="C7726" s="8"/>
      <c r="G7726" s="11"/>
    </row>
    <row r="7727" spans="3:7" x14ac:dyDescent="0.25">
      <c r="C7727" s="8"/>
      <c r="G7727" s="11"/>
    </row>
    <row r="7728" spans="3:7" x14ac:dyDescent="0.25">
      <c r="C7728" s="8"/>
      <c r="G7728" s="11"/>
    </row>
    <row r="7729" spans="3:7" x14ac:dyDescent="0.25">
      <c r="C7729" s="8"/>
      <c r="G7729" s="11"/>
    </row>
    <row r="7730" spans="3:7" x14ac:dyDescent="0.25">
      <c r="C7730" s="8"/>
      <c r="G7730" s="11"/>
    </row>
    <row r="7731" spans="3:7" x14ac:dyDescent="0.25">
      <c r="C7731" s="8"/>
      <c r="G7731" s="11"/>
    </row>
    <row r="7732" spans="3:7" x14ac:dyDescent="0.25">
      <c r="C7732" s="8"/>
      <c r="G7732" s="11"/>
    </row>
    <row r="7733" spans="3:7" x14ac:dyDescent="0.25">
      <c r="C7733" s="8"/>
      <c r="G7733" s="11"/>
    </row>
    <row r="7734" spans="3:7" x14ac:dyDescent="0.25">
      <c r="C7734" s="8"/>
      <c r="G7734" s="11"/>
    </row>
    <row r="7735" spans="3:7" x14ac:dyDescent="0.25">
      <c r="C7735" s="8"/>
      <c r="G7735" s="11"/>
    </row>
    <row r="7736" spans="3:7" x14ac:dyDescent="0.25">
      <c r="C7736" s="8"/>
      <c r="G7736" s="11"/>
    </row>
    <row r="7737" spans="3:7" x14ac:dyDescent="0.25">
      <c r="C7737" s="8"/>
      <c r="G7737" s="11"/>
    </row>
    <row r="7738" spans="3:7" x14ac:dyDescent="0.25">
      <c r="C7738" s="8"/>
      <c r="G7738" s="11"/>
    </row>
    <row r="7739" spans="3:7" x14ac:dyDescent="0.25">
      <c r="C7739" s="8"/>
      <c r="G7739" s="11"/>
    </row>
    <row r="7740" spans="3:7" x14ac:dyDescent="0.25">
      <c r="C7740" s="8"/>
      <c r="G7740" s="11"/>
    </row>
    <row r="7741" spans="3:7" x14ac:dyDescent="0.25">
      <c r="C7741" s="8"/>
      <c r="G7741" s="11"/>
    </row>
    <row r="7742" spans="3:7" x14ac:dyDescent="0.25">
      <c r="C7742" s="8"/>
      <c r="G7742" s="11"/>
    </row>
    <row r="7743" spans="3:7" x14ac:dyDescent="0.25">
      <c r="C7743" s="8"/>
      <c r="G7743" s="11"/>
    </row>
    <row r="7744" spans="3:7" x14ac:dyDescent="0.25">
      <c r="C7744" s="8"/>
      <c r="G7744" s="11"/>
    </row>
    <row r="7745" spans="3:7" x14ac:dyDescent="0.25">
      <c r="C7745" s="8"/>
      <c r="G7745" s="11"/>
    </row>
    <row r="7746" spans="3:7" x14ac:dyDescent="0.25">
      <c r="C7746" s="8"/>
      <c r="G7746" s="11"/>
    </row>
    <row r="7747" spans="3:7" x14ac:dyDescent="0.25">
      <c r="C7747" s="8"/>
      <c r="G7747" s="11"/>
    </row>
    <row r="7748" spans="3:7" x14ac:dyDescent="0.25">
      <c r="C7748" s="8"/>
      <c r="G7748" s="11"/>
    </row>
    <row r="7749" spans="3:7" x14ac:dyDescent="0.25">
      <c r="C7749" s="8"/>
      <c r="G7749" s="11"/>
    </row>
    <row r="7750" spans="3:7" x14ac:dyDescent="0.25">
      <c r="C7750" s="8"/>
      <c r="G7750" s="11"/>
    </row>
    <row r="7751" spans="3:7" x14ac:dyDescent="0.25">
      <c r="C7751" s="8"/>
      <c r="G7751" s="11"/>
    </row>
    <row r="7752" spans="3:7" x14ac:dyDescent="0.25">
      <c r="C7752" s="8"/>
      <c r="G7752" s="11"/>
    </row>
    <row r="7753" spans="3:7" x14ac:dyDescent="0.25">
      <c r="C7753" s="8"/>
      <c r="G7753" s="11"/>
    </row>
    <row r="7754" spans="3:7" x14ac:dyDescent="0.25">
      <c r="C7754" s="8"/>
      <c r="G7754" s="11"/>
    </row>
    <row r="7755" spans="3:7" x14ac:dyDescent="0.25">
      <c r="C7755" s="8"/>
      <c r="G7755" s="11"/>
    </row>
    <row r="7756" spans="3:7" x14ac:dyDescent="0.25">
      <c r="C7756" s="8"/>
      <c r="G7756" s="11"/>
    </row>
    <row r="7757" spans="3:7" x14ac:dyDescent="0.25">
      <c r="C7757" s="8"/>
      <c r="G7757" s="11"/>
    </row>
    <row r="7758" spans="3:7" x14ac:dyDescent="0.25">
      <c r="C7758" s="8"/>
      <c r="G7758" s="11"/>
    </row>
    <row r="7759" spans="3:7" x14ac:dyDescent="0.25">
      <c r="C7759" s="8"/>
      <c r="G7759" s="11"/>
    </row>
    <row r="7760" spans="3:7" x14ac:dyDescent="0.25">
      <c r="C7760" s="8"/>
      <c r="G7760" s="11"/>
    </row>
    <row r="7761" spans="3:7" x14ac:dyDescent="0.25">
      <c r="C7761" s="8"/>
      <c r="G7761" s="11"/>
    </row>
    <row r="7762" spans="3:7" x14ac:dyDescent="0.25">
      <c r="C7762" s="8"/>
      <c r="G7762" s="11"/>
    </row>
    <row r="7763" spans="3:7" x14ac:dyDescent="0.25">
      <c r="C7763" s="8"/>
      <c r="G7763" s="11"/>
    </row>
    <row r="7764" spans="3:7" x14ac:dyDescent="0.25">
      <c r="C7764" s="8"/>
      <c r="G7764" s="11"/>
    </row>
    <row r="7765" spans="3:7" x14ac:dyDescent="0.25">
      <c r="C7765" s="8"/>
      <c r="G7765" s="11"/>
    </row>
    <row r="7766" spans="3:7" x14ac:dyDescent="0.25">
      <c r="C7766" s="8"/>
      <c r="G7766" s="11"/>
    </row>
    <row r="7767" spans="3:7" x14ac:dyDescent="0.25">
      <c r="C7767" s="8"/>
      <c r="G7767" s="11"/>
    </row>
    <row r="7768" spans="3:7" x14ac:dyDescent="0.25">
      <c r="C7768" s="8"/>
      <c r="G7768" s="11"/>
    </row>
    <row r="7769" spans="3:7" x14ac:dyDescent="0.25">
      <c r="C7769" s="8"/>
      <c r="G7769" s="11"/>
    </row>
    <row r="7770" spans="3:7" x14ac:dyDescent="0.25">
      <c r="C7770" s="8"/>
      <c r="G7770" s="11"/>
    </row>
    <row r="7771" spans="3:7" x14ac:dyDescent="0.25">
      <c r="C7771" s="8"/>
      <c r="G7771" s="11"/>
    </row>
    <row r="7772" spans="3:7" x14ac:dyDescent="0.25">
      <c r="C7772" s="8"/>
      <c r="G7772" s="11"/>
    </row>
    <row r="7773" spans="3:7" x14ac:dyDescent="0.25">
      <c r="C7773" s="8"/>
      <c r="G7773" s="11"/>
    </row>
    <row r="7774" spans="3:7" x14ac:dyDescent="0.25">
      <c r="C7774" s="8"/>
      <c r="G7774" s="11"/>
    </row>
    <row r="7775" spans="3:7" x14ac:dyDescent="0.25">
      <c r="C7775" s="8"/>
      <c r="G7775" s="11"/>
    </row>
    <row r="7776" spans="3:7" x14ac:dyDescent="0.25">
      <c r="C7776" s="8"/>
      <c r="G7776" s="11"/>
    </row>
    <row r="7777" spans="3:7" x14ac:dyDescent="0.25">
      <c r="C7777" s="8"/>
      <c r="G7777" s="11"/>
    </row>
    <row r="7778" spans="3:7" x14ac:dyDescent="0.25">
      <c r="C7778" s="8"/>
      <c r="G7778" s="11"/>
    </row>
    <row r="7779" spans="3:7" x14ac:dyDescent="0.25">
      <c r="C7779" s="8"/>
      <c r="G7779" s="11"/>
    </row>
    <row r="7780" spans="3:7" x14ac:dyDescent="0.25">
      <c r="C7780" s="8"/>
      <c r="G7780" s="11"/>
    </row>
    <row r="7781" spans="3:7" x14ac:dyDescent="0.25">
      <c r="C7781" s="8"/>
      <c r="G7781" s="11"/>
    </row>
    <row r="7782" spans="3:7" x14ac:dyDescent="0.25">
      <c r="C7782" s="8"/>
      <c r="G7782" s="11"/>
    </row>
    <row r="7783" spans="3:7" x14ac:dyDescent="0.25">
      <c r="C7783" s="8"/>
      <c r="G7783" s="11"/>
    </row>
    <row r="7784" spans="3:7" x14ac:dyDescent="0.25">
      <c r="C7784" s="8"/>
      <c r="G7784" s="11"/>
    </row>
    <row r="7785" spans="3:7" x14ac:dyDescent="0.25">
      <c r="C7785" s="8"/>
      <c r="G7785" s="11"/>
    </row>
    <row r="7786" spans="3:7" x14ac:dyDescent="0.25">
      <c r="C7786" s="8"/>
      <c r="G7786" s="11"/>
    </row>
    <row r="7787" spans="3:7" x14ac:dyDescent="0.25">
      <c r="C7787" s="8"/>
      <c r="G7787" s="11"/>
    </row>
    <row r="7788" spans="3:7" x14ac:dyDescent="0.25">
      <c r="C7788" s="8"/>
      <c r="G7788" s="11"/>
    </row>
    <row r="7789" spans="3:7" x14ac:dyDescent="0.25">
      <c r="C7789" s="8"/>
      <c r="G7789" s="11"/>
    </row>
    <row r="7790" spans="3:7" x14ac:dyDescent="0.25">
      <c r="C7790" s="8"/>
      <c r="G7790" s="11"/>
    </row>
    <row r="7791" spans="3:7" x14ac:dyDescent="0.25">
      <c r="C7791" s="8"/>
      <c r="G7791" s="11"/>
    </row>
    <row r="7792" spans="3:7" x14ac:dyDescent="0.25">
      <c r="C7792" s="8"/>
      <c r="G7792" s="11"/>
    </row>
    <row r="7793" spans="3:7" x14ac:dyDescent="0.25">
      <c r="C7793" s="8"/>
      <c r="G7793" s="11"/>
    </row>
    <row r="7794" spans="3:7" x14ac:dyDescent="0.25">
      <c r="C7794" s="8"/>
      <c r="G7794" s="11"/>
    </row>
    <row r="7795" spans="3:7" x14ac:dyDescent="0.25">
      <c r="C7795" s="8"/>
      <c r="G7795" s="11"/>
    </row>
    <row r="7796" spans="3:7" x14ac:dyDescent="0.25">
      <c r="C7796" s="8"/>
      <c r="G7796" s="11"/>
    </row>
    <row r="7797" spans="3:7" x14ac:dyDescent="0.25">
      <c r="C7797" s="8"/>
      <c r="G7797" s="11"/>
    </row>
    <row r="7798" spans="3:7" x14ac:dyDescent="0.25">
      <c r="C7798" s="8"/>
      <c r="G7798" s="11"/>
    </row>
    <row r="7799" spans="3:7" x14ac:dyDescent="0.25">
      <c r="C7799" s="8"/>
      <c r="G7799" s="11"/>
    </row>
    <row r="7800" spans="3:7" x14ac:dyDescent="0.25">
      <c r="C7800" s="8"/>
      <c r="G7800" s="11"/>
    </row>
    <row r="7801" spans="3:7" x14ac:dyDescent="0.25">
      <c r="C7801" s="8"/>
      <c r="G7801" s="11"/>
    </row>
    <row r="7802" spans="3:7" x14ac:dyDescent="0.25">
      <c r="C7802" s="8"/>
      <c r="G7802" s="11"/>
    </row>
    <row r="7803" spans="3:7" x14ac:dyDescent="0.25">
      <c r="C7803" s="8"/>
      <c r="G7803" s="11"/>
    </row>
    <row r="7804" spans="3:7" x14ac:dyDescent="0.25">
      <c r="C7804" s="8"/>
      <c r="G7804" s="11"/>
    </row>
    <row r="7805" spans="3:7" x14ac:dyDescent="0.25">
      <c r="C7805" s="8"/>
      <c r="G7805" s="11"/>
    </row>
    <row r="7806" spans="3:7" x14ac:dyDescent="0.25">
      <c r="C7806" s="8"/>
      <c r="G7806" s="11"/>
    </row>
    <row r="7807" spans="3:7" x14ac:dyDescent="0.25">
      <c r="C7807" s="8"/>
      <c r="G7807" s="11"/>
    </row>
    <row r="7808" spans="3:7" x14ac:dyDescent="0.25">
      <c r="C7808" s="8"/>
      <c r="G7808" s="11"/>
    </row>
    <row r="7809" spans="3:7" x14ac:dyDescent="0.25">
      <c r="C7809" s="8"/>
      <c r="G7809" s="11"/>
    </row>
    <row r="7810" spans="3:7" x14ac:dyDescent="0.25">
      <c r="C7810" s="8"/>
      <c r="G7810" s="11"/>
    </row>
    <row r="7811" spans="3:7" x14ac:dyDescent="0.25">
      <c r="C7811" s="8"/>
      <c r="G7811" s="11"/>
    </row>
    <row r="7812" spans="3:7" x14ac:dyDescent="0.25">
      <c r="C7812" s="8"/>
      <c r="G7812" s="11"/>
    </row>
    <row r="7813" spans="3:7" x14ac:dyDescent="0.25">
      <c r="C7813" s="8"/>
      <c r="G7813" s="11"/>
    </row>
    <row r="7814" spans="3:7" x14ac:dyDescent="0.25">
      <c r="C7814" s="8"/>
      <c r="G7814" s="11"/>
    </row>
    <row r="7815" spans="3:7" x14ac:dyDescent="0.25">
      <c r="C7815" s="8"/>
      <c r="G7815" s="11"/>
    </row>
    <row r="7816" spans="3:7" x14ac:dyDescent="0.25">
      <c r="C7816" s="8"/>
      <c r="G7816" s="11"/>
    </row>
    <row r="7817" spans="3:7" x14ac:dyDescent="0.25">
      <c r="C7817" s="8"/>
      <c r="G7817" s="11"/>
    </row>
    <row r="7818" spans="3:7" x14ac:dyDescent="0.25">
      <c r="C7818" s="8"/>
      <c r="G7818" s="11"/>
    </row>
    <row r="7819" spans="3:7" x14ac:dyDescent="0.25">
      <c r="C7819" s="8"/>
      <c r="G7819" s="11"/>
    </row>
    <row r="7820" spans="3:7" x14ac:dyDescent="0.25">
      <c r="C7820" s="8"/>
      <c r="G7820" s="11"/>
    </row>
    <row r="7821" spans="3:7" x14ac:dyDescent="0.25">
      <c r="C7821" s="8"/>
      <c r="G7821" s="11"/>
    </row>
    <row r="7822" spans="3:7" x14ac:dyDescent="0.25">
      <c r="C7822" s="8"/>
      <c r="G7822" s="11"/>
    </row>
    <row r="7823" spans="3:7" x14ac:dyDescent="0.25">
      <c r="C7823" s="8"/>
      <c r="G7823" s="11"/>
    </row>
    <row r="7824" spans="3:7" x14ac:dyDescent="0.25">
      <c r="C7824" s="8"/>
      <c r="G7824" s="11"/>
    </row>
    <row r="7825" spans="3:7" x14ac:dyDescent="0.25">
      <c r="C7825" s="8"/>
      <c r="G7825" s="11"/>
    </row>
    <row r="7826" spans="3:7" x14ac:dyDescent="0.25">
      <c r="C7826" s="8"/>
      <c r="G7826" s="11"/>
    </row>
    <row r="7827" spans="3:7" x14ac:dyDescent="0.25">
      <c r="C7827" s="8"/>
      <c r="G7827" s="11"/>
    </row>
    <row r="7828" spans="3:7" x14ac:dyDescent="0.25">
      <c r="C7828" s="8"/>
      <c r="G7828" s="11"/>
    </row>
    <row r="7829" spans="3:7" x14ac:dyDescent="0.25">
      <c r="C7829" s="8"/>
      <c r="G7829" s="11"/>
    </row>
    <row r="7830" spans="3:7" x14ac:dyDescent="0.25">
      <c r="C7830" s="8"/>
      <c r="G7830" s="11"/>
    </row>
    <row r="7831" spans="3:7" x14ac:dyDescent="0.25">
      <c r="C7831" s="8"/>
      <c r="G7831" s="11"/>
    </row>
    <row r="7832" spans="3:7" x14ac:dyDescent="0.25">
      <c r="C7832" s="8"/>
      <c r="G7832" s="11"/>
    </row>
    <row r="7833" spans="3:7" x14ac:dyDescent="0.25">
      <c r="C7833" s="8"/>
      <c r="G7833" s="11"/>
    </row>
    <row r="7834" spans="3:7" x14ac:dyDescent="0.25">
      <c r="C7834" s="8"/>
      <c r="G7834" s="11"/>
    </row>
    <row r="7835" spans="3:7" x14ac:dyDescent="0.25">
      <c r="C7835" s="8"/>
      <c r="G7835" s="11"/>
    </row>
    <row r="7836" spans="3:7" x14ac:dyDescent="0.25">
      <c r="C7836" s="8"/>
      <c r="G7836" s="11"/>
    </row>
    <row r="7837" spans="3:7" x14ac:dyDescent="0.25">
      <c r="C7837" s="8"/>
      <c r="G7837" s="11"/>
    </row>
    <row r="7838" spans="3:7" x14ac:dyDescent="0.25">
      <c r="C7838" s="8"/>
      <c r="G7838" s="11"/>
    </row>
    <row r="7839" spans="3:7" x14ac:dyDescent="0.25">
      <c r="C7839" s="8"/>
      <c r="G7839" s="11"/>
    </row>
    <row r="7840" spans="3:7" x14ac:dyDescent="0.25">
      <c r="C7840" s="8"/>
      <c r="G7840" s="11"/>
    </row>
    <row r="7841" spans="3:7" x14ac:dyDescent="0.25">
      <c r="C7841" s="8"/>
      <c r="G7841" s="11"/>
    </row>
    <row r="7842" spans="3:7" x14ac:dyDescent="0.25">
      <c r="C7842" s="8"/>
      <c r="G7842" s="11"/>
    </row>
    <row r="7843" spans="3:7" x14ac:dyDescent="0.25">
      <c r="C7843" s="8"/>
      <c r="G7843" s="11"/>
    </row>
    <row r="7844" spans="3:7" x14ac:dyDescent="0.25">
      <c r="C7844" s="8"/>
      <c r="G7844" s="11"/>
    </row>
    <row r="7845" spans="3:7" x14ac:dyDescent="0.25">
      <c r="C7845" s="8"/>
      <c r="G7845" s="11"/>
    </row>
    <row r="7846" spans="3:7" x14ac:dyDescent="0.25">
      <c r="C7846" s="8"/>
      <c r="G7846" s="11"/>
    </row>
    <row r="7847" spans="3:7" x14ac:dyDescent="0.25">
      <c r="C7847" s="8"/>
      <c r="G7847" s="11"/>
    </row>
    <row r="7848" spans="3:7" x14ac:dyDescent="0.25">
      <c r="C7848" s="8"/>
      <c r="G7848" s="11"/>
    </row>
    <row r="7849" spans="3:7" x14ac:dyDescent="0.25">
      <c r="C7849" s="8"/>
      <c r="G7849" s="11"/>
    </row>
    <row r="7850" spans="3:7" x14ac:dyDescent="0.25">
      <c r="C7850" s="8"/>
      <c r="G7850" s="11"/>
    </row>
    <row r="7851" spans="3:7" x14ac:dyDescent="0.25">
      <c r="C7851" s="8"/>
      <c r="G7851" s="11"/>
    </row>
    <row r="7852" spans="3:7" x14ac:dyDescent="0.25">
      <c r="C7852" s="8"/>
      <c r="G7852" s="11"/>
    </row>
    <row r="7853" spans="3:7" x14ac:dyDescent="0.25">
      <c r="C7853" s="8"/>
      <c r="G7853" s="11"/>
    </row>
    <row r="7854" spans="3:7" x14ac:dyDescent="0.25">
      <c r="C7854" s="8"/>
      <c r="G7854" s="11"/>
    </row>
    <row r="7855" spans="3:7" x14ac:dyDescent="0.25">
      <c r="C7855" s="8"/>
      <c r="G7855" s="11"/>
    </row>
    <row r="7856" spans="3:7" x14ac:dyDescent="0.25">
      <c r="C7856" s="8"/>
      <c r="G7856" s="11"/>
    </row>
    <row r="7857" spans="3:7" x14ac:dyDescent="0.25">
      <c r="C7857" s="8"/>
      <c r="G7857" s="11"/>
    </row>
    <row r="7858" spans="3:7" x14ac:dyDescent="0.25">
      <c r="C7858" s="8"/>
      <c r="G7858" s="11"/>
    </row>
    <row r="7859" spans="3:7" x14ac:dyDescent="0.25">
      <c r="C7859" s="8"/>
      <c r="G7859" s="11"/>
    </row>
    <row r="7860" spans="3:7" x14ac:dyDescent="0.25">
      <c r="C7860" s="8"/>
      <c r="G7860" s="11"/>
    </row>
    <row r="7861" spans="3:7" x14ac:dyDescent="0.25">
      <c r="C7861" s="8"/>
      <c r="G7861" s="11"/>
    </row>
    <row r="7862" spans="3:7" x14ac:dyDescent="0.25">
      <c r="C7862" s="8"/>
      <c r="G7862" s="11"/>
    </row>
    <row r="7863" spans="3:7" x14ac:dyDescent="0.25">
      <c r="C7863" s="8"/>
      <c r="G7863" s="11"/>
    </row>
    <row r="7864" spans="3:7" x14ac:dyDescent="0.25">
      <c r="C7864" s="8"/>
      <c r="G7864" s="11"/>
    </row>
    <row r="7865" spans="3:7" x14ac:dyDescent="0.25">
      <c r="C7865" s="8"/>
      <c r="G7865" s="11"/>
    </row>
    <row r="7866" spans="3:7" x14ac:dyDescent="0.25">
      <c r="C7866" s="8"/>
      <c r="G7866" s="11"/>
    </row>
    <row r="7867" spans="3:7" x14ac:dyDescent="0.25">
      <c r="C7867" s="8"/>
      <c r="G7867" s="11"/>
    </row>
    <row r="7868" spans="3:7" x14ac:dyDescent="0.25">
      <c r="C7868" s="8"/>
      <c r="G7868" s="11"/>
    </row>
    <row r="7869" spans="3:7" x14ac:dyDescent="0.25">
      <c r="C7869" s="8"/>
      <c r="G7869" s="11"/>
    </row>
    <row r="7870" spans="3:7" x14ac:dyDescent="0.25">
      <c r="C7870" s="8"/>
      <c r="G7870" s="11"/>
    </row>
    <row r="7871" spans="3:7" x14ac:dyDescent="0.25">
      <c r="C7871" s="8"/>
      <c r="G7871" s="11"/>
    </row>
    <row r="7872" spans="3:7" x14ac:dyDescent="0.25">
      <c r="C7872" s="8"/>
      <c r="G7872" s="11"/>
    </row>
    <row r="7873" spans="3:7" x14ac:dyDescent="0.25">
      <c r="C7873" s="8"/>
      <c r="G7873" s="11"/>
    </row>
    <row r="7874" spans="3:7" x14ac:dyDescent="0.25">
      <c r="C7874" s="8"/>
      <c r="G7874" s="11"/>
    </row>
    <row r="7875" spans="3:7" x14ac:dyDescent="0.25">
      <c r="C7875" s="8"/>
      <c r="G7875" s="11"/>
    </row>
    <row r="7876" spans="3:7" x14ac:dyDescent="0.25">
      <c r="C7876" s="8"/>
      <c r="G7876" s="11"/>
    </row>
    <row r="7877" spans="3:7" x14ac:dyDescent="0.25">
      <c r="C7877" s="8"/>
      <c r="G7877" s="11"/>
    </row>
    <row r="7878" spans="3:7" x14ac:dyDescent="0.25">
      <c r="C7878" s="8"/>
      <c r="G7878" s="11"/>
    </row>
    <row r="7879" spans="3:7" x14ac:dyDescent="0.25">
      <c r="C7879" s="8"/>
      <c r="G7879" s="11"/>
    </row>
    <row r="7880" spans="3:7" x14ac:dyDescent="0.25">
      <c r="C7880" s="8"/>
      <c r="G7880" s="11"/>
    </row>
    <row r="7881" spans="3:7" x14ac:dyDescent="0.25">
      <c r="C7881" s="8"/>
      <c r="G7881" s="11"/>
    </row>
    <row r="7882" spans="3:7" x14ac:dyDescent="0.25">
      <c r="C7882" s="8"/>
      <c r="G7882" s="11"/>
    </row>
    <row r="7883" spans="3:7" x14ac:dyDescent="0.25">
      <c r="C7883" s="8"/>
      <c r="G7883" s="11"/>
    </row>
    <row r="7884" spans="3:7" x14ac:dyDescent="0.25">
      <c r="C7884" s="8"/>
      <c r="G7884" s="11"/>
    </row>
    <row r="7885" spans="3:7" x14ac:dyDescent="0.25">
      <c r="C7885" s="8"/>
      <c r="G7885" s="11"/>
    </row>
    <row r="7886" spans="3:7" x14ac:dyDescent="0.25">
      <c r="C7886" s="8"/>
      <c r="G7886" s="11"/>
    </row>
    <row r="7887" spans="3:7" x14ac:dyDescent="0.25">
      <c r="C7887" s="8"/>
      <c r="G7887" s="11"/>
    </row>
    <row r="7888" spans="3:7" x14ac:dyDescent="0.25">
      <c r="C7888" s="8"/>
      <c r="G7888" s="11"/>
    </row>
    <row r="7889" spans="3:7" x14ac:dyDescent="0.25">
      <c r="C7889" s="8"/>
      <c r="G7889" s="11"/>
    </row>
    <row r="7890" spans="3:7" x14ac:dyDescent="0.25">
      <c r="C7890" s="8"/>
      <c r="G7890" s="11"/>
    </row>
    <row r="7891" spans="3:7" x14ac:dyDescent="0.25">
      <c r="C7891" s="8"/>
      <c r="G7891" s="11"/>
    </row>
    <row r="7892" spans="3:7" x14ac:dyDescent="0.25">
      <c r="C7892" s="8"/>
      <c r="G7892" s="11"/>
    </row>
    <row r="7893" spans="3:7" x14ac:dyDescent="0.25">
      <c r="C7893" s="8"/>
      <c r="G7893" s="11"/>
    </row>
    <row r="7894" spans="3:7" x14ac:dyDescent="0.25">
      <c r="C7894" s="8"/>
      <c r="G7894" s="11"/>
    </row>
    <row r="7895" spans="3:7" x14ac:dyDescent="0.25">
      <c r="C7895" s="8"/>
      <c r="G7895" s="11"/>
    </row>
    <row r="7896" spans="3:7" x14ac:dyDescent="0.25">
      <c r="C7896" s="8"/>
      <c r="G7896" s="11"/>
    </row>
    <row r="7897" spans="3:7" x14ac:dyDescent="0.25">
      <c r="C7897" s="8"/>
      <c r="G7897" s="11"/>
    </row>
    <row r="7898" spans="3:7" x14ac:dyDescent="0.25">
      <c r="C7898" s="8"/>
      <c r="G7898" s="11"/>
    </row>
    <row r="7899" spans="3:7" x14ac:dyDescent="0.25">
      <c r="C7899" s="8"/>
      <c r="G7899" s="11"/>
    </row>
    <row r="7900" spans="3:7" x14ac:dyDescent="0.25">
      <c r="C7900" s="8"/>
      <c r="G7900" s="11"/>
    </row>
    <row r="7901" spans="3:7" x14ac:dyDescent="0.25">
      <c r="C7901" s="8"/>
      <c r="G7901" s="11"/>
    </row>
    <row r="7902" spans="3:7" x14ac:dyDescent="0.25">
      <c r="C7902" s="8"/>
      <c r="G7902" s="11"/>
    </row>
    <row r="7903" spans="3:7" x14ac:dyDescent="0.25">
      <c r="C7903" s="8"/>
      <c r="G7903" s="11"/>
    </row>
    <row r="7904" spans="3:7" x14ac:dyDescent="0.25">
      <c r="C7904" s="8"/>
      <c r="G7904" s="11"/>
    </row>
    <row r="7905" spans="3:7" x14ac:dyDescent="0.25">
      <c r="C7905" s="8"/>
      <c r="G7905" s="11"/>
    </row>
    <row r="7906" spans="3:7" x14ac:dyDescent="0.25">
      <c r="C7906" s="8"/>
      <c r="G7906" s="11"/>
    </row>
    <row r="7907" spans="3:7" x14ac:dyDescent="0.25">
      <c r="C7907" s="8"/>
      <c r="G7907" s="11"/>
    </row>
    <row r="7908" spans="3:7" x14ac:dyDescent="0.25">
      <c r="C7908" s="8"/>
      <c r="G7908" s="11"/>
    </row>
    <row r="7909" spans="3:7" x14ac:dyDescent="0.25">
      <c r="C7909" s="8"/>
      <c r="G7909" s="11"/>
    </row>
    <row r="7910" spans="3:7" x14ac:dyDescent="0.25">
      <c r="C7910" s="8"/>
      <c r="G7910" s="11"/>
    </row>
    <row r="7911" spans="3:7" x14ac:dyDescent="0.25">
      <c r="C7911" s="8"/>
      <c r="G7911" s="11"/>
    </row>
    <row r="7912" spans="3:7" x14ac:dyDescent="0.25">
      <c r="C7912" s="8"/>
      <c r="G7912" s="11"/>
    </row>
    <row r="7913" spans="3:7" x14ac:dyDescent="0.25">
      <c r="C7913" s="8"/>
      <c r="G7913" s="11"/>
    </row>
    <row r="7914" spans="3:7" x14ac:dyDescent="0.25">
      <c r="C7914" s="8"/>
      <c r="G7914" s="11"/>
    </row>
    <row r="7915" spans="3:7" x14ac:dyDescent="0.25">
      <c r="C7915" s="8"/>
      <c r="G7915" s="11"/>
    </row>
    <row r="7916" spans="3:7" x14ac:dyDescent="0.25">
      <c r="C7916" s="8"/>
      <c r="G7916" s="11"/>
    </row>
    <row r="7917" spans="3:7" x14ac:dyDescent="0.25">
      <c r="C7917" s="8"/>
      <c r="G7917" s="11"/>
    </row>
    <row r="7918" spans="3:7" x14ac:dyDescent="0.25">
      <c r="C7918" s="8"/>
      <c r="G7918" s="11"/>
    </row>
    <row r="7919" spans="3:7" x14ac:dyDescent="0.25">
      <c r="C7919" s="8"/>
      <c r="G7919" s="11"/>
    </row>
    <row r="7920" spans="3:7" x14ac:dyDescent="0.25">
      <c r="C7920" s="8"/>
      <c r="G7920" s="11"/>
    </row>
    <row r="7921" spans="3:7" x14ac:dyDescent="0.25">
      <c r="C7921" s="8"/>
      <c r="G7921" s="11"/>
    </row>
    <row r="7922" spans="3:7" x14ac:dyDescent="0.25">
      <c r="C7922" s="8"/>
      <c r="G7922" s="11"/>
    </row>
    <row r="7923" spans="3:7" x14ac:dyDescent="0.25">
      <c r="C7923" s="8"/>
      <c r="G7923" s="11"/>
    </row>
    <row r="7924" spans="3:7" x14ac:dyDescent="0.25">
      <c r="C7924" s="8"/>
      <c r="G7924" s="11"/>
    </row>
    <row r="7925" spans="3:7" x14ac:dyDescent="0.25">
      <c r="C7925" s="8"/>
      <c r="G7925" s="11"/>
    </row>
    <row r="7926" spans="3:7" x14ac:dyDescent="0.25">
      <c r="C7926" s="8"/>
      <c r="G7926" s="11"/>
    </row>
    <row r="7927" spans="3:7" x14ac:dyDescent="0.25">
      <c r="C7927" s="8"/>
      <c r="G7927" s="11"/>
    </row>
    <row r="7928" spans="3:7" x14ac:dyDescent="0.25">
      <c r="C7928" s="8"/>
      <c r="G7928" s="11"/>
    </row>
    <row r="7929" spans="3:7" x14ac:dyDescent="0.25">
      <c r="C7929" s="8"/>
      <c r="G7929" s="11"/>
    </row>
    <row r="7930" spans="3:7" x14ac:dyDescent="0.25">
      <c r="C7930" s="8"/>
      <c r="G7930" s="11"/>
    </row>
    <row r="7931" spans="3:7" x14ac:dyDescent="0.25">
      <c r="C7931" s="8"/>
      <c r="G7931" s="11"/>
    </row>
    <row r="7932" spans="3:7" x14ac:dyDescent="0.25">
      <c r="C7932" s="8"/>
      <c r="G7932" s="11"/>
    </row>
    <row r="7933" spans="3:7" x14ac:dyDescent="0.25">
      <c r="C7933" s="8"/>
      <c r="G7933" s="11"/>
    </row>
    <row r="7934" spans="3:7" x14ac:dyDescent="0.25">
      <c r="C7934" s="8"/>
      <c r="G7934" s="11"/>
    </row>
    <row r="7935" spans="3:7" x14ac:dyDescent="0.25">
      <c r="C7935" s="8"/>
      <c r="G7935" s="11"/>
    </row>
    <row r="7936" spans="3:7" x14ac:dyDescent="0.25">
      <c r="C7936" s="8"/>
      <c r="G7936" s="11"/>
    </row>
    <row r="7937" spans="3:7" x14ac:dyDescent="0.25">
      <c r="C7937" s="8"/>
      <c r="G7937" s="11"/>
    </row>
    <row r="7938" spans="3:7" x14ac:dyDescent="0.25">
      <c r="C7938" s="8"/>
      <c r="G7938" s="11"/>
    </row>
    <row r="7939" spans="3:7" x14ac:dyDescent="0.25">
      <c r="C7939" s="8"/>
      <c r="G7939" s="11"/>
    </row>
    <row r="7940" spans="3:7" x14ac:dyDescent="0.25">
      <c r="C7940" s="8"/>
      <c r="G7940" s="11"/>
    </row>
    <row r="7941" spans="3:7" x14ac:dyDescent="0.25">
      <c r="C7941" s="8"/>
      <c r="G7941" s="11"/>
    </row>
    <row r="7942" spans="3:7" x14ac:dyDescent="0.25">
      <c r="C7942" s="8"/>
      <c r="G7942" s="11"/>
    </row>
    <row r="7943" spans="3:7" x14ac:dyDescent="0.25">
      <c r="C7943" s="8"/>
      <c r="G7943" s="11"/>
    </row>
    <row r="7944" spans="3:7" x14ac:dyDescent="0.25">
      <c r="C7944" s="8"/>
      <c r="G7944" s="11"/>
    </row>
    <row r="7945" spans="3:7" x14ac:dyDescent="0.25">
      <c r="C7945" s="8"/>
      <c r="G7945" s="11"/>
    </row>
    <row r="7946" spans="3:7" x14ac:dyDescent="0.25">
      <c r="C7946" s="8"/>
      <c r="G7946" s="11"/>
    </row>
    <row r="7947" spans="3:7" x14ac:dyDescent="0.25">
      <c r="C7947" s="8"/>
      <c r="G7947" s="11"/>
    </row>
    <row r="7948" spans="3:7" x14ac:dyDescent="0.25">
      <c r="C7948" s="8"/>
      <c r="G7948" s="11"/>
    </row>
    <row r="7949" spans="3:7" x14ac:dyDescent="0.25">
      <c r="C7949" s="8"/>
      <c r="G7949" s="11"/>
    </row>
    <row r="7950" spans="3:7" x14ac:dyDescent="0.25">
      <c r="C7950" s="8"/>
      <c r="G7950" s="11"/>
    </row>
    <row r="7951" spans="3:7" x14ac:dyDescent="0.25">
      <c r="C7951" s="8"/>
      <c r="G7951" s="11"/>
    </row>
    <row r="7952" spans="3:7" x14ac:dyDescent="0.25">
      <c r="C7952" s="8"/>
      <c r="G7952" s="11"/>
    </row>
    <row r="7953" spans="3:7" x14ac:dyDescent="0.25">
      <c r="C7953" s="8"/>
      <c r="G7953" s="11"/>
    </row>
    <row r="7954" spans="3:7" x14ac:dyDescent="0.25">
      <c r="C7954" s="8"/>
      <c r="G7954" s="11"/>
    </row>
    <row r="7955" spans="3:7" x14ac:dyDescent="0.25">
      <c r="C7955" s="8"/>
      <c r="G7955" s="11"/>
    </row>
    <row r="7956" spans="3:7" x14ac:dyDescent="0.25">
      <c r="C7956" s="8"/>
      <c r="G7956" s="11"/>
    </row>
    <row r="7957" spans="3:7" x14ac:dyDescent="0.25">
      <c r="C7957" s="8"/>
      <c r="G7957" s="11"/>
    </row>
    <row r="7958" spans="3:7" x14ac:dyDescent="0.25">
      <c r="C7958" s="8"/>
      <c r="G7958" s="11"/>
    </row>
    <row r="7959" spans="3:7" x14ac:dyDescent="0.25">
      <c r="C7959" s="8"/>
      <c r="G7959" s="11"/>
    </row>
    <row r="7960" spans="3:7" x14ac:dyDescent="0.25">
      <c r="C7960" s="8"/>
      <c r="G7960" s="11"/>
    </row>
    <row r="7961" spans="3:7" x14ac:dyDescent="0.25">
      <c r="C7961" s="8"/>
      <c r="G7961" s="11"/>
    </row>
    <row r="7962" spans="3:7" x14ac:dyDescent="0.25">
      <c r="C7962" s="8"/>
      <c r="G7962" s="11"/>
    </row>
    <row r="7963" spans="3:7" x14ac:dyDescent="0.25">
      <c r="C7963" s="8"/>
      <c r="G7963" s="11"/>
    </row>
    <row r="7964" spans="3:7" x14ac:dyDescent="0.25">
      <c r="C7964" s="8"/>
      <c r="G7964" s="11"/>
    </row>
    <row r="7965" spans="3:7" x14ac:dyDescent="0.25">
      <c r="C7965" s="8"/>
      <c r="G7965" s="11"/>
    </row>
    <row r="7966" spans="3:7" x14ac:dyDescent="0.25">
      <c r="C7966" s="8"/>
      <c r="G7966" s="11"/>
    </row>
    <row r="7967" spans="3:7" x14ac:dyDescent="0.25">
      <c r="C7967" s="8"/>
      <c r="G7967" s="11"/>
    </row>
    <row r="7968" spans="3:7" x14ac:dyDescent="0.25">
      <c r="C7968" s="8"/>
      <c r="G7968" s="11"/>
    </row>
    <row r="7969" spans="3:7" x14ac:dyDescent="0.25">
      <c r="C7969" s="8"/>
      <c r="G7969" s="11"/>
    </row>
    <row r="7970" spans="3:7" x14ac:dyDescent="0.25">
      <c r="C7970" s="8"/>
      <c r="G7970" s="11"/>
    </row>
    <row r="7971" spans="3:7" x14ac:dyDescent="0.25">
      <c r="C7971" s="8"/>
      <c r="G7971" s="11"/>
    </row>
    <row r="7972" spans="3:7" x14ac:dyDescent="0.25">
      <c r="C7972" s="8"/>
      <c r="G7972" s="11"/>
    </row>
    <row r="7973" spans="3:7" x14ac:dyDescent="0.25">
      <c r="C7973" s="8"/>
      <c r="G7973" s="11"/>
    </row>
    <row r="7974" spans="3:7" x14ac:dyDescent="0.25">
      <c r="C7974" s="8"/>
      <c r="G7974" s="11"/>
    </row>
    <row r="7975" spans="3:7" x14ac:dyDescent="0.25">
      <c r="C7975" s="8"/>
      <c r="G7975" s="11"/>
    </row>
    <row r="7976" spans="3:7" x14ac:dyDescent="0.25">
      <c r="C7976" s="8"/>
      <c r="G7976" s="11"/>
    </row>
    <row r="7977" spans="3:7" x14ac:dyDescent="0.25">
      <c r="C7977" s="8"/>
      <c r="G7977" s="11"/>
    </row>
    <row r="7978" spans="3:7" x14ac:dyDescent="0.25">
      <c r="C7978" s="8"/>
      <c r="G7978" s="11"/>
    </row>
    <row r="7979" spans="3:7" x14ac:dyDescent="0.25">
      <c r="C7979" s="8"/>
      <c r="G7979" s="11"/>
    </row>
    <row r="7980" spans="3:7" x14ac:dyDescent="0.25">
      <c r="C7980" s="8"/>
      <c r="G7980" s="11"/>
    </row>
    <row r="7981" spans="3:7" x14ac:dyDescent="0.25">
      <c r="C7981" s="8"/>
      <c r="G7981" s="11"/>
    </row>
    <row r="7982" spans="3:7" x14ac:dyDescent="0.25">
      <c r="C7982" s="8"/>
      <c r="G7982" s="11"/>
    </row>
    <row r="7983" spans="3:7" x14ac:dyDescent="0.25">
      <c r="C7983" s="8"/>
      <c r="G7983" s="11"/>
    </row>
    <row r="7984" spans="3:7" x14ac:dyDescent="0.25">
      <c r="C7984" s="8"/>
      <c r="G7984" s="11"/>
    </row>
    <row r="7985" spans="3:7" x14ac:dyDescent="0.25">
      <c r="C7985" s="8"/>
      <c r="G7985" s="11"/>
    </row>
    <row r="7986" spans="3:7" x14ac:dyDescent="0.25">
      <c r="C7986" s="8"/>
      <c r="G7986" s="11"/>
    </row>
    <row r="7987" spans="3:7" x14ac:dyDescent="0.25">
      <c r="C7987" s="8"/>
      <c r="G7987" s="11"/>
    </row>
    <row r="7988" spans="3:7" x14ac:dyDescent="0.25">
      <c r="C7988" s="8"/>
      <c r="G7988" s="11"/>
    </row>
    <row r="7989" spans="3:7" x14ac:dyDescent="0.25">
      <c r="C7989" s="8"/>
      <c r="G7989" s="11"/>
    </row>
    <row r="7990" spans="3:7" x14ac:dyDescent="0.25">
      <c r="C7990" s="8"/>
      <c r="G7990" s="11"/>
    </row>
    <row r="7991" spans="3:7" x14ac:dyDescent="0.25">
      <c r="C7991" s="8"/>
      <c r="G7991" s="11"/>
    </row>
    <row r="7992" spans="3:7" x14ac:dyDescent="0.25">
      <c r="C7992" s="8"/>
      <c r="G7992" s="11"/>
    </row>
    <row r="7993" spans="3:7" x14ac:dyDescent="0.25">
      <c r="C7993" s="8"/>
      <c r="G7993" s="11"/>
    </row>
    <row r="7994" spans="3:7" x14ac:dyDescent="0.25">
      <c r="C7994" s="8"/>
      <c r="G7994" s="11"/>
    </row>
    <row r="7995" spans="3:7" x14ac:dyDescent="0.25">
      <c r="C7995" s="8"/>
      <c r="G7995" s="11"/>
    </row>
    <row r="7996" spans="3:7" x14ac:dyDescent="0.25">
      <c r="C7996" s="8"/>
      <c r="G7996" s="11"/>
    </row>
    <row r="7997" spans="3:7" x14ac:dyDescent="0.25">
      <c r="C7997" s="8"/>
      <c r="G7997" s="11"/>
    </row>
    <row r="7998" spans="3:7" x14ac:dyDescent="0.25">
      <c r="C7998" s="8"/>
      <c r="G7998" s="11"/>
    </row>
    <row r="7999" spans="3:7" x14ac:dyDescent="0.25">
      <c r="C7999" s="8"/>
      <c r="G7999" s="11"/>
    </row>
    <row r="8000" spans="3:7" x14ac:dyDescent="0.25">
      <c r="C8000" s="8"/>
      <c r="G8000" s="11"/>
    </row>
    <row r="8001" spans="3:7" x14ac:dyDescent="0.25">
      <c r="C8001" s="8"/>
      <c r="G8001" s="11"/>
    </row>
    <row r="8002" spans="3:7" x14ac:dyDescent="0.25">
      <c r="C8002" s="8"/>
      <c r="G8002" s="11"/>
    </row>
    <row r="8003" spans="3:7" x14ac:dyDescent="0.25">
      <c r="C8003" s="8"/>
      <c r="G8003" s="11"/>
    </row>
    <row r="8004" spans="3:7" x14ac:dyDescent="0.25">
      <c r="C8004" s="8"/>
      <c r="G8004" s="11"/>
    </row>
    <row r="8005" spans="3:7" x14ac:dyDescent="0.25">
      <c r="C8005" s="8"/>
      <c r="G8005" s="11"/>
    </row>
    <row r="8006" spans="3:7" x14ac:dyDescent="0.25">
      <c r="C8006" s="8"/>
      <c r="G8006" s="11"/>
    </row>
    <row r="8007" spans="3:7" x14ac:dyDescent="0.25">
      <c r="C8007" s="8"/>
      <c r="G8007" s="11"/>
    </row>
    <row r="8008" spans="3:7" x14ac:dyDescent="0.25">
      <c r="C8008" s="8"/>
      <c r="G8008" s="11"/>
    </row>
    <row r="8009" spans="3:7" x14ac:dyDescent="0.25">
      <c r="C8009" s="8"/>
      <c r="G8009" s="11"/>
    </row>
    <row r="8010" spans="3:7" x14ac:dyDescent="0.25">
      <c r="C8010" s="8"/>
      <c r="G8010" s="11"/>
    </row>
    <row r="8011" spans="3:7" x14ac:dyDescent="0.25">
      <c r="C8011" s="8"/>
      <c r="G8011" s="11"/>
    </row>
    <row r="8012" spans="3:7" x14ac:dyDescent="0.25">
      <c r="C8012" s="8"/>
      <c r="G8012" s="11"/>
    </row>
    <row r="8013" spans="3:7" x14ac:dyDescent="0.25">
      <c r="C8013" s="8"/>
      <c r="G8013" s="11"/>
    </row>
    <row r="8014" spans="3:7" x14ac:dyDescent="0.25">
      <c r="C8014" s="8"/>
      <c r="G8014" s="11"/>
    </row>
    <row r="8015" spans="3:7" x14ac:dyDescent="0.25">
      <c r="C8015" s="8"/>
      <c r="G8015" s="11"/>
    </row>
    <row r="8016" spans="3:7" x14ac:dyDescent="0.25">
      <c r="C8016" s="8"/>
      <c r="G8016" s="11"/>
    </row>
    <row r="8017" spans="3:7" x14ac:dyDescent="0.25">
      <c r="C8017" s="8"/>
      <c r="G8017" s="11"/>
    </row>
    <row r="8018" spans="3:7" x14ac:dyDescent="0.25">
      <c r="C8018" s="8"/>
      <c r="G8018" s="11"/>
    </row>
    <row r="8019" spans="3:7" x14ac:dyDescent="0.25">
      <c r="C8019" s="8"/>
      <c r="G8019" s="11"/>
    </row>
    <row r="8020" spans="3:7" x14ac:dyDescent="0.25">
      <c r="C8020" s="8"/>
      <c r="G8020" s="11"/>
    </row>
    <row r="8021" spans="3:7" x14ac:dyDescent="0.25">
      <c r="C8021" s="8"/>
      <c r="G8021" s="11"/>
    </row>
    <row r="8022" spans="3:7" x14ac:dyDescent="0.25">
      <c r="C8022" s="8"/>
      <c r="G8022" s="11"/>
    </row>
    <row r="8023" spans="3:7" x14ac:dyDescent="0.25">
      <c r="C8023" s="8"/>
      <c r="G8023" s="11"/>
    </row>
    <row r="8024" spans="3:7" x14ac:dyDescent="0.25">
      <c r="C8024" s="8"/>
      <c r="G8024" s="11"/>
    </row>
    <row r="8025" spans="3:7" x14ac:dyDescent="0.25">
      <c r="C8025" s="8"/>
      <c r="G8025" s="11"/>
    </row>
    <row r="8026" spans="3:7" x14ac:dyDescent="0.25">
      <c r="C8026" s="8"/>
      <c r="G8026" s="11"/>
    </row>
    <row r="8027" spans="3:7" x14ac:dyDescent="0.25">
      <c r="C8027" s="8"/>
      <c r="G8027" s="11"/>
    </row>
    <row r="8028" spans="3:7" x14ac:dyDescent="0.25">
      <c r="C8028" s="8"/>
      <c r="G8028" s="11"/>
    </row>
    <row r="8029" spans="3:7" x14ac:dyDescent="0.25">
      <c r="C8029" s="8"/>
      <c r="G8029" s="11"/>
    </row>
    <row r="8030" spans="3:7" x14ac:dyDescent="0.25">
      <c r="C8030" s="8"/>
      <c r="G8030" s="11"/>
    </row>
    <row r="8031" spans="3:7" x14ac:dyDescent="0.25">
      <c r="C8031" s="8"/>
      <c r="G8031" s="11"/>
    </row>
    <row r="8032" spans="3:7" x14ac:dyDescent="0.25">
      <c r="C8032" s="8"/>
      <c r="G8032" s="11"/>
    </row>
    <row r="8033" spans="3:7" x14ac:dyDescent="0.25">
      <c r="C8033" s="8"/>
      <c r="G8033" s="11"/>
    </row>
    <row r="8034" spans="3:7" x14ac:dyDescent="0.25">
      <c r="C8034" s="8"/>
      <c r="G8034" s="11"/>
    </row>
    <row r="8035" spans="3:7" x14ac:dyDescent="0.25">
      <c r="C8035" s="8"/>
      <c r="G8035" s="11"/>
    </row>
    <row r="8036" spans="3:7" x14ac:dyDescent="0.25">
      <c r="C8036" s="8"/>
      <c r="G8036" s="11"/>
    </row>
    <row r="8037" spans="3:7" x14ac:dyDescent="0.25">
      <c r="C8037" s="8"/>
      <c r="G8037" s="11"/>
    </row>
    <row r="8038" spans="3:7" x14ac:dyDescent="0.25">
      <c r="C8038" s="8"/>
      <c r="G8038" s="11"/>
    </row>
    <row r="8039" spans="3:7" x14ac:dyDescent="0.25">
      <c r="C8039" s="8"/>
      <c r="G8039" s="11"/>
    </row>
    <row r="8040" spans="3:7" x14ac:dyDescent="0.25">
      <c r="C8040" s="8"/>
      <c r="G8040" s="11"/>
    </row>
    <row r="8041" spans="3:7" x14ac:dyDescent="0.25">
      <c r="C8041" s="8"/>
      <c r="G8041" s="11"/>
    </row>
    <row r="8042" spans="3:7" x14ac:dyDescent="0.25">
      <c r="C8042" s="8"/>
      <c r="G8042" s="11"/>
    </row>
    <row r="8043" spans="3:7" x14ac:dyDescent="0.25">
      <c r="C8043" s="8"/>
      <c r="G8043" s="11"/>
    </row>
    <row r="8044" spans="3:7" x14ac:dyDescent="0.25">
      <c r="C8044" s="8"/>
      <c r="G8044" s="11"/>
    </row>
    <row r="8045" spans="3:7" x14ac:dyDescent="0.25">
      <c r="C8045" s="8"/>
      <c r="G8045" s="11"/>
    </row>
    <row r="8046" spans="3:7" x14ac:dyDescent="0.25">
      <c r="C8046" s="8"/>
      <c r="G8046" s="11"/>
    </row>
    <row r="8047" spans="3:7" x14ac:dyDescent="0.25">
      <c r="C8047" s="8"/>
      <c r="G8047" s="11"/>
    </row>
    <row r="8048" spans="3:7" x14ac:dyDescent="0.25">
      <c r="C8048" s="8"/>
      <c r="G8048" s="11"/>
    </row>
    <row r="8049" spans="3:7" x14ac:dyDescent="0.25">
      <c r="C8049" s="8"/>
      <c r="G8049" s="11"/>
    </row>
    <row r="8050" spans="3:7" x14ac:dyDescent="0.25">
      <c r="C8050" s="8"/>
      <c r="G8050" s="11"/>
    </row>
    <row r="8051" spans="3:7" x14ac:dyDescent="0.25">
      <c r="C8051" s="8"/>
      <c r="G8051" s="11"/>
    </row>
    <row r="8052" spans="3:7" x14ac:dyDescent="0.25">
      <c r="C8052" s="8"/>
      <c r="G8052" s="11"/>
    </row>
    <row r="8053" spans="3:7" x14ac:dyDescent="0.25">
      <c r="C8053" s="8"/>
      <c r="G8053" s="11"/>
    </row>
    <row r="8054" spans="3:7" x14ac:dyDescent="0.25">
      <c r="C8054" s="8"/>
      <c r="G8054" s="11"/>
    </row>
    <row r="8055" spans="3:7" x14ac:dyDescent="0.25">
      <c r="C8055" s="8"/>
      <c r="G8055" s="11"/>
    </row>
    <row r="8056" spans="3:7" x14ac:dyDescent="0.25">
      <c r="C8056" s="8"/>
      <c r="G8056" s="11"/>
    </row>
    <row r="8057" spans="3:7" x14ac:dyDescent="0.25">
      <c r="C8057" s="8"/>
      <c r="G8057" s="11"/>
    </row>
    <row r="8058" spans="3:7" x14ac:dyDescent="0.25">
      <c r="C8058" s="8"/>
      <c r="G8058" s="11"/>
    </row>
    <row r="8059" spans="3:7" x14ac:dyDescent="0.25">
      <c r="C8059" s="8"/>
      <c r="G8059" s="11"/>
    </row>
    <row r="8060" spans="3:7" x14ac:dyDescent="0.25">
      <c r="C8060" s="8"/>
      <c r="G8060" s="11"/>
    </row>
    <row r="8061" spans="3:7" x14ac:dyDescent="0.25">
      <c r="C8061" s="8"/>
      <c r="G8061" s="11"/>
    </row>
    <row r="8062" spans="3:7" x14ac:dyDescent="0.25">
      <c r="C8062" s="8"/>
      <c r="G8062" s="11"/>
    </row>
    <row r="8063" spans="3:7" x14ac:dyDescent="0.25">
      <c r="C8063" s="8"/>
      <c r="G8063" s="11"/>
    </row>
    <row r="8064" spans="3:7" x14ac:dyDescent="0.25">
      <c r="C8064" s="8"/>
      <c r="G8064" s="11"/>
    </row>
    <row r="8065" spans="3:7" x14ac:dyDescent="0.25">
      <c r="C8065" s="8"/>
      <c r="G8065" s="11"/>
    </row>
    <row r="8066" spans="3:7" x14ac:dyDescent="0.25">
      <c r="C8066" s="8"/>
      <c r="G8066" s="11"/>
    </row>
    <row r="8067" spans="3:7" x14ac:dyDescent="0.25">
      <c r="C8067" s="8"/>
      <c r="G8067" s="11"/>
    </row>
    <row r="8068" spans="3:7" x14ac:dyDescent="0.25">
      <c r="C8068" s="8"/>
      <c r="G8068" s="11"/>
    </row>
    <row r="8069" spans="3:7" x14ac:dyDescent="0.25">
      <c r="C8069" s="8"/>
      <c r="G8069" s="11"/>
    </row>
    <row r="8070" spans="3:7" x14ac:dyDescent="0.25">
      <c r="C8070" s="8"/>
      <c r="G8070" s="11"/>
    </row>
    <row r="8071" spans="3:7" x14ac:dyDescent="0.25">
      <c r="C8071" s="8"/>
      <c r="G8071" s="11"/>
    </row>
    <row r="8072" spans="3:7" x14ac:dyDescent="0.25">
      <c r="C8072" s="8"/>
      <c r="G8072" s="11"/>
    </row>
    <row r="8073" spans="3:7" x14ac:dyDescent="0.25">
      <c r="C8073" s="8"/>
      <c r="G8073" s="11"/>
    </row>
    <row r="8074" spans="3:7" x14ac:dyDescent="0.25">
      <c r="C8074" s="8"/>
      <c r="G8074" s="11"/>
    </row>
    <row r="8075" spans="3:7" x14ac:dyDescent="0.25">
      <c r="C8075" s="8"/>
      <c r="G8075" s="11"/>
    </row>
    <row r="8076" spans="3:7" x14ac:dyDescent="0.25">
      <c r="C8076" s="8"/>
      <c r="G8076" s="11"/>
    </row>
    <row r="8077" spans="3:7" x14ac:dyDescent="0.25">
      <c r="C8077" s="8"/>
      <c r="G8077" s="11"/>
    </row>
    <row r="8078" spans="3:7" x14ac:dyDescent="0.25">
      <c r="C8078" s="8"/>
      <c r="G8078" s="11"/>
    </row>
    <row r="8079" spans="3:7" x14ac:dyDescent="0.25">
      <c r="C8079" s="8"/>
      <c r="G8079" s="11"/>
    </row>
    <row r="8080" spans="3:7" x14ac:dyDescent="0.25">
      <c r="C8080" s="8"/>
      <c r="G8080" s="11"/>
    </row>
    <row r="8081" spans="3:7" x14ac:dyDescent="0.25">
      <c r="C8081" s="8"/>
      <c r="G8081" s="11"/>
    </row>
    <row r="8082" spans="3:7" x14ac:dyDescent="0.25">
      <c r="C8082" s="8"/>
      <c r="G8082" s="11"/>
    </row>
    <row r="8083" spans="3:7" x14ac:dyDescent="0.25">
      <c r="C8083" s="8"/>
      <c r="G8083" s="11"/>
    </row>
    <row r="8084" spans="3:7" x14ac:dyDescent="0.25">
      <c r="C8084" s="8"/>
      <c r="G8084" s="11"/>
    </row>
    <row r="8085" spans="3:7" x14ac:dyDescent="0.25">
      <c r="C8085" s="8"/>
      <c r="G8085" s="11"/>
    </row>
    <row r="8086" spans="3:7" x14ac:dyDescent="0.25">
      <c r="C8086" s="8"/>
      <c r="G8086" s="11"/>
    </row>
    <row r="8087" spans="3:7" x14ac:dyDescent="0.25">
      <c r="C8087" s="8"/>
      <c r="G8087" s="11"/>
    </row>
    <row r="8088" spans="3:7" x14ac:dyDescent="0.25">
      <c r="C8088" s="8"/>
      <c r="G8088" s="11"/>
    </row>
    <row r="8089" spans="3:7" x14ac:dyDescent="0.25">
      <c r="C8089" s="8"/>
      <c r="G8089" s="11"/>
    </row>
    <row r="8090" spans="3:7" x14ac:dyDescent="0.25">
      <c r="C8090" s="8"/>
      <c r="G8090" s="11"/>
    </row>
    <row r="8091" spans="3:7" x14ac:dyDescent="0.25">
      <c r="C8091" s="8"/>
      <c r="G8091" s="11"/>
    </row>
    <row r="8092" spans="3:7" x14ac:dyDescent="0.25">
      <c r="C8092" s="8"/>
      <c r="G8092" s="11"/>
    </row>
    <row r="8093" spans="3:7" x14ac:dyDescent="0.25">
      <c r="C8093" s="8"/>
      <c r="G8093" s="11"/>
    </row>
    <row r="8094" spans="3:7" x14ac:dyDescent="0.25">
      <c r="C8094" s="8"/>
      <c r="G8094" s="11"/>
    </row>
    <row r="8095" spans="3:7" x14ac:dyDescent="0.25">
      <c r="C8095" s="8"/>
      <c r="G8095" s="11"/>
    </row>
    <row r="8096" spans="3:7" x14ac:dyDescent="0.25">
      <c r="C8096" s="8"/>
      <c r="G8096" s="11"/>
    </row>
    <row r="8097" spans="3:7" x14ac:dyDescent="0.25">
      <c r="C8097" s="8"/>
      <c r="G8097" s="11"/>
    </row>
    <row r="8098" spans="3:7" x14ac:dyDescent="0.25">
      <c r="C8098" s="8"/>
      <c r="G8098" s="11"/>
    </row>
    <row r="8099" spans="3:7" x14ac:dyDescent="0.25">
      <c r="C8099" s="8"/>
      <c r="G8099" s="11"/>
    </row>
    <row r="8100" spans="3:7" x14ac:dyDescent="0.25">
      <c r="C8100" s="8"/>
      <c r="G8100" s="11"/>
    </row>
    <row r="8101" spans="3:7" x14ac:dyDescent="0.25">
      <c r="C8101" s="8"/>
      <c r="G8101" s="11"/>
    </row>
    <row r="8102" spans="3:7" x14ac:dyDescent="0.25">
      <c r="C8102" s="8"/>
      <c r="G8102" s="11"/>
    </row>
    <row r="8103" spans="3:7" x14ac:dyDescent="0.25">
      <c r="C8103" s="8"/>
      <c r="G8103" s="11"/>
    </row>
    <row r="8104" spans="3:7" x14ac:dyDescent="0.25">
      <c r="C8104" s="8"/>
      <c r="G8104" s="11"/>
    </row>
    <row r="8105" spans="3:7" x14ac:dyDescent="0.25">
      <c r="C8105" s="8"/>
      <c r="G8105" s="11"/>
    </row>
    <row r="8106" spans="3:7" x14ac:dyDescent="0.25">
      <c r="C8106" s="8"/>
      <c r="G8106" s="11"/>
    </row>
    <row r="8107" spans="3:7" x14ac:dyDescent="0.25">
      <c r="C8107" s="8"/>
      <c r="G8107" s="11"/>
    </row>
    <row r="8108" spans="3:7" x14ac:dyDescent="0.25">
      <c r="C8108" s="8"/>
      <c r="G8108" s="11"/>
    </row>
    <row r="8109" spans="3:7" x14ac:dyDescent="0.25">
      <c r="C8109" s="8"/>
      <c r="G8109" s="11"/>
    </row>
    <row r="8110" spans="3:7" x14ac:dyDescent="0.25">
      <c r="C8110" s="8"/>
      <c r="G8110" s="11"/>
    </row>
    <row r="8111" spans="3:7" x14ac:dyDescent="0.25">
      <c r="C8111" s="8"/>
      <c r="G8111" s="11"/>
    </row>
    <row r="8112" spans="3:7" x14ac:dyDescent="0.25">
      <c r="C8112" s="8"/>
      <c r="G8112" s="11"/>
    </row>
    <row r="8113" spans="3:7" x14ac:dyDescent="0.25">
      <c r="C8113" s="8"/>
      <c r="G8113" s="11"/>
    </row>
    <row r="8114" spans="3:7" x14ac:dyDescent="0.25">
      <c r="C8114" s="8"/>
      <c r="G8114" s="11"/>
    </row>
    <row r="8115" spans="3:7" x14ac:dyDescent="0.25">
      <c r="C8115" s="8"/>
      <c r="G8115" s="11"/>
    </row>
    <row r="8116" spans="3:7" x14ac:dyDescent="0.25">
      <c r="C8116" s="8"/>
      <c r="G8116" s="11"/>
    </row>
    <row r="8117" spans="3:7" x14ac:dyDescent="0.25">
      <c r="C8117" s="8"/>
      <c r="G8117" s="11"/>
    </row>
    <row r="8118" spans="3:7" x14ac:dyDescent="0.25">
      <c r="C8118" s="8"/>
      <c r="G8118" s="11"/>
    </row>
    <row r="8119" spans="3:7" x14ac:dyDescent="0.25">
      <c r="C8119" s="8"/>
      <c r="G8119" s="11"/>
    </row>
    <row r="8120" spans="3:7" x14ac:dyDescent="0.25">
      <c r="C8120" s="8"/>
      <c r="G8120" s="11"/>
    </row>
    <row r="8121" spans="3:7" x14ac:dyDescent="0.25">
      <c r="C8121" s="8"/>
      <c r="G8121" s="11"/>
    </row>
    <row r="8122" spans="3:7" x14ac:dyDescent="0.25">
      <c r="C8122" s="8"/>
      <c r="G8122" s="11"/>
    </row>
    <row r="8123" spans="3:7" x14ac:dyDescent="0.25">
      <c r="C8123" s="8"/>
      <c r="G8123" s="11"/>
    </row>
    <row r="8124" spans="3:7" x14ac:dyDescent="0.25">
      <c r="C8124" s="8"/>
      <c r="G8124" s="11"/>
    </row>
    <row r="8125" spans="3:7" x14ac:dyDescent="0.25">
      <c r="C8125" s="8"/>
      <c r="G8125" s="11"/>
    </row>
    <row r="8126" spans="3:7" x14ac:dyDescent="0.25">
      <c r="C8126" s="8"/>
      <c r="G8126" s="11"/>
    </row>
    <row r="8127" spans="3:7" x14ac:dyDescent="0.25">
      <c r="C8127" s="8"/>
      <c r="G8127" s="11"/>
    </row>
    <row r="8128" spans="3:7" x14ac:dyDescent="0.25">
      <c r="C8128" s="8"/>
      <c r="G8128" s="11"/>
    </row>
    <row r="8129" spans="3:7" x14ac:dyDescent="0.25">
      <c r="C8129" s="8"/>
      <c r="G8129" s="11"/>
    </row>
    <row r="8130" spans="3:7" x14ac:dyDescent="0.25">
      <c r="C8130" s="8"/>
      <c r="G8130" s="11"/>
    </row>
    <row r="8131" spans="3:7" x14ac:dyDescent="0.25">
      <c r="C8131" s="8"/>
      <c r="G8131" s="11"/>
    </row>
    <row r="8132" spans="3:7" x14ac:dyDescent="0.25">
      <c r="C8132" s="8"/>
      <c r="G8132" s="11"/>
    </row>
    <row r="8133" spans="3:7" x14ac:dyDescent="0.25">
      <c r="C8133" s="8"/>
      <c r="G8133" s="11"/>
    </row>
    <row r="8134" spans="3:7" x14ac:dyDescent="0.25">
      <c r="C8134" s="8"/>
      <c r="G8134" s="11"/>
    </row>
    <row r="8135" spans="3:7" x14ac:dyDescent="0.25">
      <c r="C8135" s="8"/>
      <c r="G8135" s="11"/>
    </row>
    <row r="8136" spans="3:7" x14ac:dyDescent="0.25">
      <c r="C8136" s="8"/>
      <c r="G8136" s="11"/>
    </row>
    <row r="8137" spans="3:7" x14ac:dyDescent="0.25">
      <c r="C8137" s="8"/>
      <c r="G8137" s="11"/>
    </row>
    <row r="8138" spans="3:7" x14ac:dyDescent="0.25">
      <c r="C8138" s="8"/>
      <c r="G8138" s="11"/>
    </row>
    <row r="8139" spans="3:7" x14ac:dyDescent="0.25">
      <c r="C8139" s="8"/>
      <c r="G8139" s="11"/>
    </row>
    <row r="8140" spans="3:7" x14ac:dyDescent="0.25">
      <c r="C8140" s="8"/>
      <c r="G8140" s="11"/>
    </row>
    <row r="8141" spans="3:7" x14ac:dyDescent="0.25">
      <c r="C8141" s="8"/>
      <c r="G8141" s="11"/>
    </row>
    <row r="8142" spans="3:7" x14ac:dyDescent="0.25">
      <c r="C8142" s="8"/>
      <c r="G8142" s="11"/>
    </row>
    <row r="8143" spans="3:7" x14ac:dyDescent="0.25">
      <c r="C8143" s="8"/>
      <c r="G8143" s="11"/>
    </row>
    <row r="8144" spans="3:7" x14ac:dyDescent="0.25">
      <c r="C8144" s="8"/>
      <c r="G8144" s="11"/>
    </row>
    <row r="8145" spans="3:7" x14ac:dyDescent="0.25">
      <c r="C8145" s="8"/>
      <c r="G8145" s="11"/>
    </row>
    <row r="8146" spans="3:7" x14ac:dyDescent="0.25">
      <c r="C8146" s="8"/>
      <c r="G8146" s="11"/>
    </row>
    <row r="8147" spans="3:7" x14ac:dyDescent="0.25">
      <c r="C8147" s="8"/>
      <c r="G8147" s="11"/>
    </row>
    <row r="8148" spans="3:7" x14ac:dyDescent="0.25">
      <c r="C8148" s="8"/>
      <c r="G8148" s="11"/>
    </row>
    <row r="8149" spans="3:7" x14ac:dyDescent="0.25">
      <c r="C8149" s="8"/>
      <c r="G8149" s="11"/>
    </row>
    <row r="8150" spans="3:7" x14ac:dyDescent="0.25">
      <c r="C8150" s="8"/>
      <c r="G8150" s="11"/>
    </row>
    <row r="8151" spans="3:7" x14ac:dyDescent="0.25">
      <c r="C8151" s="8"/>
      <c r="G8151" s="11"/>
    </row>
    <row r="8152" spans="3:7" x14ac:dyDescent="0.25">
      <c r="C8152" s="8"/>
      <c r="G8152" s="11"/>
    </row>
    <row r="8153" spans="3:7" x14ac:dyDescent="0.25">
      <c r="C8153" s="8"/>
      <c r="G8153" s="11"/>
    </row>
    <row r="8154" spans="3:7" x14ac:dyDescent="0.25">
      <c r="C8154" s="8"/>
      <c r="G8154" s="11"/>
    </row>
    <row r="8155" spans="3:7" x14ac:dyDescent="0.25">
      <c r="C8155" s="8"/>
      <c r="G8155" s="11"/>
    </row>
    <row r="8156" spans="3:7" x14ac:dyDescent="0.25">
      <c r="C8156" s="8"/>
      <c r="G8156" s="11"/>
    </row>
    <row r="8157" spans="3:7" x14ac:dyDescent="0.25">
      <c r="C8157" s="8"/>
      <c r="G8157" s="11"/>
    </row>
    <row r="8158" spans="3:7" x14ac:dyDescent="0.25">
      <c r="C8158" s="8"/>
      <c r="G8158" s="11"/>
    </row>
    <row r="8159" spans="3:7" x14ac:dyDescent="0.25">
      <c r="C8159" s="8"/>
      <c r="G8159" s="11"/>
    </row>
    <row r="8160" spans="3:7" x14ac:dyDescent="0.25">
      <c r="C8160" s="8"/>
      <c r="G8160" s="11"/>
    </row>
    <row r="8161" spans="3:7" x14ac:dyDescent="0.25">
      <c r="C8161" s="8"/>
      <c r="G8161" s="11"/>
    </row>
    <row r="8162" spans="3:7" x14ac:dyDescent="0.25">
      <c r="C8162" s="8"/>
      <c r="G8162" s="11"/>
    </row>
    <row r="8163" spans="3:7" x14ac:dyDescent="0.25">
      <c r="C8163" s="8"/>
      <c r="G8163" s="11"/>
    </row>
    <row r="8164" spans="3:7" x14ac:dyDescent="0.25">
      <c r="C8164" s="8"/>
      <c r="G8164" s="11"/>
    </row>
    <row r="8165" spans="3:7" x14ac:dyDescent="0.25">
      <c r="C8165" s="8"/>
      <c r="G8165" s="11"/>
    </row>
    <row r="8166" spans="3:7" x14ac:dyDescent="0.25">
      <c r="C8166" s="8"/>
      <c r="G8166" s="11"/>
    </row>
    <row r="8167" spans="3:7" x14ac:dyDescent="0.25">
      <c r="C8167" s="8"/>
      <c r="G8167" s="11"/>
    </row>
    <row r="8168" spans="3:7" x14ac:dyDescent="0.25">
      <c r="C8168" s="8"/>
      <c r="G8168" s="11"/>
    </row>
    <row r="8169" spans="3:7" x14ac:dyDescent="0.25">
      <c r="C8169" s="8"/>
      <c r="G8169" s="11"/>
    </row>
    <row r="8170" spans="3:7" x14ac:dyDescent="0.25">
      <c r="C8170" s="8"/>
      <c r="G8170" s="11"/>
    </row>
    <row r="8171" spans="3:7" x14ac:dyDescent="0.25">
      <c r="C8171" s="8"/>
      <c r="G8171" s="11"/>
    </row>
    <row r="8172" spans="3:7" x14ac:dyDescent="0.25">
      <c r="C8172" s="8"/>
      <c r="G8172" s="11"/>
    </row>
    <row r="8173" spans="3:7" x14ac:dyDescent="0.25">
      <c r="C8173" s="8"/>
      <c r="G8173" s="11"/>
    </row>
    <row r="8174" spans="3:7" x14ac:dyDescent="0.25">
      <c r="C8174" s="8"/>
      <c r="G8174" s="11"/>
    </row>
    <row r="8175" spans="3:7" x14ac:dyDescent="0.25">
      <c r="C8175" s="8"/>
      <c r="G8175" s="11"/>
    </row>
    <row r="8176" spans="3:7" x14ac:dyDescent="0.25">
      <c r="C8176" s="8"/>
      <c r="G8176" s="11"/>
    </row>
    <row r="8177" spans="3:7" x14ac:dyDescent="0.25">
      <c r="C8177" s="8"/>
      <c r="G8177" s="11"/>
    </row>
    <row r="8178" spans="3:7" x14ac:dyDescent="0.25">
      <c r="C8178" s="8"/>
      <c r="G8178" s="11"/>
    </row>
    <row r="8179" spans="3:7" x14ac:dyDescent="0.25">
      <c r="C8179" s="8"/>
      <c r="G8179" s="11"/>
    </row>
    <row r="8180" spans="3:7" x14ac:dyDescent="0.25">
      <c r="C8180" s="8"/>
      <c r="G8180" s="11"/>
    </row>
    <row r="8181" spans="3:7" x14ac:dyDescent="0.25">
      <c r="C8181" s="8"/>
      <c r="G8181" s="11"/>
    </row>
    <row r="8182" spans="3:7" x14ac:dyDescent="0.25">
      <c r="C8182" s="8"/>
      <c r="G8182" s="11"/>
    </row>
    <row r="8183" spans="3:7" x14ac:dyDescent="0.25">
      <c r="C8183" s="8"/>
      <c r="G8183" s="11"/>
    </row>
    <row r="8184" spans="3:7" x14ac:dyDescent="0.25">
      <c r="C8184" s="8"/>
      <c r="G8184" s="11"/>
    </row>
    <row r="8185" spans="3:7" x14ac:dyDescent="0.25">
      <c r="C8185" s="8"/>
      <c r="G8185" s="11"/>
    </row>
    <row r="8186" spans="3:7" x14ac:dyDescent="0.25">
      <c r="C8186" s="8"/>
      <c r="G8186" s="11"/>
    </row>
    <row r="8187" spans="3:7" x14ac:dyDescent="0.25">
      <c r="C8187" s="8"/>
      <c r="G8187" s="11"/>
    </row>
    <row r="8188" spans="3:7" x14ac:dyDescent="0.25">
      <c r="C8188" s="8"/>
      <c r="G8188" s="11"/>
    </row>
    <row r="8189" spans="3:7" x14ac:dyDescent="0.25">
      <c r="C8189" s="8"/>
      <c r="G8189" s="11"/>
    </row>
    <row r="8190" spans="3:7" x14ac:dyDescent="0.25">
      <c r="C8190" s="8"/>
      <c r="G8190" s="11"/>
    </row>
    <row r="8191" spans="3:7" x14ac:dyDescent="0.25">
      <c r="C8191" s="8"/>
      <c r="G8191" s="11"/>
    </row>
    <row r="8192" spans="3:7" x14ac:dyDescent="0.25">
      <c r="C8192" s="8"/>
      <c r="G8192" s="11"/>
    </row>
    <row r="8193" spans="3:7" x14ac:dyDescent="0.25">
      <c r="C8193" s="8"/>
      <c r="G8193" s="11"/>
    </row>
    <row r="8194" spans="3:7" x14ac:dyDescent="0.25">
      <c r="C8194" s="8"/>
      <c r="G8194" s="11"/>
    </row>
    <row r="8195" spans="3:7" x14ac:dyDescent="0.25">
      <c r="C8195" s="8"/>
      <c r="G8195" s="11"/>
    </row>
    <row r="8196" spans="3:7" x14ac:dyDescent="0.25">
      <c r="C8196" s="8"/>
      <c r="G8196" s="11"/>
    </row>
    <row r="8197" spans="3:7" x14ac:dyDescent="0.25">
      <c r="C8197" s="8"/>
      <c r="G8197" s="11"/>
    </row>
    <row r="8198" spans="3:7" x14ac:dyDescent="0.25">
      <c r="C8198" s="8"/>
      <c r="G8198" s="11"/>
    </row>
    <row r="8199" spans="3:7" x14ac:dyDescent="0.25">
      <c r="C8199" s="8"/>
      <c r="G8199" s="11"/>
    </row>
    <row r="8200" spans="3:7" x14ac:dyDescent="0.25">
      <c r="C8200" s="8"/>
      <c r="G8200" s="11"/>
    </row>
    <row r="8201" spans="3:7" x14ac:dyDescent="0.25">
      <c r="C8201" s="8"/>
      <c r="G8201" s="11"/>
    </row>
    <row r="8202" spans="3:7" x14ac:dyDescent="0.25">
      <c r="C8202" s="8"/>
      <c r="G8202" s="11"/>
    </row>
    <row r="8203" spans="3:7" x14ac:dyDescent="0.25">
      <c r="C8203" s="8"/>
      <c r="G8203" s="11"/>
    </row>
    <row r="8204" spans="3:7" x14ac:dyDescent="0.25">
      <c r="C8204" s="8"/>
      <c r="G8204" s="11"/>
    </row>
    <row r="8205" spans="3:7" x14ac:dyDescent="0.25">
      <c r="C8205" s="8"/>
      <c r="G8205" s="11"/>
    </row>
    <row r="8206" spans="3:7" x14ac:dyDescent="0.25">
      <c r="C8206" s="8"/>
      <c r="G8206" s="11"/>
    </row>
    <row r="8207" spans="3:7" x14ac:dyDescent="0.25">
      <c r="C8207" s="8"/>
      <c r="G8207" s="11"/>
    </row>
    <row r="8208" spans="3:7" x14ac:dyDescent="0.25">
      <c r="C8208" s="8"/>
      <c r="G8208" s="11"/>
    </row>
    <row r="8209" spans="3:7" x14ac:dyDescent="0.25">
      <c r="C8209" s="8"/>
      <c r="G8209" s="11"/>
    </row>
    <row r="8210" spans="3:7" x14ac:dyDescent="0.25">
      <c r="C8210" s="8"/>
      <c r="G8210" s="11"/>
    </row>
    <row r="8211" spans="3:7" x14ac:dyDescent="0.25">
      <c r="C8211" s="8"/>
      <c r="G8211" s="11"/>
    </row>
    <row r="8212" spans="3:7" x14ac:dyDescent="0.25">
      <c r="C8212" s="8"/>
      <c r="G8212" s="11"/>
    </row>
    <row r="8213" spans="3:7" x14ac:dyDescent="0.25">
      <c r="C8213" s="8"/>
      <c r="G8213" s="11"/>
    </row>
    <row r="8214" spans="3:7" x14ac:dyDescent="0.25">
      <c r="C8214" s="8"/>
      <c r="G8214" s="11"/>
    </row>
    <row r="8215" spans="3:7" x14ac:dyDescent="0.25">
      <c r="C8215" s="8"/>
      <c r="G8215" s="11"/>
    </row>
    <row r="8216" spans="3:7" x14ac:dyDescent="0.25">
      <c r="C8216" s="8"/>
      <c r="G8216" s="11"/>
    </row>
    <row r="8217" spans="3:7" x14ac:dyDescent="0.25">
      <c r="C8217" s="8"/>
      <c r="G8217" s="11"/>
    </row>
    <row r="8218" spans="3:7" x14ac:dyDescent="0.25">
      <c r="C8218" s="8"/>
      <c r="G8218" s="11"/>
    </row>
    <row r="8219" spans="3:7" x14ac:dyDescent="0.25">
      <c r="C8219" s="8"/>
      <c r="G8219" s="11"/>
    </row>
    <row r="8220" spans="3:7" x14ac:dyDescent="0.25">
      <c r="C8220" s="8"/>
      <c r="G8220" s="11"/>
    </row>
    <row r="8221" spans="3:7" x14ac:dyDescent="0.25">
      <c r="C8221" s="8"/>
      <c r="G8221" s="11"/>
    </row>
    <row r="8222" spans="3:7" x14ac:dyDescent="0.25">
      <c r="C8222" s="8"/>
      <c r="G8222" s="11"/>
    </row>
    <row r="8223" spans="3:7" x14ac:dyDescent="0.25">
      <c r="C8223" s="8"/>
      <c r="G8223" s="11"/>
    </row>
    <row r="8224" spans="3:7" x14ac:dyDescent="0.25">
      <c r="C8224" s="8"/>
      <c r="G8224" s="11"/>
    </row>
    <row r="8225" spans="3:7" x14ac:dyDescent="0.25">
      <c r="C8225" s="8"/>
      <c r="G8225" s="11"/>
    </row>
    <row r="8226" spans="3:7" x14ac:dyDescent="0.25">
      <c r="C8226" s="8"/>
      <c r="G8226" s="11"/>
    </row>
    <row r="8227" spans="3:7" x14ac:dyDescent="0.25">
      <c r="C8227" s="8"/>
      <c r="G8227" s="11"/>
    </row>
    <row r="8228" spans="3:7" x14ac:dyDescent="0.25">
      <c r="C8228" s="8"/>
      <c r="G8228" s="11"/>
    </row>
    <row r="8229" spans="3:7" x14ac:dyDescent="0.25">
      <c r="C8229" s="8"/>
      <c r="G8229" s="11"/>
    </row>
    <row r="8230" spans="3:7" x14ac:dyDescent="0.25">
      <c r="C8230" s="8"/>
      <c r="G8230" s="11"/>
    </row>
    <row r="8231" spans="3:7" x14ac:dyDescent="0.25">
      <c r="C8231" s="8"/>
      <c r="G8231" s="11"/>
    </row>
    <row r="8232" spans="3:7" x14ac:dyDescent="0.25">
      <c r="C8232" s="8"/>
      <c r="G8232" s="11"/>
    </row>
    <row r="8233" spans="3:7" x14ac:dyDescent="0.25">
      <c r="C8233" s="8"/>
      <c r="G8233" s="11"/>
    </row>
    <row r="8234" spans="3:7" x14ac:dyDescent="0.25">
      <c r="C8234" s="8"/>
      <c r="G8234" s="11"/>
    </row>
    <row r="8235" spans="3:7" x14ac:dyDescent="0.25">
      <c r="C8235" s="8"/>
      <c r="G8235" s="11"/>
    </row>
    <row r="8236" spans="3:7" x14ac:dyDescent="0.25">
      <c r="C8236" s="8"/>
      <c r="G8236" s="11"/>
    </row>
    <row r="8237" spans="3:7" x14ac:dyDescent="0.25">
      <c r="C8237" s="8"/>
      <c r="G8237" s="11"/>
    </row>
    <row r="8238" spans="3:7" x14ac:dyDescent="0.25">
      <c r="C8238" s="8"/>
      <c r="G8238" s="11"/>
    </row>
    <row r="8239" spans="3:7" x14ac:dyDescent="0.25">
      <c r="C8239" s="8"/>
      <c r="G8239" s="11"/>
    </row>
    <row r="8240" spans="3:7" x14ac:dyDescent="0.25">
      <c r="C8240" s="8"/>
      <c r="G8240" s="11"/>
    </row>
    <row r="8241" spans="3:7" x14ac:dyDescent="0.25">
      <c r="C8241" s="8"/>
      <c r="G8241" s="11"/>
    </row>
    <row r="8242" spans="3:7" x14ac:dyDescent="0.25">
      <c r="C8242" s="8"/>
      <c r="G8242" s="11"/>
    </row>
    <row r="8243" spans="3:7" x14ac:dyDescent="0.25">
      <c r="C8243" s="8"/>
      <c r="G8243" s="11"/>
    </row>
    <row r="8244" spans="3:7" x14ac:dyDescent="0.25">
      <c r="C8244" s="8"/>
      <c r="G8244" s="11"/>
    </row>
    <row r="8245" spans="3:7" x14ac:dyDescent="0.25">
      <c r="C8245" s="8"/>
      <c r="G8245" s="11"/>
    </row>
    <row r="8246" spans="3:7" x14ac:dyDescent="0.25">
      <c r="C8246" s="8"/>
      <c r="G8246" s="11"/>
    </row>
    <row r="8247" spans="3:7" x14ac:dyDescent="0.25">
      <c r="C8247" s="8"/>
      <c r="G8247" s="11"/>
    </row>
    <row r="8248" spans="3:7" x14ac:dyDescent="0.25">
      <c r="C8248" s="8"/>
      <c r="G8248" s="11"/>
    </row>
    <row r="8249" spans="3:7" x14ac:dyDescent="0.25">
      <c r="C8249" s="8"/>
      <c r="G8249" s="11"/>
    </row>
    <row r="8250" spans="3:7" x14ac:dyDescent="0.25">
      <c r="C8250" s="8"/>
      <c r="G8250" s="11"/>
    </row>
    <row r="8251" spans="3:7" x14ac:dyDescent="0.25">
      <c r="C8251" s="8"/>
      <c r="G8251" s="11"/>
    </row>
    <row r="8252" spans="3:7" x14ac:dyDescent="0.25">
      <c r="C8252" s="8"/>
      <c r="G8252" s="11"/>
    </row>
    <row r="8253" spans="3:7" x14ac:dyDescent="0.25">
      <c r="C8253" s="8"/>
      <c r="G8253" s="11"/>
    </row>
    <row r="8254" spans="3:7" x14ac:dyDescent="0.25">
      <c r="C8254" s="8"/>
      <c r="G8254" s="11"/>
    </row>
    <row r="8255" spans="3:7" x14ac:dyDescent="0.25">
      <c r="C8255" s="8"/>
      <c r="G8255" s="11"/>
    </row>
    <row r="8256" spans="3:7" x14ac:dyDescent="0.25">
      <c r="C8256" s="8"/>
      <c r="G8256" s="11"/>
    </row>
    <row r="8257" spans="3:7" x14ac:dyDescent="0.25">
      <c r="C8257" s="8"/>
      <c r="G8257" s="11"/>
    </row>
    <row r="8258" spans="3:7" x14ac:dyDescent="0.25">
      <c r="C8258" s="8"/>
      <c r="G8258" s="11"/>
    </row>
    <row r="8259" spans="3:7" x14ac:dyDescent="0.25">
      <c r="C8259" s="8"/>
      <c r="G8259" s="11"/>
    </row>
    <row r="8260" spans="3:7" x14ac:dyDescent="0.25">
      <c r="C8260" s="8"/>
      <c r="G8260" s="11"/>
    </row>
    <row r="8261" spans="3:7" x14ac:dyDescent="0.25">
      <c r="C8261" s="8"/>
      <c r="G8261" s="11"/>
    </row>
    <row r="8262" spans="3:7" x14ac:dyDescent="0.25">
      <c r="C8262" s="8"/>
      <c r="G8262" s="11"/>
    </row>
    <row r="8263" spans="3:7" x14ac:dyDescent="0.25">
      <c r="C8263" s="8"/>
      <c r="G8263" s="11"/>
    </row>
    <row r="8264" spans="3:7" x14ac:dyDescent="0.25">
      <c r="C8264" s="8"/>
      <c r="G8264" s="11"/>
    </row>
    <row r="8265" spans="3:7" x14ac:dyDescent="0.25">
      <c r="C8265" s="8"/>
      <c r="G8265" s="11"/>
    </row>
    <row r="8266" spans="3:7" x14ac:dyDescent="0.25">
      <c r="C8266" s="8"/>
      <c r="G8266" s="11"/>
    </row>
    <row r="8267" spans="3:7" x14ac:dyDescent="0.25">
      <c r="C8267" s="8"/>
      <c r="G8267" s="11"/>
    </row>
    <row r="8268" spans="3:7" x14ac:dyDescent="0.25">
      <c r="C8268" s="8"/>
      <c r="G8268" s="11"/>
    </row>
    <row r="8269" spans="3:7" x14ac:dyDescent="0.25">
      <c r="C8269" s="8"/>
      <c r="G8269" s="11"/>
    </row>
    <row r="8270" spans="3:7" x14ac:dyDescent="0.25">
      <c r="C8270" s="8"/>
      <c r="G8270" s="11"/>
    </row>
    <row r="8271" spans="3:7" x14ac:dyDescent="0.25">
      <c r="C8271" s="8"/>
      <c r="G8271" s="11"/>
    </row>
    <row r="8272" spans="3:7" x14ac:dyDescent="0.25">
      <c r="C8272" s="8"/>
      <c r="G8272" s="11"/>
    </row>
    <row r="8273" spans="3:7" x14ac:dyDescent="0.25">
      <c r="C8273" s="8"/>
      <c r="G8273" s="11"/>
    </row>
    <row r="8274" spans="3:7" x14ac:dyDescent="0.25">
      <c r="C8274" s="8"/>
      <c r="G8274" s="11"/>
    </row>
    <row r="8275" spans="3:7" x14ac:dyDescent="0.25">
      <c r="C8275" s="8"/>
      <c r="G8275" s="11"/>
    </row>
    <row r="8276" spans="3:7" x14ac:dyDescent="0.25">
      <c r="C8276" s="8"/>
      <c r="G8276" s="11"/>
    </row>
    <row r="8277" spans="3:7" x14ac:dyDescent="0.25">
      <c r="C8277" s="8"/>
      <c r="G8277" s="11"/>
    </row>
    <row r="8278" spans="3:7" x14ac:dyDescent="0.25">
      <c r="C8278" s="8"/>
      <c r="G8278" s="11"/>
    </row>
    <row r="8279" spans="3:7" x14ac:dyDescent="0.25">
      <c r="C8279" s="8"/>
      <c r="G8279" s="11"/>
    </row>
    <row r="8280" spans="3:7" x14ac:dyDescent="0.25">
      <c r="C8280" s="8"/>
      <c r="G8280" s="11"/>
    </row>
    <row r="8281" spans="3:7" x14ac:dyDescent="0.25">
      <c r="C8281" s="8"/>
      <c r="G8281" s="11"/>
    </row>
    <row r="8282" spans="3:7" x14ac:dyDescent="0.25">
      <c r="C8282" s="8"/>
      <c r="G8282" s="11"/>
    </row>
    <row r="8283" spans="3:7" x14ac:dyDescent="0.25">
      <c r="C8283" s="8"/>
      <c r="G8283" s="11"/>
    </row>
    <row r="8284" spans="3:7" x14ac:dyDescent="0.25">
      <c r="C8284" s="8"/>
      <c r="G8284" s="11"/>
    </row>
    <row r="8285" spans="3:7" x14ac:dyDescent="0.25">
      <c r="C8285" s="8"/>
      <c r="G8285" s="11"/>
    </row>
    <row r="8286" spans="3:7" x14ac:dyDescent="0.25">
      <c r="C8286" s="8"/>
      <c r="G8286" s="11"/>
    </row>
    <row r="8287" spans="3:7" x14ac:dyDescent="0.25">
      <c r="C8287" s="8"/>
      <c r="G8287" s="11"/>
    </row>
    <row r="8288" spans="3:7" x14ac:dyDescent="0.25">
      <c r="C8288" s="8"/>
      <c r="G8288" s="11"/>
    </row>
    <row r="8289" spans="3:7" x14ac:dyDescent="0.25">
      <c r="C8289" s="8"/>
      <c r="G8289" s="11"/>
    </row>
    <row r="8290" spans="3:7" x14ac:dyDescent="0.25">
      <c r="C8290" s="8"/>
      <c r="G8290" s="11"/>
    </row>
    <row r="8291" spans="3:7" x14ac:dyDescent="0.25">
      <c r="C8291" s="8"/>
      <c r="G8291" s="11"/>
    </row>
    <row r="8292" spans="3:7" x14ac:dyDescent="0.25">
      <c r="C8292" s="8"/>
      <c r="G8292" s="11"/>
    </row>
    <row r="8293" spans="3:7" x14ac:dyDescent="0.25">
      <c r="C8293" s="8"/>
      <c r="G8293" s="11"/>
    </row>
    <row r="8294" spans="3:7" x14ac:dyDescent="0.25">
      <c r="C8294" s="8"/>
      <c r="G8294" s="11"/>
    </row>
    <row r="8295" spans="3:7" x14ac:dyDescent="0.25">
      <c r="C8295" s="8"/>
      <c r="G8295" s="11"/>
    </row>
    <row r="8296" spans="3:7" x14ac:dyDescent="0.25">
      <c r="C8296" s="8"/>
      <c r="G8296" s="11"/>
    </row>
    <row r="8297" spans="3:7" x14ac:dyDescent="0.25">
      <c r="C8297" s="8"/>
      <c r="G8297" s="11"/>
    </row>
    <row r="8298" spans="3:7" x14ac:dyDescent="0.25">
      <c r="C8298" s="8"/>
      <c r="G8298" s="11"/>
    </row>
    <row r="8299" spans="3:7" x14ac:dyDescent="0.25">
      <c r="C8299" s="8"/>
      <c r="G8299" s="11"/>
    </row>
    <row r="8300" spans="3:7" x14ac:dyDescent="0.25">
      <c r="C8300" s="8"/>
      <c r="G8300" s="11"/>
    </row>
    <row r="8301" spans="3:7" x14ac:dyDescent="0.25">
      <c r="C8301" s="8"/>
      <c r="G8301" s="11"/>
    </row>
    <row r="8302" spans="3:7" x14ac:dyDescent="0.25">
      <c r="C8302" s="8"/>
      <c r="G8302" s="11"/>
    </row>
    <row r="8303" spans="3:7" x14ac:dyDescent="0.25">
      <c r="C8303" s="8"/>
      <c r="G8303" s="11"/>
    </row>
    <row r="8304" spans="3:7" x14ac:dyDescent="0.25">
      <c r="C8304" s="8"/>
      <c r="G8304" s="11"/>
    </row>
    <row r="8305" spans="3:7" x14ac:dyDescent="0.25">
      <c r="C8305" s="8"/>
      <c r="G8305" s="11"/>
    </row>
    <row r="8306" spans="3:7" x14ac:dyDescent="0.25">
      <c r="C8306" s="8"/>
      <c r="G8306" s="11"/>
    </row>
    <row r="8307" spans="3:7" x14ac:dyDescent="0.25">
      <c r="C8307" s="8"/>
      <c r="G8307" s="11"/>
    </row>
    <row r="8308" spans="3:7" x14ac:dyDescent="0.25">
      <c r="C8308" s="8"/>
      <c r="G8308" s="11"/>
    </row>
    <row r="8309" spans="3:7" x14ac:dyDescent="0.25">
      <c r="C8309" s="8"/>
      <c r="G8309" s="11"/>
    </row>
    <row r="8310" spans="3:7" x14ac:dyDescent="0.25">
      <c r="C8310" s="8"/>
      <c r="G8310" s="11"/>
    </row>
    <row r="8311" spans="3:7" x14ac:dyDescent="0.25">
      <c r="C8311" s="8"/>
      <c r="G8311" s="11"/>
    </row>
    <row r="8312" spans="3:7" x14ac:dyDescent="0.25">
      <c r="C8312" s="8"/>
      <c r="G8312" s="11"/>
    </row>
    <row r="8313" spans="3:7" x14ac:dyDescent="0.25">
      <c r="C8313" s="8"/>
      <c r="G8313" s="11"/>
    </row>
    <row r="8314" spans="3:7" x14ac:dyDescent="0.25">
      <c r="C8314" s="8"/>
      <c r="G8314" s="11"/>
    </row>
    <row r="8315" spans="3:7" x14ac:dyDescent="0.25">
      <c r="C8315" s="8"/>
      <c r="G8315" s="11"/>
    </row>
    <row r="8316" spans="3:7" x14ac:dyDescent="0.25">
      <c r="C8316" s="8"/>
      <c r="G8316" s="11"/>
    </row>
    <row r="8317" spans="3:7" x14ac:dyDescent="0.25">
      <c r="C8317" s="8"/>
      <c r="G8317" s="11"/>
    </row>
    <row r="8318" spans="3:7" x14ac:dyDescent="0.25">
      <c r="C8318" s="8"/>
      <c r="G8318" s="11"/>
    </row>
    <row r="8319" spans="3:7" x14ac:dyDescent="0.25">
      <c r="C8319" s="8"/>
      <c r="G8319" s="11"/>
    </row>
    <row r="8320" spans="3:7" x14ac:dyDescent="0.25">
      <c r="C8320" s="8"/>
      <c r="G8320" s="11"/>
    </row>
    <row r="8321" spans="3:7" x14ac:dyDescent="0.25">
      <c r="C8321" s="8"/>
      <c r="G8321" s="11"/>
    </row>
    <row r="8322" spans="3:7" x14ac:dyDescent="0.25">
      <c r="C8322" s="8"/>
      <c r="G8322" s="11"/>
    </row>
    <row r="8323" spans="3:7" x14ac:dyDescent="0.25">
      <c r="C8323" s="8"/>
      <c r="G8323" s="11"/>
    </row>
    <row r="8324" spans="3:7" x14ac:dyDescent="0.25">
      <c r="C8324" s="8"/>
      <c r="G8324" s="11"/>
    </row>
    <row r="8325" spans="3:7" x14ac:dyDescent="0.25">
      <c r="C8325" s="8"/>
      <c r="G8325" s="11"/>
    </row>
    <row r="8326" spans="3:7" x14ac:dyDescent="0.25">
      <c r="C8326" s="8"/>
      <c r="G8326" s="11"/>
    </row>
    <row r="8327" spans="3:7" x14ac:dyDescent="0.25">
      <c r="C8327" s="8"/>
      <c r="G8327" s="11"/>
    </row>
    <row r="8328" spans="3:7" x14ac:dyDescent="0.25">
      <c r="C8328" s="8"/>
      <c r="G8328" s="11"/>
    </row>
    <row r="8329" spans="3:7" x14ac:dyDescent="0.25">
      <c r="C8329" s="8"/>
      <c r="G8329" s="11"/>
    </row>
    <row r="8330" spans="3:7" x14ac:dyDescent="0.25">
      <c r="C8330" s="8"/>
      <c r="G8330" s="11"/>
    </row>
    <row r="8331" spans="3:7" x14ac:dyDescent="0.25">
      <c r="C8331" s="8"/>
      <c r="G8331" s="11"/>
    </row>
    <row r="8332" spans="3:7" x14ac:dyDescent="0.25">
      <c r="C8332" s="8"/>
      <c r="G8332" s="11"/>
    </row>
    <row r="8333" spans="3:7" x14ac:dyDescent="0.25">
      <c r="C8333" s="8"/>
      <c r="G8333" s="11"/>
    </row>
    <row r="8334" spans="3:7" x14ac:dyDescent="0.25">
      <c r="C8334" s="8"/>
      <c r="G8334" s="11"/>
    </row>
    <row r="8335" spans="3:7" x14ac:dyDescent="0.25">
      <c r="C8335" s="8"/>
      <c r="G8335" s="11"/>
    </row>
    <row r="8336" spans="3:7" x14ac:dyDescent="0.25">
      <c r="C8336" s="8"/>
      <c r="G8336" s="11"/>
    </row>
    <row r="8337" spans="3:7" x14ac:dyDescent="0.25">
      <c r="C8337" s="8"/>
      <c r="G8337" s="11"/>
    </row>
    <row r="8338" spans="3:7" x14ac:dyDescent="0.25">
      <c r="C8338" s="8"/>
      <c r="G8338" s="11"/>
    </row>
    <row r="8339" spans="3:7" x14ac:dyDescent="0.25">
      <c r="C8339" s="8"/>
      <c r="G8339" s="11"/>
    </row>
    <row r="8340" spans="3:7" x14ac:dyDescent="0.25">
      <c r="C8340" s="8"/>
      <c r="G8340" s="11"/>
    </row>
    <row r="8341" spans="3:7" x14ac:dyDescent="0.25">
      <c r="C8341" s="8"/>
      <c r="G8341" s="11"/>
    </row>
    <row r="8342" spans="3:7" x14ac:dyDescent="0.25">
      <c r="C8342" s="8"/>
      <c r="G8342" s="11"/>
    </row>
    <row r="8343" spans="3:7" x14ac:dyDescent="0.25">
      <c r="C8343" s="8"/>
      <c r="G8343" s="11"/>
    </row>
    <row r="8344" spans="3:7" x14ac:dyDescent="0.25">
      <c r="C8344" s="8"/>
      <c r="G8344" s="11"/>
    </row>
    <row r="8345" spans="3:7" x14ac:dyDescent="0.25">
      <c r="C8345" s="8"/>
      <c r="G8345" s="11"/>
    </row>
    <row r="8346" spans="3:7" x14ac:dyDescent="0.25">
      <c r="C8346" s="8"/>
      <c r="G8346" s="11"/>
    </row>
    <row r="8347" spans="3:7" x14ac:dyDescent="0.25">
      <c r="C8347" s="8"/>
      <c r="G8347" s="11"/>
    </row>
    <row r="8348" spans="3:7" x14ac:dyDescent="0.25">
      <c r="C8348" s="8"/>
      <c r="G8348" s="11"/>
    </row>
    <row r="8349" spans="3:7" x14ac:dyDescent="0.25">
      <c r="C8349" s="8"/>
      <c r="G8349" s="11"/>
    </row>
    <row r="8350" spans="3:7" x14ac:dyDescent="0.25">
      <c r="C8350" s="8"/>
      <c r="G8350" s="11"/>
    </row>
    <row r="8351" spans="3:7" x14ac:dyDescent="0.25">
      <c r="C8351" s="8"/>
      <c r="G8351" s="11"/>
    </row>
    <row r="8352" spans="3:7" x14ac:dyDescent="0.25">
      <c r="C8352" s="8"/>
      <c r="G8352" s="11"/>
    </row>
    <row r="8353" spans="3:7" x14ac:dyDescent="0.25">
      <c r="C8353" s="8"/>
      <c r="G8353" s="11"/>
    </row>
    <row r="8354" spans="3:7" x14ac:dyDescent="0.25">
      <c r="C8354" s="8"/>
      <c r="G8354" s="11"/>
    </row>
    <row r="8355" spans="3:7" x14ac:dyDescent="0.25">
      <c r="C8355" s="8"/>
      <c r="G8355" s="11"/>
    </row>
    <row r="8356" spans="3:7" x14ac:dyDescent="0.25">
      <c r="C8356" s="8"/>
      <c r="G8356" s="11"/>
    </row>
    <row r="8357" spans="3:7" x14ac:dyDescent="0.25">
      <c r="C8357" s="8"/>
      <c r="G8357" s="11"/>
    </row>
    <row r="8358" spans="3:7" x14ac:dyDescent="0.25">
      <c r="C8358" s="8"/>
      <c r="G8358" s="11"/>
    </row>
    <row r="8359" spans="3:7" x14ac:dyDescent="0.25">
      <c r="C8359" s="8"/>
      <c r="G8359" s="11"/>
    </row>
    <row r="8360" spans="3:7" x14ac:dyDescent="0.25">
      <c r="C8360" s="8"/>
      <c r="G8360" s="11"/>
    </row>
    <row r="8361" spans="3:7" x14ac:dyDescent="0.25">
      <c r="C8361" s="8"/>
      <c r="G8361" s="11"/>
    </row>
    <row r="8362" spans="3:7" x14ac:dyDescent="0.25">
      <c r="C8362" s="8"/>
      <c r="G8362" s="11"/>
    </row>
    <row r="8363" spans="3:7" x14ac:dyDescent="0.25">
      <c r="C8363" s="8"/>
      <c r="G8363" s="11"/>
    </row>
    <row r="8364" spans="3:7" x14ac:dyDescent="0.25">
      <c r="C8364" s="8"/>
      <c r="G8364" s="11"/>
    </row>
    <row r="8365" spans="3:7" x14ac:dyDescent="0.25">
      <c r="C8365" s="8"/>
      <c r="G8365" s="11"/>
    </row>
    <row r="8366" spans="3:7" x14ac:dyDescent="0.25">
      <c r="C8366" s="8"/>
      <c r="G8366" s="11"/>
    </row>
    <row r="8367" spans="3:7" x14ac:dyDescent="0.25">
      <c r="C8367" s="8"/>
      <c r="G8367" s="11"/>
    </row>
    <row r="8368" spans="3:7" x14ac:dyDescent="0.25">
      <c r="C8368" s="8"/>
      <c r="G8368" s="11"/>
    </row>
    <row r="8369" spans="3:7" x14ac:dyDescent="0.25">
      <c r="C8369" s="8"/>
      <c r="G8369" s="11"/>
    </row>
    <row r="8370" spans="3:7" x14ac:dyDescent="0.25">
      <c r="C8370" s="8"/>
      <c r="G8370" s="11"/>
    </row>
    <row r="8371" spans="3:7" x14ac:dyDescent="0.25">
      <c r="C8371" s="8"/>
      <c r="G8371" s="11"/>
    </row>
    <row r="8372" spans="3:7" x14ac:dyDescent="0.25">
      <c r="C8372" s="8"/>
      <c r="G8372" s="11"/>
    </row>
    <row r="8373" spans="3:7" x14ac:dyDescent="0.25">
      <c r="C8373" s="8"/>
      <c r="G8373" s="11"/>
    </row>
    <row r="8374" spans="3:7" x14ac:dyDescent="0.25">
      <c r="C8374" s="8"/>
      <c r="G8374" s="11"/>
    </row>
    <row r="8375" spans="3:7" x14ac:dyDescent="0.25">
      <c r="C8375" s="8"/>
      <c r="G8375" s="11"/>
    </row>
    <row r="8376" spans="3:7" x14ac:dyDescent="0.25">
      <c r="C8376" s="8"/>
      <c r="G8376" s="11"/>
    </row>
    <row r="8377" spans="3:7" x14ac:dyDescent="0.25">
      <c r="C8377" s="8"/>
      <c r="G8377" s="11"/>
    </row>
    <row r="8378" spans="3:7" x14ac:dyDescent="0.25">
      <c r="C8378" s="8"/>
      <c r="G8378" s="11"/>
    </row>
    <row r="8379" spans="3:7" x14ac:dyDescent="0.25">
      <c r="C8379" s="8"/>
      <c r="G8379" s="11"/>
    </row>
    <row r="8380" spans="3:7" x14ac:dyDescent="0.25">
      <c r="C8380" s="8"/>
      <c r="G8380" s="11"/>
    </row>
    <row r="8381" spans="3:7" x14ac:dyDescent="0.25">
      <c r="C8381" s="8"/>
      <c r="G8381" s="11"/>
    </row>
    <row r="8382" spans="3:7" x14ac:dyDescent="0.25">
      <c r="C8382" s="8"/>
      <c r="G8382" s="11"/>
    </row>
    <row r="8383" spans="3:7" x14ac:dyDescent="0.25">
      <c r="C8383" s="8"/>
      <c r="G8383" s="11"/>
    </row>
    <row r="8384" spans="3:7" x14ac:dyDescent="0.25">
      <c r="C8384" s="8"/>
      <c r="G8384" s="11"/>
    </row>
    <row r="8385" spans="3:7" x14ac:dyDescent="0.25">
      <c r="C8385" s="8"/>
      <c r="G8385" s="11"/>
    </row>
    <row r="8386" spans="3:7" x14ac:dyDescent="0.25">
      <c r="C8386" s="8"/>
      <c r="G8386" s="11"/>
    </row>
    <row r="8387" spans="3:7" x14ac:dyDescent="0.25">
      <c r="C8387" s="8"/>
      <c r="G8387" s="11"/>
    </row>
    <row r="8388" spans="3:7" x14ac:dyDescent="0.25">
      <c r="C8388" s="8"/>
      <c r="G8388" s="11"/>
    </row>
    <row r="8389" spans="3:7" x14ac:dyDescent="0.25">
      <c r="C8389" s="8"/>
      <c r="G8389" s="11"/>
    </row>
    <row r="8390" spans="3:7" x14ac:dyDescent="0.25">
      <c r="C8390" s="8"/>
      <c r="G8390" s="11"/>
    </row>
    <row r="8391" spans="3:7" x14ac:dyDescent="0.25">
      <c r="C8391" s="8"/>
      <c r="G8391" s="11"/>
    </row>
    <row r="8392" spans="3:7" x14ac:dyDescent="0.25">
      <c r="C8392" s="8"/>
      <c r="G8392" s="11"/>
    </row>
    <row r="8393" spans="3:7" x14ac:dyDescent="0.25">
      <c r="C8393" s="8"/>
      <c r="G8393" s="11"/>
    </row>
    <row r="8394" spans="3:7" x14ac:dyDescent="0.25">
      <c r="C8394" s="8"/>
      <c r="G8394" s="11"/>
    </row>
    <row r="8395" spans="3:7" x14ac:dyDescent="0.25">
      <c r="C8395" s="8"/>
      <c r="G8395" s="11"/>
    </row>
    <row r="8396" spans="3:7" x14ac:dyDescent="0.25">
      <c r="C8396" s="8"/>
      <c r="G8396" s="11"/>
    </row>
    <row r="8397" spans="3:7" x14ac:dyDescent="0.25">
      <c r="C8397" s="8"/>
      <c r="G8397" s="11"/>
    </row>
    <row r="8398" spans="3:7" x14ac:dyDescent="0.25">
      <c r="C8398" s="8"/>
      <c r="G8398" s="11"/>
    </row>
    <row r="8399" spans="3:7" x14ac:dyDescent="0.25">
      <c r="C8399" s="8"/>
      <c r="G8399" s="11"/>
    </row>
    <row r="8400" spans="3:7" x14ac:dyDescent="0.25">
      <c r="C8400" s="8"/>
      <c r="G8400" s="11"/>
    </row>
    <row r="8401" spans="3:7" x14ac:dyDescent="0.25">
      <c r="C8401" s="8"/>
      <c r="G8401" s="11"/>
    </row>
    <row r="8402" spans="3:7" x14ac:dyDescent="0.25">
      <c r="C8402" s="8"/>
      <c r="G8402" s="11"/>
    </row>
    <row r="8403" spans="3:7" x14ac:dyDescent="0.25">
      <c r="C8403" s="8"/>
      <c r="G8403" s="11"/>
    </row>
    <row r="8404" spans="3:7" x14ac:dyDescent="0.25">
      <c r="C8404" s="8"/>
      <c r="G8404" s="11"/>
    </row>
    <row r="8405" spans="3:7" x14ac:dyDescent="0.25">
      <c r="C8405" s="8"/>
      <c r="G8405" s="11"/>
    </row>
    <row r="8406" spans="3:7" x14ac:dyDescent="0.25">
      <c r="C8406" s="8"/>
      <c r="G8406" s="11"/>
    </row>
    <row r="8407" spans="3:7" x14ac:dyDescent="0.25">
      <c r="C8407" s="8"/>
      <c r="G8407" s="11"/>
    </row>
    <row r="8408" spans="3:7" x14ac:dyDescent="0.25">
      <c r="C8408" s="8"/>
      <c r="G8408" s="11"/>
    </row>
    <row r="8409" spans="3:7" x14ac:dyDescent="0.25">
      <c r="C8409" s="8"/>
      <c r="G8409" s="11"/>
    </row>
    <row r="8410" spans="3:7" x14ac:dyDescent="0.25">
      <c r="C8410" s="8"/>
      <c r="G8410" s="11"/>
    </row>
    <row r="8411" spans="3:7" x14ac:dyDescent="0.25">
      <c r="C8411" s="8"/>
      <c r="G8411" s="11"/>
    </row>
    <row r="8412" spans="3:7" x14ac:dyDescent="0.25">
      <c r="C8412" s="8"/>
      <c r="G8412" s="11"/>
    </row>
    <row r="8413" spans="3:7" x14ac:dyDescent="0.25">
      <c r="C8413" s="8"/>
      <c r="G8413" s="11"/>
    </row>
    <row r="8414" spans="3:7" x14ac:dyDescent="0.25">
      <c r="C8414" s="8"/>
      <c r="G8414" s="11"/>
    </row>
    <row r="8415" spans="3:7" x14ac:dyDescent="0.25">
      <c r="C8415" s="8"/>
      <c r="G8415" s="11"/>
    </row>
    <row r="8416" spans="3:7" x14ac:dyDescent="0.25">
      <c r="C8416" s="8"/>
      <c r="G8416" s="11"/>
    </row>
    <row r="8417" spans="3:7" x14ac:dyDescent="0.25">
      <c r="C8417" s="8"/>
      <c r="G8417" s="11"/>
    </row>
    <row r="8418" spans="3:7" x14ac:dyDescent="0.25">
      <c r="C8418" s="8"/>
      <c r="G8418" s="11"/>
    </row>
    <row r="8419" spans="3:7" x14ac:dyDescent="0.25">
      <c r="C8419" s="8"/>
      <c r="G8419" s="11"/>
    </row>
    <row r="8420" spans="3:7" x14ac:dyDescent="0.25">
      <c r="C8420" s="8"/>
      <c r="G8420" s="11"/>
    </row>
    <row r="8421" spans="3:7" x14ac:dyDescent="0.25">
      <c r="C8421" s="8"/>
      <c r="G8421" s="11"/>
    </row>
    <row r="8422" spans="3:7" x14ac:dyDescent="0.25">
      <c r="C8422" s="8"/>
      <c r="G8422" s="11"/>
    </row>
    <row r="8423" spans="3:7" x14ac:dyDescent="0.25">
      <c r="C8423" s="8"/>
      <c r="G8423" s="11"/>
    </row>
    <row r="8424" spans="3:7" x14ac:dyDescent="0.25">
      <c r="C8424" s="8"/>
      <c r="G8424" s="11"/>
    </row>
    <row r="8425" spans="3:7" x14ac:dyDescent="0.25">
      <c r="C8425" s="8"/>
      <c r="G8425" s="11"/>
    </row>
    <row r="8426" spans="3:7" x14ac:dyDescent="0.25">
      <c r="C8426" s="8"/>
      <c r="G8426" s="11"/>
    </row>
    <row r="8427" spans="3:7" x14ac:dyDescent="0.25">
      <c r="C8427" s="8"/>
      <c r="G8427" s="11"/>
    </row>
    <row r="8428" spans="3:7" x14ac:dyDescent="0.25">
      <c r="C8428" s="8"/>
      <c r="G8428" s="11"/>
    </row>
    <row r="8429" spans="3:7" x14ac:dyDescent="0.25">
      <c r="C8429" s="8"/>
      <c r="G8429" s="11"/>
    </row>
    <row r="8430" spans="3:7" x14ac:dyDescent="0.25">
      <c r="C8430" s="8"/>
      <c r="G8430" s="11"/>
    </row>
    <row r="8431" spans="3:7" x14ac:dyDescent="0.25">
      <c r="C8431" s="8"/>
      <c r="G8431" s="11"/>
    </row>
    <row r="8432" spans="3:7" x14ac:dyDescent="0.25">
      <c r="C8432" s="8"/>
      <c r="G8432" s="11"/>
    </row>
    <row r="8433" spans="3:7" x14ac:dyDescent="0.25">
      <c r="C8433" s="8"/>
      <c r="G8433" s="11"/>
    </row>
    <row r="8434" spans="3:7" x14ac:dyDescent="0.25">
      <c r="C8434" s="8"/>
      <c r="G8434" s="11"/>
    </row>
    <row r="8435" spans="3:7" x14ac:dyDescent="0.25">
      <c r="C8435" s="8"/>
      <c r="G8435" s="11"/>
    </row>
    <row r="8436" spans="3:7" x14ac:dyDescent="0.25">
      <c r="C8436" s="8"/>
      <c r="G8436" s="11"/>
    </row>
    <row r="8437" spans="3:7" x14ac:dyDescent="0.25">
      <c r="C8437" s="8"/>
      <c r="G8437" s="11"/>
    </row>
    <row r="8438" spans="3:7" x14ac:dyDescent="0.25">
      <c r="C8438" s="8"/>
      <c r="G8438" s="11"/>
    </row>
    <row r="8439" spans="3:7" x14ac:dyDescent="0.25">
      <c r="C8439" s="8"/>
      <c r="G8439" s="11"/>
    </row>
    <row r="8440" spans="3:7" x14ac:dyDescent="0.25">
      <c r="C8440" s="8"/>
      <c r="G8440" s="11"/>
    </row>
    <row r="8441" spans="3:7" x14ac:dyDescent="0.25">
      <c r="C8441" s="8"/>
      <c r="G8441" s="11"/>
    </row>
    <row r="8442" spans="3:7" x14ac:dyDescent="0.25">
      <c r="C8442" s="8"/>
      <c r="G8442" s="11"/>
    </row>
    <row r="8443" spans="3:7" x14ac:dyDescent="0.25">
      <c r="C8443" s="8"/>
      <c r="G8443" s="11"/>
    </row>
    <row r="8444" spans="3:7" x14ac:dyDescent="0.25">
      <c r="C8444" s="8"/>
      <c r="G8444" s="11"/>
    </row>
    <row r="8445" spans="3:7" x14ac:dyDescent="0.25">
      <c r="C8445" s="8"/>
      <c r="G8445" s="11"/>
    </row>
    <row r="8446" spans="3:7" x14ac:dyDescent="0.25">
      <c r="C8446" s="8"/>
      <c r="G8446" s="11"/>
    </row>
    <row r="8447" spans="3:7" x14ac:dyDescent="0.25">
      <c r="C8447" s="8"/>
      <c r="G8447" s="11"/>
    </row>
    <row r="8448" spans="3:7" x14ac:dyDescent="0.25">
      <c r="C8448" s="8"/>
      <c r="G8448" s="11"/>
    </row>
    <row r="8449" spans="3:7" x14ac:dyDescent="0.25">
      <c r="C8449" s="8"/>
      <c r="G8449" s="11"/>
    </row>
    <row r="8450" spans="3:7" x14ac:dyDescent="0.25">
      <c r="C8450" s="8"/>
      <c r="G8450" s="11"/>
    </row>
    <row r="8451" spans="3:7" x14ac:dyDescent="0.25">
      <c r="C8451" s="8"/>
      <c r="G8451" s="11"/>
    </row>
    <row r="8452" spans="3:7" x14ac:dyDescent="0.25">
      <c r="C8452" s="8"/>
      <c r="G8452" s="11"/>
    </row>
    <row r="8453" spans="3:7" x14ac:dyDescent="0.25">
      <c r="C8453" s="8"/>
      <c r="G8453" s="11"/>
    </row>
    <row r="8454" spans="3:7" x14ac:dyDescent="0.25">
      <c r="C8454" s="8"/>
      <c r="G8454" s="11"/>
    </row>
    <row r="8455" spans="3:7" x14ac:dyDescent="0.25">
      <c r="C8455" s="8"/>
      <c r="G8455" s="11"/>
    </row>
    <row r="8456" spans="3:7" x14ac:dyDescent="0.25">
      <c r="C8456" s="8"/>
      <c r="G8456" s="11"/>
    </row>
    <row r="8457" spans="3:7" x14ac:dyDescent="0.25">
      <c r="C8457" s="8"/>
      <c r="G8457" s="11"/>
    </row>
    <row r="8458" spans="3:7" x14ac:dyDescent="0.25">
      <c r="C8458" s="8"/>
      <c r="G8458" s="11"/>
    </row>
    <row r="8459" spans="3:7" x14ac:dyDescent="0.25">
      <c r="C8459" s="8"/>
      <c r="G8459" s="11"/>
    </row>
    <row r="8460" spans="3:7" x14ac:dyDescent="0.25">
      <c r="C8460" s="8"/>
      <c r="G8460" s="11"/>
    </row>
    <row r="8461" spans="3:7" x14ac:dyDescent="0.25">
      <c r="C8461" s="8"/>
      <c r="G8461" s="11"/>
    </row>
    <row r="8462" spans="3:7" x14ac:dyDescent="0.25">
      <c r="C8462" s="8"/>
      <c r="G8462" s="11"/>
    </row>
    <row r="8463" spans="3:7" x14ac:dyDescent="0.25">
      <c r="C8463" s="8"/>
      <c r="G8463" s="11"/>
    </row>
    <row r="8464" spans="3:7" x14ac:dyDescent="0.25">
      <c r="C8464" s="8"/>
      <c r="G8464" s="11"/>
    </row>
    <row r="8465" spans="3:7" x14ac:dyDescent="0.25">
      <c r="C8465" s="8"/>
      <c r="G8465" s="11"/>
    </row>
    <row r="8466" spans="3:7" x14ac:dyDescent="0.25">
      <c r="C8466" s="8"/>
      <c r="G8466" s="11"/>
    </row>
    <row r="8467" spans="3:7" x14ac:dyDescent="0.25">
      <c r="C8467" s="8"/>
      <c r="G8467" s="11"/>
    </row>
    <row r="8468" spans="3:7" x14ac:dyDescent="0.25">
      <c r="C8468" s="8"/>
      <c r="G8468" s="11"/>
    </row>
    <row r="8469" spans="3:7" x14ac:dyDescent="0.25">
      <c r="C8469" s="8"/>
      <c r="G8469" s="11"/>
    </row>
    <row r="8470" spans="3:7" x14ac:dyDescent="0.25">
      <c r="C8470" s="8"/>
      <c r="G8470" s="11"/>
    </row>
    <row r="8471" spans="3:7" x14ac:dyDescent="0.25">
      <c r="C8471" s="8"/>
      <c r="G8471" s="11"/>
    </row>
    <row r="8472" spans="3:7" x14ac:dyDescent="0.25">
      <c r="C8472" s="8"/>
      <c r="G8472" s="11"/>
    </row>
    <row r="8473" spans="3:7" x14ac:dyDescent="0.25">
      <c r="C8473" s="8"/>
      <c r="G8473" s="11"/>
    </row>
    <row r="8474" spans="3:7" x14ac:dyDescent="0.25">
      <c r="C8474" s="8"/>
      <c r="G8474" s="11"/>
    </row>
    <row r="8475" spans="3:7" x14ac:dyDescent="0.25">
      <c r="C8475" s="8"/>
      <c r="G8475" s="11"/>
    </row>
    <row r="8476" spans="3:7" x14ac:dyDescent="0.25">
      <c r="C8476" s="8"/>
      <c r="G8476" s="11"/>
    </row>
    <row r="8477" spans="3:7" x14ac:dyDescent="0.25">
      <c r="C8477" s="8"/>
      <c r="G8477" s="11"/>
    </row>
    <row r="8478" spans="3:7" x14ac:dyDescent="0.25">
      <c r="C8478" s="8"/>
      <c r="G8478" s="11"/>
    </row>
    <row r="8479" spans="3:7" x14ac:dyDescent="0.25">
      <c r="C8479" s="8"/>
      <c r="G8479" s="11"/>
    </row>
    <row r="8480" spans="3:7" x14ac:dyDescent="0.25">
      <c r="C8480" s="8"/>
      <c r="G8480" s="11"/>
    </row>
    <row r="8481" spans="3:7" x14ac:dyDescent="0.25">
      <c r="C8481" s="8"/>
      <c r="G8481" s="11"/>
    </row>
    <row r="8482" spans="3:7" x14ac:dyDescent="0.25">
      <c r="C8482" s="8"/>
      <c r="G8482" s="11"/>
    </row>
    <row r="8483" spans="3:7" x14ac:dyDescent="0.25">
      <c r="C8483" s="8"/>
      <c r="G8483" s="11"/>
    </row>
    <row r="8484" spans="3:7" x14ac:dyDescent="0.25">
      <c r="C8484" s="8"/>
      <c r="G8484" s="11"/>
    </row>
    <row r="8485" spans="3:7" x14ac:dyDescent="0.25">
      <c r="C8485" s="8"/>
      <c r="G8485" s="11"/>
    </row>
    <row r="8486" spans="3:7" x14ac:dyDescent="0.25">
      <c r="C8486" s="8"/>
      <c r="G8486" s="11"/>
    </row>
    <row r="8487" spans="3:7" x14ac:dyDescent="0.25">
      <c r="C8487" s="8"/>
      <c r="G8487" s="11"/>
    </row>
    <row r="8488" spans="3:7" x14ac:dyDescent="0.25">
      <c r="C8488" s="8"/>
      <c r="G8488" s="11"/>
    </row>
    <row r="8489" spans="3:7" x14ac:dyDescent="0.25">
      <c r="C8489" s="8"/>
      <c r="G8489" s="11"/>
    </row>
    <row r="8490" spans="3:7" x14ac:dyDescent="0.25">
      <c r="C8490" s="8"/>
      <c r="G8490" s="11"/>
    </row>
    <row r="8491" spans="3:7" x14ac:dyDescent="0.25">
      <c r="C8491" s="8"/>
      <c r="G8491" s="11"/>
    </row>
    <row r="8492" spans="3:7" x14ac:dyDescent="0.25">
      <c r="C8492" s="8"/>
      <c r="G8492" s="11"/>
    </row>
    <row r="8493" spans="3:7" x14ac:dyDescent="0.25">
      <c r="C8493" s="8"/>
      <c r="G8493" s="11"/>
    </row>
    <row r="8494" spans="3:7" x14ac:dyDescent="0.25">
      <c r="C8494" s="8"/>
      <c r="G8494" s="11"/>
    </row>
    <row r="8495" spans="3:7" x14ac:dyDescent="0.25">
      <c r="C8495" s="8"/>
      <c r="G8495" s="11"/>
    </row>
    <row r="8496" spans="3:7" x14ac:dyDescent="0.25">
      <c r="C8496" s="8"/>
      <c r="G8496" s="11"/>
    </row>
    <row r="8497" spans="3:7" x14ac:dyDescent="0.25">
      <c r="C8497" s="8"/>
      <c r="G8497" s="11"/>
    </row>
    <row r="8498" spans="3:7" x14ac:dyDescent="0.25">
      <c r="C8498" s="8"/>
      <c r="G8498" s="11"/>
    </row>
    <row r="8499" spans="3:7" x14ac:dyDescent="0.25">
      <c r="C8499" s="8"/>
      <c r="G8499" s="11"/>
    </row>
    <row r="8500" spans="3:7" x14ac:dyDescent="0.25">
      <c r="C8500" s="8"/>
      <c r="G8500" s="11"/>
    </row>
    <row r="8501" spans="3:7" x14ac:dyDescent="0.25">
      <c r="C8501" s="8"/>
      <c r="G8501" s="11"/>
    </row>
    <row r="8502" spans="3:7" x14ac:dyDescent="0.25">
      <c r="C8502" s="8"/>
      <c r="G8502" s="11"/>
    </row>
    <row r="8503" spans="3:7" x14ac:dyDescent="0.25">
      <c r="C8503" s="8"/>
      <c r="G8503" s="11"/>
    </row>
    <row r="8504" spans="3:7" x14ac:dyDescent="0.25">
      <c r="C8504" s="8"/>
      <c r="G8504" s="11"/>
    </row>
    <row r="8505" spans="3:7" x14ac:dyDescent="0.25">
      <c r="C8505" s="8"/>
      <c r="G8505" s="11"/>
    </row>
    <row r="8506" spans="3:7" x14ac:dyDescent="0.25">
      <c r="C8506" s="8"/>
      <c r="G8506" s="11"/>
    </row>
    <row r="8507" spans="3:7" x14ac:dyDescent="0.25">
      <c r="C8507" s="8"/>
      <c r="G8507" s="11"/>
    </row>
    <row r="8508" spans="3:7" x14ac:dyDescent="0.25">
      <c r="C8508" s="8"/>
      <c r="G8508" s="11"/>
    </row>
    <row r="8509" spans="3:7" x14ac:dyDescent="0.25">
      <c r="C8509" s="8"/>
      <c r="G8509" s="11"/>
    </row>
    <row r="8510" spans="3:7" x14ac:dyDescent="0.25">
      <c r="C8510" s="8"/>
      <c r="G8510" s="11"/>
    </row>
    <row r="8511" spans="3:7" x14ac:dyDescent="0.25">
      <c r="C8511" s="8"/>
      <c r="G8511" s="11"/>
    </row>
    <row r="8512" spans="3:7" x14ac:dyDescent="0.25">
      <c r="C8512" s="8"/>
      <c r="G8512" s="11"/>
    </row>
    <row r="8513" spans="3:7" x14ac:dyDescent="0.25">
      <c r="C8513" s="8"/>
      <c r="G8513" s="11"/>
    </row>
    <row r="8514" spans="3:7" x14ac:dyDescent="0.25">
      <c r="C8514" s="8"/>
      <c r="G8514" s="11"/>
    </row>
    <row r="8515" spans="3:7" x14ac:dyDescent="0.25">
      <c r="C8515" s="8"/>
      <c r="G8515" s="11"/>
    </row>
    <row r="8516" spans="3:7" x14ac:dyDescent="0.25">
      <c r="C8516" s="8"/>
      <c r="G8516" s="11"/>
    </row>
    <row r="8517" spans="3:7" x14ac:dyDescent="0.25">
      <c r="C8517" s="8"/>
      <c r="G8517" s="11"/>
    </row>
    <row r="8518" spans="3:7" x14ac:dyDescent="0.25">
      <c r="C8518" s="8"/>
      <c r="G8518" s="11"/>
    </row>
    <row r="8519" spans="3:7" x14ac:dyDescent="0.25">
      <c r="C8519" s="8"/>
      <c r="G8519" s="11"/>
    </row>
    <row r="8520" spans="3:7" x14ac:dyDescent="0.25">
      <c r="C8520" s="8"/>
      <c r="G8520" s="11"/>
    </row>
    <row r="8521" spans="3:7" x14ac:dyDescent="0.25">
      <c r="C8521" s="8"/>
      <c r="G8521" s="11"/>
    </row>
    <row r="8522" spans="3:7" x14ac:dyDescent="0.25">
      <c r="C8522" s="8"/>
      <c r="G8522" s="11"/>
    </row>
    <row r="8523" spans="3:7" x14ac:dyDescent="0.25">
      <c r="C8523" s="8"/>
      <c r="G8523" s="11"/>
    </row>
    <row r="8524" spans="3:7" x14ac:dyDescent="0.25">
      <c r="C8524" s="8"/>
      <c r="G8524" s="11"/>
    </row>
    <row r="8525" spans="3:7" x14ac:dyDescent="0.25">
      <c r="C8525" s="8"/>
      <c r="G8525" s="11"/>
    </row>
    <row r="8526" spans="3:7" x14ac:dyDescent="0.25">
      <c r="C8526" s="8"/>
      <c r="G8526" s="11"/>
    </row>
    <row r="8527" spans="3:7" x14ac:dyDescent="0.25">
      <c r="C8527" s="8"/>
      <c r="G8527" s="11"/>
    </row>
    <row r="8528" spans="3:7" x14ac:dyDescent="0.25">
      <c r="C8528" s="8"/>
      <c r="G8528" s="11"/>
    </row>
    <row r="8529" spans="3:7" x14ac:dyDescent="0.25">
      <c r="C8529" s="8"/>
      <c r="G8529" s="11"/>
    </row>
    <row r="8530" spans="3:7" x14ac:dyDescent="0.25">
      <c r="C8530" s="8"/>
      <c r="G8530" s="11"/>
    </row>
    <row r="8531" spans="3:7" x14ac:dyDescent="0.25">
      <c r="C8531" s="8"/>
      <c r="G8531" s="11"/>
    </row>
    <row r="8532" spans="3:7" x14ac:dyDescent="0.25">
      <c r="C8532" s="8"/>
      <c r="G8532" s="11"/>
    </row>
    <row r="8533" spans="3:7" x14ac:dyDescent="0.25">
      <c r="C8533" s="8"/>
      <c r="G8533" s="11"/>
    </row>
    <row r="8534" spans="3:7" x14ac:dyDescent="0.25">
      <c r="C8534" s="8"/>
      <c r="G8534" s="11"/>
    </row>
    <row r="8535" spans="3:7" x14ac:dyDescent="0.25">
      <c r="C8535" s="8"/>
      <c r="G8535" s="11"/>
    </row>
    <row r="8536" spans="3:7" x14ac:dyDescent="0.25">
      <c r="C8536" s="8"/>
      <c r="G8536" s="11"/>
    </row>
    <row r="8537" spans="3:7" x14ac:dyDescent="0.25">
      <c r="C8537" s="8"/>
      <c r="G8537" s="11"/>
    </row>
    <row r="8538" spans="3:7" x14ac:dyDescent="0.25">
      <c r="C8538" s="8"/>
      <c r="G8538" s="11"/>
    </row>
    <row r="8539" spans="3:7" x14ac:dyDescent="0.25">
      <c r="C8539" s="8"/>
      <c r="G8539" s="11"/>
    </row>
    <row r="8540" spans="3:7" x14ac:dyDescent="0.25">
      <c r="C8540" s="8"/>
      <c r="G8540" s="11"/>
    </row>
    <row r="8541" spans="3:7" x14ac:dyDescent="0.25">
      <c r="C8541" s="8"/>
      <c r="G8541" s="11"/>
    </row>
    <row r="8542" spans="3:7" x14ac:dyDescent="0.25">
      <c r="C8542" s="8"/>
      <c r="G8542" s="11"/>
    </row>
    <row r="8543" spans="3:7" x14ac:dyDescent="0.25">
      <c r="C8543" s="8"/>
      <c r="G8543" s="11"/>
    </row>
    <row r="8544" spans="3:7" x14ac:dyDescent="0.25">
      <c r="C8544" s="8"/>
      <c r="G8544" s="11"/>
    </row>
    <row r="8545" spans="3:7" x14ac:dyDescent="0.25">
      <c r="C8545" s="8"/>
      <c r="G8545" s="11"/>
    </row>
    <row r="8546" spans="3:7" x14ac:dyDescent="0.25">
      <c r="C8546" s="8"/>
      <c r="G8546" s="11"/>
    </row>
    <row r="8547" spans="3:7" x14ac:dyDescent="0.25">
      <c r="C8547" s="8"/>
      <c r="G8547" s="11"/>
    </row>
    <row r="8548" spans="3:7" x14ac:dyDescent="0.25">
      <c r="C8548" s="8"/>
      <c r="G8548" s="11"/>
    </row>
    <row r="8549" spans="3:7" x14ac:dyDescent="0.25">
      <c r="C8549" s="8"/>
      <c r="G8549" s="11"/>
    </row>
    <row r="8550" spans="3:7" x14ac:dyDescent="0.25">
      <c r="C8550" s="8"/>
      <c r="G8550" s="11"/>
    </row>
    <row r="8551" spans="3:7" x14ac:dyDescent="0.25">
      <c r="C8551" s="8"/>
      <c r="G8551" s="11"/>
    </row>
    <row r="8552" spans="3:7" x14ac:dyDescent="0.25">
      <c r="C8552" s="8"/>
      <c r="G8552" s="11"/>
    </row>
    <row r="8553" spans="3:7" x14ac:dyDescent="0.25">
      <c r="C8553" s="8"/>
      <c r="G8553" s="11"/>
    </row>
    <row r="8554" spans="3:7" x14ac:dyDescent="0.25">
      <c r="C8554" s="8"/>
      <c r="G8554" s="11"/>
    </row>
    <row r="8555" spans="3:7" x14ac:dyDescent="0.25">
      <c r="C8555" s="8"/>
      <c r="G8555" s="11"/>
    </row>
    <row r="8556" spans="3:7" x14ac:dyDescent="0.25">
      <c r="C8556" s="8"/>
      <c r="G8556" s="11"/>
    </row>
    <row r="8557" spans="3:7" x14ac:dyDescent="0.25">
      <c r="C8557" s="8"/>
      <c r="G8557" s="11"/>
    </row>
    <row r="8558" spans="3:7" x14ac:dyDescent="0.25">
      <c r="C8558" s="8"/>
      <c r="G8558" s="11"/>
    </row>
    <row r="8559" spans="3:7" x14ac:dyDescent="0.25">
      <c r="C8559" s="8"/>
      <c r="G8559" s="11"/>
    </row>
    <row r="8560" spans="3:7" x14ac:dyDescent="0.25">
      <c r="C8560" s="8"/>
      <c r="G8560" s="11"/>
    </row>
    <row r="8561" spans="3:7" x14ac:dyDescent="0.25">
      <c r="C8561" s="8"/>
      <c r="G8561" s="11"/>
    </row>
    <row r="8562" spans="3:7" x14ac:dyDescent="0.25">
      <c r="C8562" s="8"/>
      <c r="G8562" s="11"/>
    </row>
    <row r="8563" spans="3:7" x14ac:dyDescent="0.25">
      <c r="C8563" s="8"/>
      <c r="G8563" s="11"/>
    </row>
    <row r="8564" spans="3:7" x14ac:dyDescent="0.25">
      <c r="C8564" s="8"/>
      <c r="G8564" s="11"/>
    </row>
    <row r="8565" spans="3:7" x14ac:dyDescent="0.25">
      <c r="C8565" s="8"/>
      <c r="G8565" s="11"/>
    </row>
    <row r="8566" spans="3:7" x14ac:dyDescent="0.25">
      <c r="C8566" s="8"/>
      <c r="G8566" s="11"/>
    </row>
    <row r="8567" spans="3:7" x14ac:dyDescent="0.25">
      <c r="C8567" s="8"/>
      <c r="G8567" s="11"/>
    </row>
    <row r="8568" spans="3:7" x14ac:dyDescent="0.25">
      <c r="C8568" s="8"/>
      <c r="G8568" s="11"/>
    </row>
    <row r="8569" spans="3:7" x14ac:dyDescent="0.25">
      <c r="C8569" s="8"/>
      <c r="G8569" s="11"/>
    </row>
    <row r="8570" spans="3:7" x14ac:dyDescent="0.25">
      <c r="C8570" s="8"/>
      <c r="G8570" s="11"/>
    </row>
    <row r="8571" spans="3:7" x14ac:dyDescent="0.25">
      <c r="C8571" s="8"/>
      <c r="G8571" s="11"/>
    </row>
    <row r="8572" spans="3:7" x14ac:dyDescent="0.25">
      <c r="C8572" s="8"/>
      <c r="G8572" s="11"/>
    </row>
    <row r="8573" spans="3:7" x14ac:dyDescent="0.25">
      <c r="C8573" s="8"/>
      <c r="G8573" s="11"/>
    </row>
    <row r="8574" spans="3:7" x14ac:dyDescent="0.25">
      <c r="C8574" s="8"/>
      <c r="G8574" s="11"/>
    </row>
    <row r="8575" spans="3:7" x14ac:dyDescent="0.25">
      <c r="C8575" s="8"/>
      <c r="G8575" s="11"/>
    </row>
    <row r="8576" spans="3:7" x14ac:dyDescent="0.25">
      <c r="C8576" s="8"/>
      <c r="G8576" s="11"/>
    </row>
    <row r="8577" spans="3:7" x14ac:dyDescent="0.25">
      <c r="C8577" s="8"/>
      <c r="G8577" s="11"/>
    </row>
    <row r="8578" spans="3:7" x14ac:dyDescent="0.25">
      <c r="C8578" s="8"/>
      <c r="G8578" s="11"/>
    </row>
    <row r="8579" spans="3:7" x14ac:dyDescent="0.25">
      <c r="C8579" s="8"/>
      <c r="G8579" s="11"/>
    </row>
    <row r="8580" spans="3:7" x14ac:dyDescent="0.25">
      <c r="C8580" s="8"/>
      <c r="G8580" s="11"/>
    </row>
    <row r="8581" spans="3:7" x14ac:dyDescent="0.25">
      <c r="C8581" s="8"/>
      <c r="G8581" s="11"/>
    </row>
    <row r="8582" spans="3:7" x14ac:dyDescent="0.25">
      <c r="C8582" s="8"/>
      <c r="G8582" s="11"/>
    </row>
    <row r="8583" spans="3:7" x14ac:dyDescent="0.25">
      <c r="C8583" s="8"/>
      <c r="G8583" s="11"/>
    </row>
    <row r="8584" spans="3:7" x14ac:dyDescent="0.25">
      <c r="C8584" s="8"/>
      <c r="G8584" s="11"/>
    </row>
    <row r="8585" spans="3:7" x14ac:dyDescent="0.25">
      <c r="C8585" s="8"/>
      <c r="G8585" s="11"/>
    </row>
    <row r="8586" spans="3:7" x14ac:dyDescent="0.25">
      <c r="C8586" s="8"/>
      <c r="G8586" s="11"/>
    </row>
    <row r="8587" spans="3:7" x14ac:dyDescent="0.25">
      <c r="C8587" s="8"/>
      <c r="G8587" s="11"/>
    </row>
    <row r="8588" spans="3:7" x14ac:dyDescent="0.25">
      <c r="C8588" s="8"/>
      <c r="G8588" s="11"/>
    </row>
    <row r="8589" spans="3:7" x14ac:dyDescent="0.25">
      <c r="C8589" s="8"/>
      <c r="G8589" s="11"/>
    </row>
    <row r="8590" spans="3:7" x14ac:dyDescent="0.25">
      <c r="C8590" s="8"/>
      <c r="G8590" s="11"/>
    </row>
    <row r="8591" spans="3:7" x14ac:dyDescent="0.25">
      <c r="C8591" s="8"/>
      <c r="G8591" s="11"/>
    </row>
    <row r="8592" spans="3:7" x14ac:dyDescent="0.25">
      <c r="C8592" s="8"/>
      <c r="G8592" s="11"/>
    </row>
    <row r="8593" spans="3:7" x14ac:dyDescent="0.25">
      <c r="C8593" s="8"/>
      <c r="G8593" s="11"/>
    </row>
    <row r="8594" spans="3:7" x14ac:dyDescent="0.25">
      <c r="C8594" s="8"/>
      <c r="G8594" s="11"/>
    </row>
    <row r="8595" spans="3:7" x14ac:dyDescent="0.25">
      <c r="C8595" s="8"/>
      <c r="G8595" s="11"/>
    </row>
    <row r="8596" spans="3:7" x14ac:dyDescent="0.25">
      <c r="C8596" s="8"/>
      <c r="G8596" s="11"/>
    </row>
    <row r="8597" spans="3:7" x14ac:dyDescent="0.25">
      <c r="C8597" s="8"/>
      <c r="G8597" s="11"/>
    </row>
    <row r="8598" spans="3:7" x14ac:dyDescent="0.25">
      <c r="C8598" s="8"/>
      <c r="G8598" s="11"/>
    </row>
    <row r="8599" spans="3:7" x14ac:dyDescent="0.25">
      <c r="C8599" s="8"/>
      <c r="G8599" s="11"/>
    </row>
    <row r="8600" spans="3:7" x14ac:dyDescent="0.25">
      <c r="C8600" s="8"/>
      <c r="G8600" s="11"/>
    </row>
    <row r="8601" spans="3:7" x14ac:dyDescent="0.25">
      <c r="C8601" s="8"/>
      <c r="G8601" s="11"/>
    </row>
    <row r="8602" spans="3:7" x14ac:dyDescent="0.25">
      <c r="C8602" s="8"/>
      <c r="G8602" s="11"/>
    </row>
    <row r="8603" spans="3:7" x14ac:dyDescent="0.25">
      <c r="C8603" s="8"/>
      <c r="G8603" s="11"/>
    </row>
    <row r="8604" spans="3:7" x14ac:dyDescent="0.25">
      <c r="C8604" s="8"/>
      <c r="G8604" s="11"/>
    </row>
    <row r="8605" spans="3:7" x14ac:dyDescent="0.25">
      <c r="C8605" s="8"/>
      <c r="G8605" s="11"/>
    </row>
    <row r="8606" spans="3:7" x14ac:dyDescent="0.25">
      <c r="C8606" s="8"/>
      <c r="G8606" s="11"/>
    </row>
    <row r="8607" spans="3:7" x14ac:dyDescent="0.25">
      <c r="C8607" s="8"/>
      <c r="G8607" s="11"/>
    </row>
    <row r="8608" spans="3:7" x14ac:dyDescent="0.25">
      <c r="C8608" s="8"/>
      <c r="G8608" s="11"/>
    </row>
    <row r="8609" spans="3:7" x14ac:dyDescent="0.25">
      <c r="C8609" s="8"/>
      <c r="G8609" s="11"/>
    </row>
    <row r="8610" spans="3:7" x14ac:dyDescent="0.25">
      <c r="C8610" s="8"/>
      <c r="G8610" s="11"/>
    </row>
    <row r="8611" spans="3:7" x14ac:dyDescent="0.25">
      <c r="C8611" s="8"/>
      <c r="G8611" s="11"/>
    </row>
    <row r="8612" spans="3:7" x14ac:dyDescent="0.25">
      <c r="C8612" s="8"/>
      <c r="G8612" s="11"/>
    </row>
    <row r="8613" spans="3:7" x14ac:dyDescent="0.25">
      <c r="C8613" s="8"/>
      <c r="G8613" s="11"/>
    </row>
    <row r="8614" spans="3:7" x14ac:dyDescent="0.25">
      <c r="C8614" s="8"/>
      <c r="G8614" s="11"/>
    </row>
    <row r="8615" spans="3:7" x14ac:dyDescent="0.25">
      <c r="C8615" s="8"/>
      <c r="G8615" s="11"/>
    </row>
    <row r="8616" spans="3:7" x14ac:dyDescent="0.25">
      <c r="C8616" s="8"/>
      <c r="G8616" s="11"/>
    </row>
    <row r="8617" spans="3:7" x14ac:dyDescent="0.25">
      <c r="C8617" s="8"/>
      <c r="G8617" s="11"/>
    </row>
    <row r="8618" spans="3:7" x14ac:dyDescent="0.25">
      <c r="C8618" s="8"/>
      <c r="G8618" s="11"/>
    </row>
    <row r="8619" spans="3:7" x14ac:dyDescent="0.25">
      <c r="C8619" s="8"/>
      <c r="G8619" s="11"/>
    </row>
    <row r="8620" spans="3:7" x14ac:dyDescent="0.25">
      <c r="C8620" s="8"/>
      <c r="G8620" s="11"/>
    </row>
    <row r="8621" spans="3:7" x14ac:dyDescent="0.25">
      <c r="C8621" s="8"/>
      <c r="G8621" s="11"/>
    </row>
    <row r="8622" spans="3:7" x14ac:dyDescent="0.25">
      <c r="C8622" s="8"/>
      <c r="G8622" s="11"/>
    </row>
    <row r="8623" spans="3:7" x14ac:dyDescent="0.25">
      <c r="C8623" s="8"/>
      <c r="G8623" s="11"/>
    </row>
    <row r="8624" spans="3:7" x14ac:dyDescent="0.25">
      <c r="C8624" s="8"/>
      <c r="G8624" s="11"/>
    </row>
    <row r="8625" spans="3:7" x14ac:dyDescent="0.25">
      <c r="C8625" s="8"/>
      <c r="G8625" s="11"/>
    </row>
    <row r="8626" spans="3:7" x14ac:dyDescent="0.25">
      <c r="C8626" s="8"/>
      <c r="G8626" s="11"/>
    </row>
    <row r="8627" spans="3:7" x14ac:dyDescent="0.25">
      <c r="C8627" s="8"/>
      <c r="G8627" s="11"/>
    </row>
    <row r="8628" spans="3:7" x14ac:dyDescent="0.25">
      <c r="C8628" s="8"/>
      <c r="G8628" s="11"/>
    </row>
    <row r="8629" spans="3:7" x14ac:dyDescent="0.25">
      <c r="C8629" s="8"/>
      <c r="G8629" s="11"/>
    </row>
    <row r="8630" spans="3:7" x14ac:dyDescent="0.25">
      <c r="C8630" s="8"/>
      <c r="G8630" s="11"/>
    </row>
    <row r="8631" spans="3:7" x14ac:dyDescent="0.25">
      <c r="C8631" s="8"/>
      <c r="G8631" s="11"/>
    </row>
    <row r="8632" spans="3:7" x14ac:dyDescent="0.25">
      <c r="C8632" s="8"/>
      <c r="G8632" s="11"/>
    </row>
    <row r="8633" spans="3:7" x14ac:dyDescent="0.25">
      <c r="C8633" s="8"/>
      <c r="G8633" s="11"/>
    </row>
    <row r="8634" spans="3:7" x14ac:dyDescent="0.25">
      <c r="C8634" s="8"/>
      <c r="G8634" s="11"/>
    </row>
    <row r="8635" spans="3:7" x14ac:dyDescent="0.25">
      <c r="C8635" s="8"/>
      <c r="G8635" s="11"/>
    </row>
    <row r="8636" spans="3:7" x14ac:dyDescent="0.25">
      <c r="C8636" s="8"/>
      <c r="G8636" s="11"/>
    </row>
    <row r="8637" spans="3:7" x14ac:dyDescent="0.25">
      <c r="C8637" s="8"/>
      <c r="G8637" s="11"/>
    </row>
    <row r="8638" spans="3:7" x14ac:dyDescent="0.25">
      <c r="C8638" s="8"/>
      <c r="G8638" s="11"/>
    </row>
    <row r="8639" spans="3:7" x14ac:dyDescent="0.25">
      <c r="C8639" s="8"/>
      <c r="G8639" s="11"/>
    </row>
    <row r="8640" spans="3:7" x14ac:dyDescent="0.25">
      <c r="C8640" s="8"/>
      <c r="G8640" s="11"/>
    </row>
    <row r="8641" spans="3:7" x14ac:dyDescent="0.25">
      <c r="C8641" s="8"/>
      <c r="G8641" s="11"/>
    </row>
    <row r="8642" spans="3:7" x14ac:dyDescent="0.25">
      <c r="C8642" s="8"/>
      <c r="G8642" s="11"/>
    </row>
    <row r="8643" spans="3:7" x14ac:dyDescent="0.25">
      <c r="C8643" s="8"/>
      <c r="G8643" s="11"/>
    </row>
    <row r="8644" spans="3:7" x14ac:dyDescent="0.25">
      <c r="C8644" s="8"/>
      <c r="G8644" s="11"/>
    </row>
    <row r="8645" spans="3:7" x14ac:dyDescent="0.25">
      <c r="C8645" s="8"/>
      <c r="G8645" s="11"/>
    </row>
    <row r="8646" spans="3:7" x14ac:dyDescent="0.25">
      <c r="C8646" s="8"/>
      <c r="G8646" s="11"/>
    </row>
    <row r="8647" spans="3:7" x14ac:dyDescent="0.25">
      <c r="C8647" s="8"/>
      <c r="G8647" s="11"/>
    </row>
    <row r="8648" spans="3:7" x14ac:dyDescent="0.25">
      <c r="C8648" s="8"/>
      <c r="G8648" s="11"/>
    </row>
    <row r="8649" spans="3:7" x14ac:dyDescent="0.25">
      <c r="C8649" s="8"/>
      <c r="G8649" s="11"/>
    </row>
    <row r="8650" spans="3:7" x14ac:dyDescent="0.25">
      <c r="C8650" s="8"/>
      <c r="G8650" s="11"/>
    </row>
    <row r="8651" spans="3:7" x14ac:dyDescent="0.25">
      <c r="C8651" s="8"/>
      <c r="G8651" s="11"/>
    </row>
    <row r="8652" spans="3:7" x14ac:dyDescent="0.25">
      <c r="C8652" s="8"/>
      <c r="G8652" s="11"/>
    </row>
    <row r="8653" spans="3:7" x14ac:dyDescent="0.25">
      <c r="C8653" s="8"/>
      <c r="G8653" s="11"/>
    </row>
    <row r="8654" spans="3:7" x14ac:dyDescent="0.25">
      <c r="C8654" s="8"/>
      <c r="G8654" s="11"/>
    </row>
    <row r="8655" spans="3:7" x14ac:dyDescent="0.25">
      <c r="C8655" s="8"/>
      <c r="G8655" s="11"/>
    </row>
    <row r="8656" spans="3:7" x14ac:dyDescent="0.25">
      <c r="C8656" s="8"/>
      <c r="G8656" s="11"/>
    </row>
    <row r="8657" spans="3:7" x14ac:dyDescent="0.25">
      <c r="C8657" s="8"/>
      <c r="G8657" s="11"/>
    </row>
    <row r="8658" spans="3:7" x14ac:dyDescent="0.25">
      <c r="C8658" s="8"/>
      <c r="G8658" s="11"/>
    </row>
    <row r="8659" spans="3:7" x14ac:dyDescent="0.25">
      <c r="C8659" s="8"/>
      <c r="G8659" s="11"/>
    </row>
    <row r="8660" spans="3:7" x14ac:dyDescent="0.25">
      <c r="C8660" s="8"/>
      <c r="G8660" s="11"/>
    </row>
    <row r="8661" spans="3:7" x14ac:dyDescent="0.25">
      <c r="C8661" s="8"/>
      <c r="G8661" s="11"/>
    </row>
    <row r="8662" spans="3:7" x14ac:dyDescent="0.25">
      <c r="C8662" s="8"/>
      <c r="G8662" s="11"/>
    </row>
    <row r="8663" spans="3:7" x14ac:dyDescent="0.25">
      <c r="C8663" s="8"/>
      <c r="G8663" s="11"/>
    </row>
    <row r="8664" spans="3:7" x14ac:dyDescent="0.25">
      <c r="C8664" s="8"/>
      <c r="G8664" s="11"/>
    </row>
    <row r="8665" spans="3:7" x14ac:dyDescent="0.25">
      <c r="C8665" s="8"/>
      <c r="G8665" s="11"/>
    </row>
    <row r="8666" spans="3:7" x14ac:dyDescent="0.25">
      <c r="C8666" s="8"/>
      <c r="G8666" s="11"/>
    </row>
    <row r="8667" spans="3:7" x14ac:dyDescent="0.25">
      <c r="C8667" s="8"/>
      <c r="G8667" s="11"/>
    </row>
    <row r="8668" spans="3:7" x14ac:dyDescent="0.25">
      <c r="C8668" s="8"/>
      <c r="G8668" s="11"/>
    </row>
    <row r="8669" spans="3:7" x14ac:dyDescent="0.25">
      <c r="C8669" s="8"/>
      <c r="G8669" s="11"/>
    </row>
    <row r="8670" spans="3:7" x14ac:dyDescent="0.25">
      <c r="C8670" s="8"/>
      <c r="G8670" s="11"/>
    </row>
    <row r="8671" spans="3:7" x14ac:dyDescent="0.25">
      <c r="C8671" s="8"/>
      <c r="G8671" s="11"/>
    </row>
    <row r="8672" spans="3:7" x14ac:dyDescent="0.25">
      <c r="C8672" s="8"/>
      <c r="G8672" s="11"/>
    </row>
    <row r="8673" spans="3:7" x14ac:dyDescent="0.25">
      <c r="C8673" s="8"/>
      <c r="G8673" s="11"/>
    </row>
    <row r="8674" spans="3:7" x14ac:dyDescent="0.25">
      <c r="C8674" s="8"/>
      <c r="G8674" s="11"/>
    </row>
    <row r="8675" spans="3:7" x14ac:dyDescent="0.25">
      <c r="C8675" s="8"/>
      <c r="G8675" s="11"/>
    </row>
    <row r="8676" spans="3:7" x14ac:dyDescent="0.25">
      <c r="C8676" s="8"/>
      <c r="G8676" s="11"/>
    </row>
    <row r="8677" spans="3:7" x14ac:dyDescent="0.25">
      <c r="C8677" s="8"/>
      <c r="G8677" s="11"/>
    </row>
    <row r="8678" spans="3:7" x14ac:dyDescent="0.25">
      <c r="C8678" s="8"/>
      <c r="G8678" s="11"/>
    </row>
    <row r="8679" spans="3:7" x14ac:dyDescent="0.25">
      <c r="C8679" s="8"/>
      <c r="G8679" s="11"/>
    </row>
    <row r="8680" spans="3:7" x14ac:dyDescent="0.25">
      <c r="C8680" s="8"/>
      <c r="G8680" s="11"/>
    </row>
    <row r="8681" spans="3:7" x14ac:dyDescent="0.25">
      <c r="C8681" s="8"/>
      <c r="G8681" s="11"/>
    </row>
    <row r="8682" spans="3:7" x14ac:dyDescent="0.25">
      <c r="C8682" s="8"/>
      <c r="G8682" s="11"/>
    </row>
    <row r="8683" spans="3:7" x14ac:dyDescent="0.25">
      <c r="C8683" s="8"/>
      <c r="G8683" s="11"/>
    </row>
    <row r="8684" spans="3:7" x14ac:dyDescent="0.25">
      <c r="C8684" s="8"/>
      <c r="G8684" s="11"/>
    </row>
    <row r="8685" spans="3:7" x14ac:dyDescent="0.25">
      <c r="C8685" s="8"/>
      <c r="G8685" s="11"/>
    </row>
    <row r="8686" spans="3:7" x14ac:dyDescent="0.25">
      <c r="C8686" s="8"/>
      <c r="G8686" s="11"/>
    </row>
    <row r="8687" spans="3:7" x14ac:dyDescent="0.25">
      <c r="C8687" s="8"/>
      <c r="G8687" s="11"/>
    </row>
    <row r="8688" spans="3:7" x14ac:dyDescent="0.25">
      <c r="C8688" s="8"/>
      <c r="G8688" s="11"/>
    </row>
    <row r="8689" spans="3:7" x14ac:dyDescent="0.25">
      <c r="C8689" s="8"/>
      <c r="G8689" s="11"/>
    </row>
    <row r="8690" spans="3:7" x14ac:dyDescent="0.25">
      <c r="C8690" s="8"/>
      <c r="G8690" s="11"/>
    </row>
    <row r="8691" spans="3:7" x14ac:dyDescent="0.25">
      <c r="C8691" s="8"/>
      <c r="G8691" s="11"/>
    </row>
    <row r="8692" spans="3:7" x14ac:dyDescent="0.25">
      <c r="C8692" s="8"/>
      <c r="G8692" s="11"/>
    </row>
    <row r="8693" spans="3:7" x14ac:dyDescent="0.25">
      <c r="C8693" s="8"/>
      <c r="G8693" s="11"/>
    </row>
    <row r="8694" spans="3:7" x14ac:dyDescent="0.25">
      <c r="C8694" s="8"/>
      <c r="G8694" s="11"/>
    </row>
    <row r="8695" spans="3:7" x14ac:dyDescent="0.25">
      <c r="C8695" s="8"/>
      <c r="G8695" s="11"/>
    </row>
    <row r="8696" spans="3:7" x14ac:dyDescent="0.25">
      <c r="C8696" s="8"/>
      <c r="G8696" s="11"/>
    </row>
    <row r="8697" spans="3:7" x14ac:dyDescent="0.25">
      <c r="C8697" s="8"/>
      <c r="G8697" s="11"/>
    </row>
    <row r="8698" spans="3:7" x14ac:dyDescent="0.25">
      <c r="C8698" s="8"/>
      <c r="G8698" s="11"/>
    </row>
    <row r="8699" spans="3:7" x14ac:dyDescent="0.25">
      <c r="C8699" s="8"/>
      <c r="G8699" s="11"/>
    </row>
    <row r="8700" spans="3:7" x14ac:dyDescent="0.25">
      <c r="C8700" s="8"/>
      <c r="G8700" s="11"/>
    </row>
    <row r="8701" spans="3:7" x14ac:dyDescent="0.25">
      <c r="C8701" s="8"/>
      <c r="G8701" s="11"/>
    </row>
    <row r="8702" spans="3:7" x14ac:dyDescent="0.25">
      <c r="C8702" s="8"/>
      <c r="G8702" s="11"/>
    </row>
    <row r="8703" spans="3:7" x14ac:dyDescent="0.25">
      <c r="C8703" s="8"/>
      <c r="G8703" s="11"/>
    </row>
    <row r="8704" spans="3:7" x14ac:dyDescent="0.25">
      <c r="C8704" s="8"/>
      <c r="G8704" s="11"/>
    </row>
    <row r="8705" spans="3:7" x14ac:dyDescent="0.25">
      <c r="C8705" s="8"/>
      <c r="G8705" s="11"/>
    </row>
    <row r="8706" spans="3:7" x14ac:dyDescent="0.25">
      <c r="C8706" s="8"/>
      <c r="G8706" s="11"/>
    </row>
    <row r="8707" spans="3:7" x14ac:dyDescent="0.25">
      <c r="C8707" s="8"/>
      <c r="G8707" s="11"/>
    </row>
    <row r="8708" spans="3:7" x14ac:dyDescent="0.25">
      <c r="C8708" s="8"/>
      <c r="G8708" s="11"/>
    </row>
    <row r="8709" spans="3:7" x14ac:dyDescent="0.25">
      <c r="C8709" s="8"/>
      <c r="G8709" s="11"/>
    </row>
    <row r="8710" spans="3:7" x14ac:dyDescent="0.25">
      <c r="C8710" s="8"/>
      <c r="G8710" s="11"/>
    </row>
    <row r="8711" spans="3:7" x14ac:dyDescent="0.25">
      <c r="C8711" s="8"/>
      <c r="G8711" s="11"/>
    </row>
    <row r="8712" spans="3:7" x14ac:dyDescent="0.25">
      <c r="C8712" s="8"/>
      <c r="G8712" s="11"/>
    </row>
    <row r="8713" spans="3:7" x14ac:dyDescent="0.25">
      <c r="C8713" s="8"/>
      <c r="G8713" s="11"/>
    </row>
    <row r="8714" spans="3:7" x14ac:dyDescent="0.25">
      <c r="C8714" s="8"/>
      <c r="G8714" s="11"/>
    </row>
    <row r="8715" spans="3:7" x14ac:dyDescent="0.25">
      <c r="C8715" s="8"/>
      <c r="G8715" s="11"/>
    </row>
    <row r="8716" spans="3:7" x14ac:dyDescent="0.25">
      <c r="C8716" s="8"/>
      <c r="G8716" s="11"/>
    </row>
    <row r="8717" spans="3:7" x14ac:dyDescent="0.25">
      <c r="C8717" s="8"/>
      <c r="G8717" s="11"/>
    </row>
    <row r="8718" spans="3:7" x14ac:dyDescent="0.25">
      <c r="C8718" s="8"/>
      <c r="G8718" s="11"/>
    </row>
    <row r="8719" spans="3:7" x14ac:dyDescent="0.25">
      <c r="C8719" s="8"/>
      <c r="G8719" s="11"/>
    </row>
    <row r="8720" spans="3:7" x14ac:dyDescent="0.25">
      <c r="C8720" s="8"/>
      <c r="G8720" s="11"/>
    </row>
    <row r="8721" spans="3:7" x14ac:dyDescent="0.25">
      <c r="C8721" s="8"/>
      <c r="G8721" s="11"/>
    </row>
    <row r="8722" spans="3:7" x14ac:dyDescent="0.25">
      <c r="C8722" s="8"/>
      <c r="G8722" s="11"/>
    </row>
    <row r="8723" spans="3:7" x14ac:dyDescent="0.25">
      <c r="C8723" s="8"/>
      <c r="G8723" s="11"/>
    </row>
    <row r="8724" spans="3:7" x14ac:dyDescent="0.25">
      <c r="C8724" s="8"/>
      <c r="G8724" s="11"/>
    </row>
    <row r="8725" spans="3:7" x14ac:dyDescent="0.25">
      <c r="C8725" s="8"/>
      <c r="G8725" s="11"/>
    </row>
    <row r="8726" spans="3:7" x14ac:dyDescent="0.25">
      <c r="C8726" s="8"/>
      <c r="G8726" s="11"/>
    </row>
    <row r="8727" spans="3:7" x14ac:dyDescent="0.25">
      <c r="C8727" s="8"/>
      <c r="G8727" s="11"/>
    </row>
    <row r="8728" spans="3:7" x14ac:dyDescent="0.25">
      <c r="C8728" s="8"/>
      <c r="G8728" s="11"/>
    </row>
    <row r="8729" spans="3:7" x14ac:dyDescent="0.25">
      <c r="C8729" s="8"/>
      <c r="G8729" s="11"/>
    </row>
    <row r="8730" spans="3:7" x14ac:dyDescent="0.25">
      <c r="C8730" s="8"/>
      <c r="G8730" s="11"/>
    </row>
    <row r="8731" spans="3:7" x14ac:dyDescent="0.25">
      <c r="C8731" s="8"/>
      <c r="G8731" s="11"/>
    </row>
    <row r="8732" spans="3:7" x14ac:dyDescent="0.25">
      <c r="C8732" s="8"/>
      <c r="G8732" s="11"/>
    </row>
    <row r="8733" spans="3:7" x14ac:dyDescent="0.25">
      <c r="C8733" s="8"/>
      <c r="G8733" s="11"/>
    </row>
    <row r="8734" spans="3:7" x14ac:dyDescent="0.25">
      <c r="C8734" s="8"/>
      <c r="G8734" s="11"/>
    </row>
    <row r="8735" spans="3:7" x14ac:dyDescent="0.25">
      <c r="C8735" s="8"/>
      <c r="G8735" s="11"/>
    </row>
    <row r="8736" spans="3:7" x14ac:dyDescent="0.25">
      <c r="C8736" s="8"/>
      <c r="G8736" s="11"/>
    </row>
    <row r="8737" spans="3:7" x14ac:dyDescent="0.25">
      <c r="C8737" s="8"/>
      <c r="G8737" s="11"/>
    </row>
    <row r="8738" spans="3:7" x14ac:dyDescent="0.25">
      <c r="C8738" s="8"/>
      <c r="G8738" s="11"/>
    </row>
    <row r="8739" spans="3:7" x14ac:dyDescent="0.25">
      <c r="C8739" s="8"/>
      <c r="G8739" s="11"/>
    </row>
    <row r="8740" spans="3:7" x14ac:dyDescent="0.25">
      <c r="C8740" s="8"/>
      <c r="G8740" s="11"/>
    </row>
    <row r="8741" spans="3:7" x14ac:dyDescent="0.25">
      <c r="C8741" s="8"/>
      <c r="G8741" s="11"/>
    </row>
    <row r="8742" spans="3:7" x14ac:dyDescent="0.25">
      <c r="C8742" s="8"/>
      <c r="G8742" s="11"/>
    </row>
    <row r="8743" spans="3:7" x14ac:dyDescent="0.25">
      <c r="C8743" s="8"/>
      <c r="G8743" s="11"/>
    </row>
    <row r="8744" spans="3:7" x14ac:dyDescent="0.25">
      <c r="C8744" s="8"/>
      <c r="G8744" s="11"/>
    </row>
    <row r="8745" spans="3:7" x14ac:dyDescent="0.25">
      <c r="C8745" s="8"/>
      <c r="G8745" s="11"/>
    </row>
    <row r="8746" spans="3:7" x14ac:dyDescent="0.25">
      <c r="C8746" s="8"/>
      <c r="G8746" s="11"/>
    </row>
    <row r="8747" spans="3:7" x14ac:dyDescent="0.25">
      <c r="C8747" s="8"/>
      <c r="G8747" s="11"/>
    </row>
    <row r="8748" spans="3:7" x14ac:dyDescent="0.25">
      <c r="C8748" s="8"/>
      <c r="G8748" s="11"/>
    </row>
    <row r="8749" spans="3:7" x14ac:dyDescent="0.25">
      <c r="C8749" s="8"/>
      <c r="G8749" s="11"/>
    </row>
    <row r="8750" spans="3:7" x14ac:dyDescent="0.25">
      <c r="C8750" s="8"/>
      <c r="G8750" s="11"/>
    </row>
    <row r="8751" spans="3:7" x14ac:dyDescent="0.25">
      <c r="C8751" s="8"/>
      <c r="G8751" s="11"/>
    </row>
    <row r="8752" spans="3:7" x14ac:dyDescent="0.25">
      <c r="C8752" s="8"/>
      <c r="G8752" s="11"/>
    </row>
    <row r="8753" spans="3:7" x14ac:dyDescent="0.25">
      <c r="C8753" s="8"/>
      <c r="G8753" s="11"/>
    </row>
    <row r="8754" spans="3:7" x14ac:dyDescent="0.25">
      <c r="C8754" s="8"/>
      <c r="G8754" s="11"/>
    </row>
    <row r="8755" spans="3:7" x14ac:dyDescent="0.25">
      <c r="C8755" s="8"/>
      <c r="G8755" s="11"/>
    </row>
    <row r="8756" spans="3:7" x14ac:dyDescent="0.25">
      <c r="C8756" s="8"/>
      <c r="G8756" s="11"/>
    </row>
    <row r="8757" spans="3:7" x14ac:dyDescent="0.25">
      <c r="C8757" s="8"/>
      <c r="G8757" s="11"/>
    </row>
    <row r="8758" spans="3:7" x14ac:dyDescent="0.25">
      <c r="C8758" s="8"/>
      <c r="G8758" s="11"/>
    </row>
    <row r="8759" spans="3:7" x14ac:dyDescent="0.25">
      <c r="C8759" s="8"/>
      <c r="G8759" s="11"/>
    </row>
    <row r="8760" spans="3:7" x14ac:dyDescent="0.25">
      <c r="C8760" s="8"/>
      <c r="G8760" s="11"/>
    </row>
    <row r="8761" spans="3:7" x14ac:dyDescent="0.25">
      <c r="C8761" s="8"/>
      <c r="G8761" s="11"/>
    </row>
    <row r="8762" spans="3:7" x14ac:dyDescent="0.25">
      <c r="C8762" s="8"/>
      <c r="G8762" s="11"/>
    </row>
    <row r="8763" spans="3:7" x14ac:dyDescent="0.25">
      <c r="C8763" s="8"/>
      <c r="G8763" s="11"/>
    </row>
    <row r="8764" spans="3:7" x14ac:dyDescent="0.25">
      <c r="C8764" s="8"/>
      <c r="G8764" s="11"/>
    </row>
    <row r="8765" spans="3:7" x14ac:dyDescent="0.25">
      <c r="C8765" s="8"/>
      <c r="G8765" s="11"/>
    </row>
    <row r="8766" spans="3:7" x14ac:dyDescent="0.25">
      <c r="C8766" s="8"/>
      <c r="G8766" s="11"/>
    </row>
    <row r="8767" spans="3:7" x14ac:dyDescent="0.25">
      <c r="C8767" s="8"/>
      <c r="G8767" s="11"/>
    </row>
    <row r="8768" spans="3:7" x14ac:dyDescent="0.25">
      <c r="C8768" s="8"/>
      <c r="G8768" s="11"/>
    </row>
    <row r="8769" spans="3:7" x14ac:dyDescent="0.25">
      <c r="C8769" s="8"/>
      <c r="G8769" s="11"/>
    </row>
    <row r="8770" spans="3:7" x14ac:dyDescent="0.25">
      <c r="C8770" s="8"/>
      <c r="G8770" s="11"/>
    </row>
    <row r="8771" spans="3:7" x14ac:dyDescent="0.25">
      <c r="C8771" s="8"/>
      <c r="G8771" s="11"/>
    </row>
    <row r="8772" spans="3:7" x14ac:dyDescent="0.25">
      <c r="C8772" s="8"/>
      <c r="G8772" s="11"/>
    </row>
    <row r="8773" spans="3:7" x14ac:dyDescent="0.25">
      <c r="C8773" s="8"/>
      <c r="G8773" s="11"/>
    </row>
    <row r="8774" spans="3:7" x14ac:dyDescent="0.25">
      <c r="C8774" s="8"/>
      <c r="G8774" s="11"/>
    </row>
    <row r="8775" spans="3:7" x14ac:dyDescent="0.25">
      <c r="C8775" s="8"/>
      <c r="G8775" s="11"/>
    </row>
    <row r="8776" spans="3:7" x14ac:dyDescent="0.25">
      <c r="C8776" s="8"/>
      <c r="G8776" s="11"/>
    </row>
    <row r="8777" spans="3:7" x14ac:dyDescent="0.25">
      <c r="C8777" s="8"/>
      <c r="G8777" s="11"/>
    </row>
    <row r="8778" spans="3:7" x14ac:dyDescent="0.25">
      <c r="C8778" s="8"/>
      <c r="G8778" s="11"/>
    </row>
    <row r="8779" spans="3:7" x14ac:dyDescent="0.25">
      <c r="C8779" s="8"/>
      <c r="G8779" s="11"/>
    </row>
    <row r="8780" spans="3:7" x14ac:dyDescent="0.25">
      <c r="C8780" s="8"/>
      <c r="G8780" s="11"/>
    </row>
    <row r="8781" spans="3:7" x14ac:dyDescent="0.25">
      <c r="C8781" s="8"/>
      <c r="G8781" s="11"/>
    </row>
    <row r="8782" spans="3:7" x14ac:dyDescent="0.25">
      <c r="C8782" s="8"/>
      <c r="G8782" s="11"/>
    </row>
    <row r="8783" spans="3:7" x14ac:dyDescent="0.25">
      <c r="C8783" s="8"/>
      <c r="G8783" s="11"/>
    </row>
    <row r="8784" spans="3:7" x14ac:dyDescent="0.25">
      <c r="C8784" s="8"/>
      <c r="G8784" s="11"/>
    </row>
    <row r="8785" spans="3:7" x14ac:dyDescent="0.25">
      <c r="C8785" s="8"/>
      <c r="G8785" s="11"/>
    </row>
    <row r="8786" spans="3:7" x14ac:dyDescent="0.25">
      <c r="C8786" s="8"/>
      <c r="G8786" s="11"/>
    </row>
    <row r="8787" spans="3:7" x14ac:dyDescent="0.25">
      <c r="C8787" s="8"/>
      <c r="G8787" s="11"/>
    </row>
    <row r="8788" spans="3:7" x14ac:dyDescent="0.25">
      <c r="C8788" s="8"/>
      <c r="G8788" s="11"/>
    </row>
    <row r="8789" spans="3:7" x14ac:dyDescent="0.25">
      <c r="C8789" s="8"/>
      <c r="G8789" s="11"/>
    </row>
    <row r="8790" spans="3:7" x14ac:dyDescent="0.25">
      <c r="C8790" s="8"/>
      <c r="G8790" s="11"/>
    </row>
    <row r="8791" spans="3:7" x14ac:dyDescent="0.25">
      <c r="C8791" s="8"/>
      <c r="G8791" s="11"/>
    </row>
    <row r="8792" spans="3:7" x14ac:dyDescent="0.25">
      <c r="C8792" s="8"/>
      <c r="G8792" s="11"/>
    </row>
    <row r="8793" spans="3:7" x14ac:dyDescent="0.25">
      <c r="C8793" s="8"/>
      <c r="G8793" s="11"/>
    </row>
    <row r="8794" spans="3:7" x14ac:dyDescent="0.25">
      <c r="C8794" s="8"/>
      <c r="G8794" s="11"/>
    </row>
    <row r="8795" spans="3:7" x14ac:dyDescent="0.25">
      <c r="C8795" s="8"/>
      <c r="G8795" s="11"/>
    </row>
    <row r="8796" spans="3:7" x14ac:dyDescent="0.25">
      <c r="C8796" s="8"/>
      <c r="G8796" s="11"/>
    </row>
    <row r="8797" spans="3:7" x14ac:dyDescent="0.25">
      <c r="C8797" s="8"/>
      <c r="G8797" s="11"/>
    </row>
    <row r="8798" spans="3:7" x14ac:dyDescent="0.25">
      <c r="C8798" s="8"/>
      <c r="G8798" s="11"/>
    </row>
    <row r="8799" spans="3:7" x14ac:dyDescent="0.25">
      <c r="C8799" s="8"/>
      <c r="G8799" s="11"/>
    </row>
    <row r="8800" spans="3:7" x14ac:dyDescent="0.25">
      <c r="C8800" s="8"/>
      <c r="G8800" s="11"/>
    </row>
    <row r="8801" spans="3:7" x14ac:dyDescent="0.25">
      <c r="C8801" s="8"/>
      <c r="G8801" s="11"/>
    </row>
    <row r="8802" spans="3:7" x14ac:dyDescent="0.25">
      <c r="C8802" s="8"/>
      <c r="G8802" s="11"/>
    </row>
    <row r="8803" spans="3:7" x14ac:dyDescent="0.25">
      <c r="C8803" s="8"/>
      <c r="G8803" s="11"/>
    </row>
    <row r="8804" spans="3:7" x14ac:dyDescent="0.25">
      <c r="C8804" s="8"/>
      <c r="G8804" s="11"/>
    </row>
    <row r="8805" spans="3:7" x14ac:dyDescent="0.25">
      <c r="C8805" s="8"/>
      <c r="G8805" s="11"/>
    </row>
    <row r="8806" spans="3:7" x14ac:dyDescent="0.25">
      <c r="C8806" s="8"/>
      <c r="G8806" s="11"/>
    </row>
    <row r="8807" spans="3:7" x14ac:dyDescent="0.25">
      <c r="C8807" s="8"/>
      <c r="G8807" s="11"/>
    </row>
    <row r="8808" spans="3:7" x14ac:dyDescent="0.25">
      <c r="C8808" s="8"/>
      <c r="G8808" s="11"/>
    </row>
    <row r="8809" spans="3:7" x14ac:dyDescent="0.25">
      <c r="C8809" s="8"/>
      <c r="G8809" s="11"/>
    </row>
    <row r="8810" spans="3:7" x14ac:dyDescent="0.25">
      <c r="C8810" s="8"/>
      <c r="G8810" s="11"/>
    </row>
    <row r="8811" spans="3:7" x14ac:dyDescent="0.25">
      <c r="C8811" s="8"/>
      <c r="G8811" s="11"/>
    </row>
    <row r="8812" spans="3:7" x14ac:dyDescent="0.25">
      <c r="C8812" s="8"/>
      <c r="G8812" s="11"/>
    </row>
    <row r="8813" spans="3:7" x14ac:dyDescent="0.25">
      <c r="C8813" s="8"/>
      <c r="G8813" s="11"/>
    </row>
    <row r="8814" spans="3:7" x14ac:dyDescent="0.25">
      <c r="C8814" s="8"/>
      <c r="G8814" s="11"/>
    </row>
    <row r="8815" spans="3:7" x14ac:dyDescent="0.25">
      <c r="C8815" s="8"/>
      <c r="G8815" s="11"/>
    </row>
    <row r="8816" spans="3:7" x14ac:dyDescent="0.25">
      <c r="C8816" s="8"/>
      <c r="G8816" s="11"/>
    </row>
    <row r="8817" spans="3:7" x14ac:dyDescent="0.25">
      <c r="C8817" s="8"/>
      <c r="G8817" s="11"/>
    </row>
    <row r="8818" spans="3:7" x14ac:dyDescent="0.25">
      <c r="C8818" s="8"/>
      <c r="G8818" s="11"/>
    </row>
    <row r="8819" spans="3:7" x14ac:dyDescent="0.25">
      <c r="C8819" s="8"/>
      <c r="G8819" s="11"/>
    </row>
    <row r="8820" spans="3:7" x14ac:dyDescent="0.25">
      <c r="C8820" s="8"/>
      <c r="G8820" s="11"/>
    </row>
    <row r="8821" spans="3:7" x14ac:dyDescent="0.25">
      <c r="C8821" s="8"/>
      <c r="G8821" s="11"/>
    </row>
    <row r="8822" spans="3:7" x14ac:dyDescent="0.25">
      <c r="C8822" s="8"/>
      <c r="G8822" s="11"/>
    </row>
    <row r="8823" spans="3:7" x14ac:dyDescent="0.25">
      <c r="C8823" s="8"/>
      <c r="G8823" s="11"/>
    </row>
    <row r="8824" spans="3:7" x14ac:dyDescent="0.25">
      <c r="C8824" s="8"/>
      <c r="G8824" s="11"/>
    </row>
    <row r="8825" spans="3:7" x14ac:dyDescent="0.25">
      <c r="C8825" s="8"/>
      <c r="G8825" s="11"/>
    </row>
    <row r="8826" spans="3:7" x14ac:dyDescent="0.25">
      <c r="C8826" s="8"/>
      <c r="G8826" s="11"/>
    </row>
    <row r="8827" spans="3:7" x14ac:dyDescent="0.25">
      <c r="C8827" s="8"/>
      <c r="G8827" s="11"/>
    </row>
    <row r="8828" spans="3:7" x14ac:dyDescent="0.25">
      <c r="C8828" s="8"/>
      <c r="G8828" s="11"/>
    </row>
    <row r="8829" spans="3:7" x14ac:dyDescent="0.25">
      <c r="C8829" s="8"/>
      <c r="G8829" s="11"/>
    </row>
    <row r="8830" spans="3:7" x14ac:dyDescent="0.25">
      <c r="C8830" s="8"/>
      <c r="G8830" s="11"/>
    </row>
    <row r="8831" spans="3:7" x14ac:dyDescent="0.25">
      <c r="C8831" s="8"/>
      <c r="G8831" s="11"/>
    </row>
    <row r="8832" spans="3:7" x14ac:dyDescent="0.25">
      <c r="C8832" s="8"/>
      <c r="G8832" s="11"/>
    </row>
    <row r="8833" spans="3:7" x14ac:dyDescent="0.25">
      <c r="C8833" s="8"/>
      <c r="G8833" s="11"/>
    </row>
    <row r="8834" spans="3:7" x14ac:dyDescent="0.25">
      <c r="C8834" s="8"/>
      <c r="G8834" s="11"/>
    </row>
    <row r="8835" spans="3:7" x14ac:dyDescent="0.25">
      <c r="C8835" s="8"/>
      <c r="G8835" s="11"/>
    </row>
    <row r="8836" spans="3:7" x14ac:dyDescent="0.25">
      <c r="C8836" s="8"/>
      <c r="G8836" s="11"/>
    </row>
    <row r="8837" spans="3:7" x14ac:dyDescent="0.25">
      <c r="C8837" s="8"/>
      <c r="G8837" s="11"/>
    </row>
    <row r="8838" spans="3:7" x14ac:dyDescent="0.25">
      <c r="C8838" s="8"/>
      <c r="G8838" s="11"/>
    </row>
    <row r="8839" spans="3:7" x14ac:dyDescent="0.25">
      <c r="C8839" s="8"/>
      <c r="G8839" s="11"/>
    </row>
    <row r="8840" spans="3:7" x14ac:dyDescent="0.25">
      <c r="C8840" s="8"/>
      <c r="G8840" s="11"/>
    </row>
    <row r="8841" spans="3:7" x14ac:dyDescent="0.25">
      <c r="C8841" s="8"/>
      <c r="G8841" s="11"/>
    </row>
    <row r="8842" spans="3:7" x14ac:dyDescent="0.25">
      <c r="C8842" s="8"/>
      <c r="G8842" s="11"/>
    </row>
    <row r="8843" spans="3:7" x14ac:dyDescent="0.25">
      <c r="C8843" s="8"/>
      <c r="G8843" s="11"/>
    </row>
    <row r="8844" spans="3:7" x14ac:dyDescent="0.25">
      <c r="C8844" s="8"/>
      <c r="G8844" s="11"/>
    </row>
    <row r="8845" spans="3:7" x14ac:dyDescent="0.25">
      <c r="C8845" s="8"/>
      <c r="G8845" s="11"/>
    </row>
    <row r="8846" spans="3:7" x14ac:dyDescent="0.25">
      <c r="C8846" s="8"/>
      <c r="G8846" s="11"/>
    </row>
    <row r="8847" spans="3:7" x14ac:dyDescent="0.25">
      <c r="C8847" s="8"/>
      <c r="G8847" s="11"/>
    </row>
    <row r="8848" spans="3:7" x14ac:dyDescent="0.25">
      <c r="C8848" s="8"/>
      <c r="G8848" s="11"/>
    </row>
    <row r="8849" spans="3:7" x14ac:dyDescent="0.25">
      <c r="C8849" s="8"/>
      <c r="G8849" s="11"/>
    </row>
    <row r="8850" spans="3:7" x14ac:dyDescent="0.25">
      <c r="C8850" s="8"/>
      <c r="G8850" s="11"/>
    </row>
    <row r="8851" spans="3:7" x14ac:dyDescent="0.25">
      <c r="C8851" s="8"/>
      <c r="G8851" s="11"/>
    </row>
    <row r="8852" spans="3:7" x14ac:dyDescent="0.25">
      <c r="C8852" s="8"/>
      <c r="G8852" s="11"/>
    </row>
    <row r="8853" spans="3:7" x14ac:dyDescent="0.25">
      <c r="C8853" s="8"/>
      <c r="G8853" s="11"/>
    </row>
    <row r="8854" spans="3:7" x14ac:dyDescent="0.25">
      <c r="C8854" s="8"/>
      <c r="G8854" s="11"/>
    </row>
    <row r="8855" spans="3:7" x14ac:dyDescent="0.25">
      <c r="C8855" s="8"/>
      <c r="G8855" s="11"/>
    </row>
    <row r="8856" spans="3:7" x14ac:dyDescent="0.25">
      <c r="C8856" s="8"/>
      <c r="G8856" s="11"/>
    </row>
    <row r="8857" spans="3:7" x14ac:dyDescent="0.25">
      <c r="C8857" s="8"/>
      <c r="G8857" s="11"/>
    </row>
    <row r="8858" spans="3:7" x14ac:dyDescent="0.25">
      <c r="C8858" s="8"/>
      <c r="G8858" s="11"/>
    </row>
    <row r="8859" spans="3:7" x14ac:dyDescent="0.25">
      <c r="C8859" s="8"/>
      <c r="G8859" s="11"/>
    </row>
    <row r="8860" spans="3:7" x14ac:dyDescent="0.25">
      <c r="C8860" s="8"/>
      <c r="G8860" s="11"/>
    </row>
    <row r="8861" spans="3:7" x14ac:dyDescent="0.25">
      <c r="C8861" s="8"/>
      <c r="G8861" s="11"/>
    </row>
    <row r="8862" spans="3:7" x14ac:dyDescent="0.25">
      <c r="C8862" s="8"/>
      <c r="G8862" s="11"/>
    </row>
    <row r="8863" spans="3:7" x14ac:dyDescent="0.25">
      <c r="C8863" s="8"/>
      <c r="G8863" s="11"/>
    </row>
    <row r="8864" spans="3:7" x14ac:dyDescent="0.25">
      <c r="C8864" s="8"/>
      <c r="G8864" s="11"/>
    </row>
    <row r="8865" spans="3:7" x14ac:dyDescent="0.25">
      <c r="C8865" s="8"/>
      <c r="G8865" s="11"/>
    </row>
    <row r="8866" spans="3:7" x14ac:dyDescent="0.25">
      <c r="C8866" s="8"/>
      <c r="G8866" s="11"/>
    </row>
    <row r="8867" spans="3:7" x14ac:dyDescent="0.25">
      <c r="C8867" s="8"/>
      <c r="G8867" s="11"/>
    </row>
    <row r="8868" spans="3:7" x14ac:dyDescent="0.25">
      <c r="C8868" s="8"/>
      <c r="G8868" s="11"/>
    </row>
    <row r="8869" spans="3:7" x14ac:dyDescent="0.25">
      <c r="C8869" s="8"/>
      <c r="G8869" s="11"/>
    </row>
    <row r="8870" spans="3:7" x14ac:dyDescent="0.25">
      <c r="C8870" s="8"/>
      <c r="G8870" s="11"/>
    </row>
    <row r="8871" spans="3:7" x14ac:dyDescent="0.25">
      <c r="C8871" s="8"/>
      <c r="G8871" s="11"/>
    </row>
    <row r="8872" spans="3:7" x14ac:dyDescent="0.25">
      <c r="C8872" s="8"/>
      <c r="G8872" s="11"/>
    </row>
    <row r="8873" spans="3:7" x14ac:dyDescent="0.25">
      <c r="C8873" s="8"/>
      <c r="G8873" s="11"/>
    </row>
    <row r="8874" spans="3:7" x14ac:dyDescent="0.25">
      <c r="C8874" s="8"/>
      <c r="G8874" s="11"/>
    </row>
    <row r="8875" spans="3:7" x14ac:dyDescent="0.25">
      <c r="C8875" s="8"/>
      <c r="G8875" s="11"/>
    </row>
    <row r="8876" spans="3:7" x14ac:dyDescent="0.25">
      <c r="C8876" s="8"/>
      <c r="G8876" s="11"/>
    </row>
    <row r="8877" spans="3:7" x14ac:dyDescent="0.25">
      <c r="C8877" s="8"/>
      <c r="G8877" s="11"/>
    </row>
    <row r="8878" spans="3:7" x14ac:dyDescent="0.25">
      <c r="C8878" s="8"/>
      <c r="G8878" s="11"/>
    </row>
    <row r="8879" spans="3:7" x14ac:dyDescent="0.25">
      <c r="C8879" s="8"/>
      <c r="G8879" s="11"/>
    </row>
    <row r="8880" spans="3:7" x14ac:dyDescent="0.25">
      <c r="C8880" s="8"/>
      <c r="G8880" s="11"/>
    </row>
    <row r="8881" spans="3:7" x14ac:dyDescent="0.25">
      <c r="C8881" s="8"/>
      <c r="G8881" s="11"/>
    </row>
    <row r="8882" spans="3:7" x14ac:dyDescent="0.25">
      <c r="C8882" s="8"/>
      <c r="G8882" s="11"/>
    </row>
    <row r="8883" spans="3:7" x14ac:dyDescent="0.25">
      <c r="C8883" s="8"/>
      <c r="G8883" s="11"/>
    </row>
    <row r="8884" spans="3:7" x14ac:dyDescent="0.25">
      <c r="C8884" s="8"/>
      <c r="G8884" s="11"/>
    </row>
    <row r="8885" spans="3:7" x14ac:dyDescent="0.25">
      <c r="C8885" s="8"/>
      <c r="G8885" s="11"/>
    </row>
    <row r="8886" spans="3:7" x14ac:dyDescent="0.25">
      <c r="C8886" s="8"/>
      <c r="G8886" s="11"/>
    </row>
    <row r="8887" spans="3:7" x14ac:dyDescent="0.25">
      <c r="C8887" s="8"/>
      <c r="G8887" s="11"/>
    </row>
    <row r="8888" spans="3:7" x14ac:dyDescent="0.25">
      <c r="C8888" s="8"/>
      <c r="G8888" s="11"/>
    </row>
    <row r="8889" spans="3:7" x14ac:dyDescent="0.25">
      <c r="C8889" s="8"/>
      <c r="G8889" s="11"/>
    </row>
    <row r="8890" spans="3:7" x14ac:dyDescent="0.25">
      <c r="C8890" s="8"/>
      <c r="G8890" s="11"/>
    </row>
    <row r="8891" spans="3:7" x14ac:dyDescent="0.25">
      <c r="C8891" s="8"/>
      <c r="G8891" s="11"/>
    </row>
    <row r="8892" spans="3:7" x14ac:dyDescent="0.25">
      <c r="C8892" s="8"/>
      <c r="G8892" s="11"/>
    </row>
    <row r="8893" spans="3:7" x14ac:dyDescent="0.25">
      <c r="C8893" s="8"/>
      <c r="G8893" s="11"/>
    </row>
    <row r="8894" spans="3:7" x14ac:dyDescent="0.25">
      <c r="C8894" s="8"/>
      <c r="G8894" s="11"/>
    </row>
    <row r="8895" spans="3:7" x14ac:dyDescent="0.25">
      <c r="C8895" s="8"/>
      <c r="G8895" s="11"/>
    </row>
    <row r="8896" spans="3:7" x14ac:dyDescent="0.25">
      <c r="C8896" s="8"/>
      <c r="G8896" s="11"/>
    </row>
    <row r="8897" spans="3:7" x14ac:dyDescent="0.25">
      <c r="C8897" s="8"/>
      <c r="G8897" s="11"/>
    </row>
    <row r="8898" spans="3:7" x14ac:dyDescent="0.25">
      <c r="C8898" s="8"/>
      <c r="G8898" s="11"/>
    </row>
    <row r="8899" spans="3:7" x14ac:dyDescent="0.25">
      <c r="C8899" s="8"/>
      <c r="G8899" s="11"/>
    </row>
    <row r="8900" spans="3:7" x14ac:dyDescent="0.25">
      <c r="C8900" s="8"/>
      <c r="G8900" s="11"/>
    </row>
    <row r="8901" spans="3:7" x14ac:dyDescent="0.25">
      <c r="C8901" s="8"/>
      <c r="G8901" s="11"/>
    </row>
    <row r="8902" spans="3:7" x14ac:dyDescent="0.25">
      <c r="C8902" s="8"/>
      <c r="G8902" s="11"/>
    </row>
    <row r="8903" spans="3:7" x14ac:dyDescent="0.25">
      <c r="C8903" s="8"/>
      <c r="G8903" s="11"/>
    </row>
    <row r="8904" spans="3:7" x14ac:dyDescent="0.25">
      <c r="C8904" s="8"/>
      <c r="G8904" s="11"/>
    </row>
    <row r="8905" spans="3:7" x14ac:dyDescent="0.25">
      <c r="C8905" s="8"/>
      <c r="G8905" s="11"/>
    </row>
    <row r="8906" spans="3:7" x14ac:dyDescent="0.25">
      <c r="C8906" s="8"/>
      <c r="G8906" s="11"/>
    </row>
    <row r="8907" spans="3:7" x14ac:dyDescent="0.25">
      <c r="C8907" s="8"/>
      <c r="G8907" s="11"/>
    </row>
    <row r="8908" spans="3:7" x14ac:dyDescent="0.25">
      <c r="C8908" s="8"/>
      <c r="G8908" s="11"/>
    </row>
    <row r="8909" spans="3:7" x14ac:dyDescent="0.25">
      <c r="C8909" s="8"/>
      <c r="G8909" s="11"/>
    </row>
    <row r="8910" spans="3:7" x14ac:dyDescent="0.25">
      <c r="C8910" s="8"/>
      <c r="G8910" s="11"/>
    </row>
    <row r="8911" spans="3:7" x14ac:dyDescent="0.25">
      <c r="C8911" s="8"/>
      <c r="G8911" s="11"/>
    </row>
    <row r="8912" spans="3:7" x14ac:dyDescent="0.25">
      <c r="C8912" s="8"/>
      <c r="G8912" s="11"/>
    </row>
    <row r="8913" spans="3:7" x14ac:dyDescent="0.25">
      <c r="C8913" s="8"/>
      <c r="G8913" s="11"/>
    </row>
    <row r="8914" spans="3:7" x14ac:dyDescent="0.25">
      <c r="C8914" s="8"/>
      <c r="G8914" s="11"/>
    </row>
    <row r="8915" spans="3:7" x14ac:dyDescent="0.25">
      <c r="C8915" s="8"/>
      <c r="G8915" s="11"/>
    </row>
    <row r="8916" spans="3:7" x14ac:dyDescent="0.25">
      <c r="C8916" s="8"/>
      <c r="G8916" s="11"/>
    </row>
    <row r="8917" spans="3:7" x14ac:dyDescent="0.25">
      <c r="C8917" s="8"/>
      <c r="G8917" s="11"/>
    </row>
    <row r="8918" spans="3:7" x14ac:dyDescent="0.25">
      <c r="C8918" s="8"/>
      <c r="G8918" s="11"/>
    </row>
    <row r="8919" spans="3:7" x14ac:dyDescent="0.25">
      <c r="C8919" s="8"/>
      <c r="G8919" s="11"/>
    </row>
    <row r="8920" spans="3:7" x14ac:dyDescent="0.25">
      <c r="C8920" s="8"/>
      <c r="G8920" s="11"/>
    </row>
    <row r="8921" spans="3:7" x14ac:dyDescent="0.25">
      <c r="C8921" s="8"/>
      <c r="G8921" s="11"/>
    </row>
    <row r="8922" spans="3:7" x14ac:dyDescent="0.25">
      <c r="C8922" s="8"/>
      <c r="G8922" s="11"/>
    </row>
    <row r="8923" spans="3:7" x14ac:dyDescent="0.25">
      <c r="C8923" s="8"/>
      <c r="G8923" s="11"/>
    </row>
    <row r="8924" spans="3:7" x14ac:dyDescent="0.25">
      <c r="C8924" s="8"/>
      <c r="G8924" s="11"/>
    </row>
    <row r="8925" spans="3:7" x14ac:dyDescent="0.25">
      <c r="C8925" s="8"/>
      <c r="G8925" s="11"/>
    </row>
    <row r="8926" spans="3:7" x14ac:dyDescent="0.25">
      <c r="C8926" s="8"/>
      <c r="G8926" s="11"/>
    </row>
    <row r="8927" spans="3:7" x14ac:dyDescent="0.25">
      <c r="C8927" s="8"/>
      <c r="G8927" s="11"/>
    </row>
    <row r="8928" spans="3:7" x14ac:dyDescent="0.25">
      <c r="C8928" s="8"/>
      <c r="G8928" s="11"/>
    </row>
    <row r="8929" spans="3:7" x14ac:dyDescent="0.25">
      <c r="C8929" s="8"/>
      <c r="G8929" s="11"/>
    </row>
    <row r="8930" spans="3:7" x14ac:dyDescent="0.25">
      <c r="C8930" s="8"/>
      <c r="G8930" s="11"/>
    </row>
    <row r="8931" spans="3:7" x14ac:dyDescent="0.25">
      <c r="C8931" s="8"/>
      <c r="G8931" s="11"/>
    </row>
    <row r="8932" spans="3:7" x14ac:dyDescent="0.25">
      <c r="C8932" s="8"/>
      <c r="G8932" s="11"/>
    </row>
    <row r="8933" spans="3:7" x14ac:dyDescent="0.25">
      <c r="C8933" s="8"/>
      <c r="G8933" s="11"/>
    </row>
    <row r="8934" spans="3:7" x14ac:dyDescent="0.25">
      <c r="C8934" s="8"/>
      <c r="G8934" s="11"/>
    </row>
    <row r="8935" spans="3:7" x14ac:dyDescent="0.25">
      <c r="C8935" s="8"/>
      <c r="G8935" s="11"/>
    </row>
    <row r="8936" spans="3:7" x14ac:dyDescent="0.25">
      <c r="C8936" s="8"/>
      <c r="G8936" s="11"/>
    </row>
    <row r="8937" spans="3:7" x14ac:dyDescent="0.25">
      <c r="C8937" s="8"/>
      <c r="G8937" s="11"/>
    </row>
    <row r="8938" spans="3:7" x14ac:dyDescent="0.25">
      <c r="C8938" s="8"/>
      <c r="G8938" s="11"/>
    </row>
    <row r="8939" spans="3:7" x14ac:dyDescent="0.25">
      <c r="C8939" s="8"/>
      <c r="G8939" s="11"/>
    </row>
    <row r="8940" spans="3:7" x14ac:dyDescent="0.25">
      <c r="C8940" s="8"/>
      <c r="G8940" s="11"/>
    </row>
    <row r="8941" spans="3:7" x14ac:dyDescent="0.25">
      <c r="C8941" s="8"/>
      <c r="G8941" s="11"/>
    </row>
    <row r="8942" spans="3:7" x14ac:dyDescent="0.25">
      <c r="C8942" s="8"/>
      <c r="G8942" s="11"/>
    </row>
    <row r="8943" spans="3:7" x14ac:dyDescent="0.25">
      <c r="C8943" s="8"/>
      <c r="G8943" s="11"/>
    </row>
    <row r="8944" spans="3:7" x14ac:dyDescent="0.25">
      <c r="C8944" s="8"/>
      <c r="G8944" s="11"/>
    </row>
    <row r="8945" spans="3:7" x14ac:dyDescent="0.25">
      <c r="C8945" s="8"/>
      <c r="G8945" s="11"/>
    </row>
    <row r="8946" spans="3:7" x14ac:dyDescent="0.25">
      <c r="C8946" s="8"/>
      <c r="G8946" s="11"/>
    </row>
    <row r="8947" spans="3:7" x14ac:dyDescent="0.25">
      <c r="C8947" s="8"/>
      <c r="G8947" s="11"/>
    </row>
    <row r="8948" spans="3:7" x14ac:dyDescent="0.25">
      <c r="C8948" s="8"/>
      <c r="G8948" s="11"/>
    </row>
    <row r="8949" spans="3:7" x14ac:dyDescent="0.25">
      <c r="C8949" s="8"/>
      <c r="G8949" s="11"/>
    </row>
    <row r="8950" spans="3:7" x14ac:dyDescent="0.25">
      <c r="C8950" s="8"/>
      <c r="G8950" s="11"/>
    </row>
    <row r="8951" spans="3:7" x14ac:dyDescent="0.25">
      <c r="C8951" s="8"/>
      <c r="G8951" s="11"/>
    </row>
    <row r="8952" spans="3:7" x14ac:dyDescent="0.25">
      <c r="C8952" s="8"/>
      <c r="G8952" s="11"/>
    </row>
    <row r="8953" spans="3:7" x14ac:dyDescent="0.25">
      <c r="C8953" s="8"/>
      <c r="G8953" s="11"/>
    </row>
    <row r="8954" spans="3:7" x14ac:dyDescent="0.25">
      <c r="C8954" s="8"/>
      <c r="G8954" s="11"/>
    </row>
    <row r="8955" spans="3:7" x14ac:dyDescent="0.25">
      <c r="C8955" s="8"/>
      <c r="G8955" s="11"/>
    </row>
    <row r="8956" spans="3:7" x14ac:dyDescent="0.25">
      <c r="C8956" s="8"/>
      <c r="G8956" s="11"/>
    </row>
    <row r="8957" spans="3:7" x14ac:dyDescent="0.25">
      <c r="C8957" s="8"/>
      <c r="G8957" s="11"/>
    </row>
    <row r="8958" spans="3:7" x14ac:dyDescent="0.25">
      <c r="C8958" s="8"/>
      <c r="G8958" s="11"/>
    </row>
    <row r="8959" spans="3:7" x14ac:dyDescent="0.25">
      <c r="C8959" s="8"/>
      <c r="G8959" s="11"/>
    </row>
    <row r="8960" spans="3:7" x14ac:dyDescent="0.25">
      <c r="C8960" s="8"/>
      <c r="G8960" s="11"/>
    </row>
    <row r="8961" spans="3:7" x14ac:dyDescent="0.25">
      <c r="C8961" s="8"/>
      <c r="G8961" s="11"/>
    </row>
    <row r="8962" spans="3:7" x14ac:dyDescent="0.25">
      <c r="C8962" s="8"/>
      <c r="G8962" s="11"/>
    </row>
    <row r="8963" spans="3:7" x14ac:dyDescent="0.25">
      <c r="C8963" s="8"/>
      <c r="G8963" s="11"/>
    </row>
    <row r="8964" spans="3:7" x14ac:dyDescent="0.25">
      <c r="C8964" s="8"/>
      <c r="G8964" s="11"/>
    </row>
    <row r="8965" spans="3:7" x14ac:dyDescent="0.25">
      <c r="C8965" s="8"/>
      <c r="G8965" s="11"/>
    </row>
    <row r="8966" spans="3:7" x14ac:dyDescent="0.25">
      <c r="C8966" s="8"/>
      <c r="G8966" s="11"/>
    </row>
    <row r="8967" spans="3:7" x14ac:dyDescent="0.25">
      <c r="C8967" s="8"/>
      <c r="G8967" s="11"/>
    </row>
    <row r="8968" spans="3:7" x14ac:dyDescent="0.25">
      <c r="C8968" s="8"/>
      <c r="G8968" s="11"/>
    </row>
    <row r="8969" spans="3:7" x14ac:dyDescent="0.25">
      <c r="C8969" s="8"/>
      <c r="G8969" s="11"/>
    </row>
    <row r="8970" spans="3:7" x14ac:dyDescent="0.25">
      <c r="C8970" s="8"/>
      <c r="G8970" s="11"/>
    </row>
    <row r="8971" spans="3:7" x14ac:dyDescent="0.25">
      <c r="C8971" s="8"/>
      <c r="G8971" s="11"/>
    </row>
    <row r="8972" spans="3:7" x14ac:dyDescent="0.25">
      <c r="C8972" s="8"/>
      <c r="G8972" s="11"/>
    </row>
    <row r="8973" spans="3:7" x14ac:dyDescent="0.25">
      <c r="C8973" s="8"/>
      <c r="G8973" s="11"/>
    </row>
    <row r="8974" spans="3:7" x14ac:dyDescent="0.25">
      <c r="C8974" s="8"/>
      <c r="G8974" s="11"/>
    </row>
    <row r="8975" spans="3:7" x14ac:dyDescent="0.25">
      <c r="C8975" s="8"/>
      <c r="G8975" s="11"/>
    </row>
    <row r="8976" spans="3:7" x14ac:dyDescent="0.25">
      <c r="C8976" s="8"/>
      <c r="G8976" s="11"/>
    </row>
    <row r="8977" spans="3:7" x14ac:dyDescent="0.25">
      <c r="C8977" s="8"/>
      <c r="G8977" s="11"/>
    </row>
    <row r="8978" spans="3:7" x14ac:dyDescent="0.25">
      <c r="C8978" s="8"/>
      <c r="G8978" s="11"/>
    </row>
    <row r="8979" spans="3:7" x14ac:dyDescent="0.25">
      <c r="C8979" s="8"/>
      <c r="G8979" s="11"/>
    </row>
    <row r="8980" spans="3:7" x14ac:dyDescent="0.25">
      <c r="C8980" s="8"/>
      <c r="G8980" s="11"/>
    </row>
    <row r="8981" spans="3:7" x14ac:dyDescent="0.25">
      <c r="C8981" s="8"/>
      <c r="G8981" s="11"/>
    </row>
    <row r="8982" spans="3:7" x14ac:dyDescent="0.25">
      <c r="C8982" s="8"/>
      <c r="G8982" s="11"/>
    </row>
    <row r="8983" spans="3:7" x14ac:dyDescent="0.25">
      <c r="C8983" s="8"/>
      <c r="G8983" s="11"/>
    </row>
    <row r="8984" spans="3:7" x14ac:dyDescent="0.25">
      <c r="C8984" s="8"/>
      <c r="G8984" s="11"/>
    </row>
    <row r="8985" spans="3:7" x14ac:dyDescent="0.25">
      <c r="C8985" s="8"/>
      <c r="G8985" s="11"/>
    </row>
    <row r="8986" spans="3:7" x14ac:dyDescent="0.25">
      <c r="C8986" s="8"/>
      <c r="G8986" s="11"/>
    </row>
    <row r="8987" spans="3:7" x14ac:dyDescent="0.25">
      <c r="C8987" s="8"/>
      <c r="G8987" s="11"/>
    </row>
    <row r="8988" spans="3:7" x14ac:dyDescent="0.25">
      <c r="C8988" s="8"/>
      <c r="G8988" s="11"/>
    </row>
    <row r="8989" spans="3:7" x14ac:dyDescent="0.25">
      <c r="C8989" s="8"/>
      <c r="G8989" s="11"/>
    </row>
    <row r="8990" spans="3:7" x14ac:dyDescent="0.25">
      <c r="C8990" s="8"/>
      <c r="G8990" s="11"/>
    </row>
    <row r="8991" spans="3:7" x14ac:dyDescent="0.25">
      <c r="C8991" s="8"/>
      <c r="G8991" s="11"/>
    </row>
    <row r="8992" spans="3:7" x14ac:dyDescent="0.25">
      <c r="C8992" s="8"/>
      <c r="G8992" s="11"/>
    </row>
    <row r="8993" spans="3:7" x14ac:dyDescent="0.25">
      <c r="C8993" s="8"/>
      <c r="G8993" s="11"/>
    </row>
    <row r="8994" spans="3:7" x14ac:dyDescent="0.25">
      <c r="C8994" s="8"/>
      <c r="G8994" s="11"/>
    </row>
    <row r="8995" spans="3:7" x14ac:dyDescent="0.25">
      <c r="C8995" s="8"/>
      <c r="G8995" s="11"/>
    </row>
    <row r="8996" spans="3:7" x14ac:dyDescent="0.25">
      <c r="C8996" s="8"/>
      <c r="G8996" s="11"/>
    </row>
    <row r="8997" spans="3:7" x14ac:dyDescent="0.25">
      <c r="C8997" s="8"/>
      <c r="G8997" s="11"/>
    </row>
    <row r="8998" spans="3:7" x14ac:dyDescent="0.25">
      <c r="C8998" s="8"/>
      <c r="G8998" s="11"/>
    </row>
    <row r="8999" spans="3:7" x14ac:dyDescent="0.25">
      <c r="C8999" s="8"/>
      <c r="G8999" s="11"/>
    </row>
    <row r="9000" spans="3:7" x14ac:dyDescent="0.25">
      <c r="C9000" s="8"/>
      <c r="G9000" s="11"/>
    </row>
    <row r="9001" spans="3:7" x14ac:dyDescent="0.25">
      <c r="C9001" s="8"/>
      <c r="G9001" s="11"/>
    </row>
    <row r="9002" spans="3:7" x14ac:dyDescent="0.25">
      <c r="C9002" s="8"/>
      <c r="G9002" s="11"/>
    </row>
    <row r="9003" spans="3:7" x14ac:dyDescent="0.25">
      <c r="C9003" s="8"/>
      <c r="G9003" s="11"/>
    </row>
    <row r="9004" spans="3:7" x14ac:dyDescent="0.25">
      <c r="C9004" s="8"/>
      <c r="G9004" s="11"/>
    </row>
    <row r="9005" spans="3:7" x14ac:dyDescent="0.25">
      <c r="C9005" s="8"/>
      <c r="G9005" s="11"/>
    </row>
    <row r="9006" spans="3:7" x14ac:dyDescent="0.25">
      <c r="C9006" s="8"/>
      <c r="G9006" s="11"/>
    </row>
    <row r="9007" spans="3:7" x14ac:dyDescent="0.25">
      <c r="C9007" s="8"/>
      <c r="G9007" s="11"/>
    </row>
    <row r="9008" spans="3:7" x14ac:dyDescent="0.25">
      <c r="C9008" s="8"/>
      <c r="G9008" s="11"/>
    </row>
    <row r="9009" spans="3:7" x14ac:dyDescent="0.25">
      <c r="C9009" s="8"/>
      <c r="G9009" s="11"/>
    </row>
    <row r="9010" spans="3:7" x14ac:dyDescent="0.25">
      <c r="C9010" s="8"/>
      <c r="G9010" s="11"/>
    </row>
    <row r="9011" spans="3:7" x14ac:dyDescent="0.25">
      <c r="C9011" s="8"/>
      <c r="G9011" s="11"/>
    </row>
    <row r="9012" spans="3:7" x14ac:dyDescent="0.25">
      <c r="C9012" s="8"/>
      <c r="G9012" s="11"/>
    </row>
    <row r="9013" spans="3:7" x14ac:dyDescent="0.25">
      <c r="C9013" s="8"/>
      <c r="G9013" s="11"/>
    </row>
    <row r="9014" spans="3:7" x14ac:dyDescent="0.25">
      <c r="C9014" s="8"/>
      <c r="G9014" s="11"/>
    </row>
    <row r="9015" spans="3:7" x14ac:dyDescent="0.25">
      <c r="C9015" s="8"/>
      <c r="G9015" s="11"/>
    </row>
    <row r="9016" spans="3:7" x14ac:dyDescent="0.25">
      <c r="C9016" s="8"/>
      <c r="G9016" s="11"/>
    </row>
    <row r="9017" spans="3:7" x14ac:dyDescent="0.25">
      <c r="C9017" s="8"/>
      <c r="G9017" s="11"/>
    </row>
    <row r="9018" spans="3:7" x14ac:dyDescent="0.25">
      <c r="C9018" s="8"/>
      <c r="G9018" s="11"/>
    </row>
    <row r="9019" spans="3:7" x14ac:dyDescent="0.25">
      <c r="C9019" s="8"/>
      <c r="G9019" s="11"/>
    </row>
    <row r="9020" spans="3:7" x14ac:dyDescent="0.25">
      <c r="C9020" s="8"/>
      <c r="G9020" s="11"/>
    </row>
    <row r="9021" spans="3:7" x14ac:dyDescent="0.25">
      <c r="C9021" s="8"/>
      <c r="G9021" s="11"/>
    </row>
    <row r="9022" spans="3:7" x14ac:dyDescent="0.25">
      <c r="C9022" s="8"/>
      <c r="G9022" s="11"/>
    </row>
    <row r="9023" spans="3:7" x14ac:dyDescent="0.25">
      <c r="C9023" s="8"/>
      <c r="G9023" s="11"/>
    </row>
    <row r="9024" spans="3:7" x14ac:dyDescent="0.25">
      <c r="C9024" s="8"/>
      <c r="G9024" s="11"/>
    </row>
    <row r="9025" spans="3:7" x14ac:dyDescent="0.25">
      <c r="C9025" s="8"/>
      <c r="G9025" s="11"/>
    </row>
    <row r="9026" spans="3:7" x14ac:dyDescent="0.25">
      <c r="C9026" s="8"/>
      <c r="G9026" s="11"/>
    </row>
    <row r="9027" spans="3:7" x14ac:dyDescent="0.25">
      <c r="C9027" s="8"/>
      <c r="G9027" s="11"/>
    </row>
    <row r="9028" spans="3:7" x14ac:dyDescent="0.25">
      <c r="C9028" s="8"/>
      <c r="G9028" s="11"/>
    </row>
    <row r="9029" spans="3:7" x14ac:dyDescent="0.25">
      <c r="C9029" s="8"/>
      <c r="G9029" s="11"/>
    </row>
    <row r="9030" spans="3:7" x14ac:dyDescent="0.25">
      <c r="C9030" s="8"/>
      <c r="G9030" s="11"/>
    </row>
    <row r="9031" spans="3:7" x14ac:dyDescent="0.25">
      <c r="C9031" s="8"/>
      <c r="G9031" s="11"/>
    </row>
    <row r="9032" spans="3:7" x14ac:dyDescent="0.25">
      <c r="C9032" s="8"/>
      <c r="G9032" s="11"/>
    </row>
    <row r="9033" spans="3:7" x14ac:dyDescent="0.25">
      <c r="C9033" s="8"/>
      <c r="G9033" s="11"/>
    </row>
    <row r="9034" spans="3:7" x14ac:dyDescent="0.25">
      <c r="C9034" s="8"/>
      <c r="G9034" s="11"/>
    </row>
    <row r="9035" spans="3:7" x14ac:dyDescent="0.25">
      <c r="C9035" s="8"/>
      <c r="G9035" s="11"/>
    </row>
    <row r="9036" spans="3:7" x14ac:dyDescent="0.25">
      <c r="C9036" s="8"/>
      <c r="G9036" s="11"/>
    </row>
    <row r="9037" spans="3:7" x14ac:dyDescent="0.25">
      <c r="C9037" s="8"/>
      <c r="G9037" s="11"/>
    </row>
    <row r="9038" spans="3:7" x14ac:dyDescent="0.25">
      <c r="C9038" s="8"/>
      <c r="G9038" s="11"/>
    </row>
    <row r="9039" spans="3:7" x14ac:dyDescent="0.25">
      <c r="C9039" s="8"/>
      <c r="G9039" s="11"/>
    </row>
    <row r="9040" spans="3:7" x14ac:dyDescent="0.25">
      <c r="C9040" s="8"/>
      <c r="G9040" s="11"/>
    </row>
    <row r="9041" spans="3:7" x14ac:dyDescent="0.25">
      <c r="C9041" s="8"/>
      <c r="G9041" s="11"/>
    </row>
    <row r="9042" spans="3:7" x14ac:dyDescent="0.25">
      <c r="C9042" s="8"/>
      <c r="G9042" s="11"/>
    </row>
    <row r="9043" spans="3:7" x14ac:dyDescent="0.25">
      <c r="C9043" s="8"/>
      <c r="G9043" s="11"/>
    </row>
    <row r="9044" spans="3:7" x14ac:dyDescent="0.25">
      <c r="C9044" s="8"/>
      <c r="G9044" s="11"/>
    </row>
    <row r="9045" spans="3:7" x14ac:dyDescent="0.25">
      <c r="C9045" s="8"/>
      <c r="G9045" s="11"/>
    </row>
    <row r="9046" spans="3:7" x14ac:dyDescent="0.25">
      <c r="C9046" s="8"/>
      <c r="G9046" s="11"/>
    </row>
    <row r="9047" spans="3:7" x14ac:dyDescent="0.25">
      <c r="C9047" s="8"/>
      <c r="G9047" s="11"/>
    </row>
    <row r="9048" spans="3:7" x14ac:dyDescent="0.25">
      <c r="C9048" s="8"/>
      <c r="G9048" s="11"/>
    </row>
    <row r="9049" spans="3:7" x14ac:dyDescent="0.25">
      <c r="C9049" s="8"/>
      <c r="G9049" s="11"/>
    </row>
    <row r="9050" spans="3:7" x14ac:dyDescent="0.25">
      <c r="C9050" s="8"/>
      <c r="G9050" s="11"/>
    </row>
    <row r="9051" spans="3:7" x14ac:dyDescent="0.25">
      <c r="C9051" s="8"/>
      <c r="G9051" s="11"/>
    </row>
    <row r="9052" spans="3:7" x14ac:dyDescent="0.25">
      <c r="C9052" s="8"/>
      <c r="G9052" s="11"/>
    </row>
    <row r="9053" spans="3:7" x14ac:dyDescent="0.25">
      <c r="C9053" s="8"/>
      <c r="G9053" s="11"/>
    </row>
    <row r="9054" spans="3:7" x14ac:dyDescent="0.25">
      <c r="C9054" s="8"/>
      <c r="G9054" s="11"/>
    </row>
    <row r="9055" spans="3:7" x14ac:dyDescent="0.25">
      <c r="C9055" s="8"/>
      <c r="G9055" s="11"/>
    </row>
    <row r="9056" spans="3:7" x14ac:dyDescent="0.25">
      <c r="C9056" s="8"/>
      <c r="G9056" s="11"/>
    </row>
    <row r="9057" spans="3:7" x14ac:dyDescent="0.25">
      <c r="C9057" s="8"/>
      <c r="G9057" s="11"/>
    </row>
    <row r="9058" spans="3:7" x14ac:dyDescent="0.25">
      <c r="C9058" s="8"/>
      <c r="G9058" s="11"/>
    </row>
    <row r="9059" spans="3:7" x14ac:dyDescent="0.25">
      <c r="C9059" s="8"/>
      <c r="G9059" s="11"/>
    </row>
    <row r="9060" spans="3:7" x14ac:dyDescent="0.25">
      <c r="C9060" s="8"/>
      <c r="G9060" s="11"/>
    </row>
    <row r="9061" spans="3:7" x14ac:dyDescent="0.25">
      <c r="C9061" s="8"/>
      <c r="G9061" s="11"/>
    </row>
    <row r="9062" spans="3:7" x14ac:dyDescent="0.25">
      <c r="C9062" s="8"/>
      <c r="G9062" s="11"/>
    </row>
    <row r="9063" spans="3:7" x14ac:dyDescent="0.25">
      <c r="C9063" s="8"/>
      <c r="G9063" s="11"/>
    </row>
    <row r="9064" spans="3:7" x14ac:dyDescent="0.25">
      <c r="C9064" s="8"/>
      <c r="G9064" s="11"/>
    </row>
    <row r="9065" spans="3:7" x14ac:dyDescent="0.25">
      <c r="C9065" s="8"/>
      <c r="G9065" s="11"/>
    </row>
    <row r="9066" spans="3:7" x14ac:dyDescent="0.25">
      <c r="C9066" s="8"/>
      <c r="G9066" s="11"/>
    </row>
    <row r="9067" spans="3:7" x14ac:dyDescent="0.25">
      <c r="C9067" s="8"/>
      <c r="G9067" s="11"/>
    </row>
    <row r="9068" spans="3:7" x14ac:dyDescent="0.25">
      <c r="C9068" s="8"/>
      <c r="G9068" s="11"/>
    </row>
    <row r="9069" spans="3:7" x14ac:dyDescent="0.25">
      <c r="C9069" s="8"/>
      <c r="G9069" s="11"/>
    </row>
    <row r="9070" spans="3:7" x14ac:dyDescent="0.25">
      <c r="C9070" s="8"/>
      <c r="G9070" s="11"/>
    </row>
    <row r="9071" spans="3:7" x14ac:dyDescent="0.25">
      <c r="C9071" s="8"/>
      <c r="G9071" s="11"/>
    </row>
    <row r="9072" spans="3:7" x14ac:dyDescent="0.25">
      <c r="C9072" s="8"/>
      <c r="G9072" s="11"/>
    </row>
    <row r="9073" spans="3:7" x14ac:dyDescent="0.25">
      <c r="C9073" s="8"/>
      <c r="G9073" s="11"/>
    </row>
    <row r="9074" spans="3:7" x14ac:dyDescent="0.25">
      <c r="C9074" s="8"/>
      <c r="G9074" s="11"/>
    </row>
    <row r="9075" spans="3:7" x14ac:dyDescent="0.25">
      <c r="C9075" s="8"/>
      <c r="G9075" s="11"/>
    </row>
    <row r="9076" spans="3:7" x14ac:dyDescent="0.25">
      <c r="C9076" s="8"/>
      <c r="G9076" s="11"/>
    </row>
    <row r="9077" spans="3:7" x14ac:dyDescent="0.25">
      <c r="C9077" s="8"/>
      <c r="G9077" s="11"/>
    </row>
    <row r="9078" spans="3:7" x14ac:dyDescent="0.25">
      <c r="C9078" s="8"/>
      <c r="G9078" s="11"/>
    </row>
    <row r="9079" spans="3:7" x14ac:dyDescent="0.25">
      <c r="C9079" s="8"/>
      <c r="G9079" s="11"/>
    </row>
    <row r="9080" spans="3:7" x14ac:dyDescent="0.25">
      <c r="C9080" s="8"/>
      <c r="G9080" s="11"/>
    </row>
    <row r="9081" spans="3:7" x14ac:dyDescent="0.25">
      <c r="C9081" s="8"/>
      <c r="G9081" s="11"/>
    </row>
    <row r="9082" spans="3:7" x14ac:dyDescent="0.25">
      <c r="C9082" s="8"/>
      <c r="G9082" s="11"/>
    </row>
    <row r="9083" spans="3:7" x14ac:dyDescent="0.25">
      <c r="C9083" s="8"/>
      <c r="G9083" s="11"/>
    </row>
    <row r="9084" spans="3:7" x14ac:dyDescent="0.25">
      <c r="C9084" s="8"/>
      <c r="G9084" s="11"/>
    </row>
    <row r="9085" spans="3:7" x14ac:dyDescent="0.25">
      <c r="C9085" s="8"/>
      <c r="G9085" s="11"/>
    </row>
    <row r="9086" spans="3:7" x14ac:dyDescent="0.25">
      <c r="C9086" s="8"/>
      <c r="G9086" s="11"/>
    </row>
    <row r="9087" spans="3:7" x14ac:dyDescent="0.25">
      <c r="C9087" s="8"/>
      <c r="G9087" s="11"/>
    </row>
    <row r="9088" spans="3:7" x14ac:dyDescent="0.25">
      <c r="C9088" s="8"/>
      <c r="G9088" s="11"/>
    </row>
    <row r="9089" spans="3:7" x14ac:dyDescent="0.25">
      <c r="C9089" s="8"/>
      <c r="G9089" s="11"/>
    </row>
    <row r="9090" spans="3:7" x14ac:dyDescent="0.25">
      <c r="C9090" s="8"/>
      <c r="G9090" s="11"/>
    </row>
    <row r="9091" spans="3:7" x14ac:dyDescent="0.25">
      <c r="C9091" s="8"/>
      <c r="G9091" s="11"/>
    </row>
    <row r="9092" spans="3:7" x14ac:dyDescent="0.25">
      <c r="C9092" s="8"/>
      <c r="G9092" s="11"/>
    </row>
    <row r="9093" spans="3:7" x14ac:dyDescent="0.25">
      <c r="C9093" s="8"/>
      <c r="G9093" s="11"/>
    </row>
    <row r="9094" spans="3:7" x14ac:dyDescent="0.25">
      <c r="C9094" s="8"/>
      <c r="G9094" s="11"/>
    </row>
    <row r="9095" spans="3:7" x14ac:dyDescent="0.25">
      <c r="C9095" s="8"/>
      <c r="G9095" s="11"/>
    </row>
    <row r="9096" spans="3:7" x14ac:dyDescent="0.25">
      <c r="C9096" s="8"/>
      <c r="G9096" s="11"/>
    </row>
    <row r="9097" spans="3:7" x14ac:dyDescent="0.25">
      <c r="C9097" s="8"/>
      <c r="G9097" s="11"/>
    </row>
    <row r="9098" spans="3:7" x14ac:dyDescent="0.25">
      <c r="C9098" s="8"/>
      <c r="G9098" s="11"/>
    </row>
    <row r="9099" spans="3:7" x14ac:dyDescent="0.25">
      <c r="C9099" s="8"/>
      <c r="G9099" s="11"/>
    </row>
    <row r="9100" spans="3:7" x14ac:dyDescent="0.25">
      <c r="C9100" s="8"/>
      <c r="G9100" s="11"/>
    </row>
    <row r="9101" spans="3:7" x14ac:dyDescent="0.25">
      <c r="C9101" s="8"/>
      <c r="G9101" s="11"/>
    </row>
    <row r="9102" spans="3:7" x14ac:dyDescent="0.25">
      <c r="C9102" s="8"/>
      <c r="G9102" s="11"/>
    </row>
    <row r="9103" spans="3:7" x14ac:dyDescent="0.25">
      <c r="C9103" s="8"/>
      <c r="G9103" s="11"/>
    </row>
    <row r="9104" spans="3:7" x14ac:dyDescent="0.25">
      <c r="C9104" s="8"/>
      <c r="G9104" s="11"/>
    </row>
    <row r="9105" spans="3:7" x14ac:dyDescent="0.25">
      <c r="C9105" s="8"/>
      <c r="G9105" s="11"/>
    </row>
    <row r="9106" spans="3:7" x14ac:dyDescent="0.25">
      <c r="C9106" s="8"/>
      <c r="G9106" s="11"/>
    </row>
    <row r="9107" spans="3:7" x14ac:dyDescent="0.25">
      <c r="C9107" s="8"/>
      <c r="G9107" s="11"/>
    </row>
    <row r="9108" spans="3:7" x14ac:dyDescent="0.25">
      <c r="C9108" s="8"/>
      <c r="G9108" s="11"/>
    </row>
    <row r="9109" spans="3:7" x14ac:dyDescent="0.25">
      <c r="C9109" s="8"/>
      <c r="G9109" s="11"/>
    </row>
    <row r="9110" spans="3:7" x14ac:dyDescent="0.25">
      <c r="C9110" s="8"/>
      <c r="G9110" s="11"/>
    </row>
    <row r="9111" spans="3:7" x14ac:dyDescent="0.25">
      <c r="C9111" s="8"/>
      <c r="G9111" s="11"/>
    </row>
    <row r="9112" spans="3:7" x14ac:dyDescent="0.25">
      <c r="C9112" s="8"/>
      <c r="G9112" s="11"/>
    </row>
    <row r="9113" spans="3:7" x14ac:dyDescent="0.25">
      <c r="C9113" s="8"/>
      <c r="G9113" s="11"/>
    </row>
    <row r="9114" spans="3:7" x14ac:dyDescent="0.25">
      <c r="C9114" s="8"/>
      <c r="G9114" s="11"/>
    </row>
    <row r="9115" spans="3:7" x14ac:dyDescent="0.25">
      <c r="C9115" s="8"/>
      <c r="G9115" s="11"/>
    </row>
    <row r="9116" spans="3:7" x14ac:dyDescent="0.25">
      <c r="C9116" s="8"/>
      <c r="G9116" s="11"/>
    </row>
    <row r="9117" spans="3:7" x14ac:dyDescent="0.25">
      <c r="C9117" s="8"/>
      <c r="G9117" s="11"/>
    </row>
    <row r="9118" spans="3:7" x14ac:dyDescent="0.25">
      <c r="C9118" s="8"/>
      <c r="G9118" s="11"/>
    </row>
    <row r="9119" spans="3:7" x14ac:dyDescent="0.25">
      <c r="C9119" s="8"/>
      <c r="G9119" s="11"/>
    </row>
    <row r="9120" spans="3:7" x14ac:dyDescent="0.25">
      <c r="C9120" s="8"/>
      <c r="G9120" s="11"/>
    </row>
    <row r="9121" spans="3:7" x14ac:dyDescent="0.25">
      <c r="C9121" s="8"/>
      <c r="G9121" s="11"/>
    </row>
    <row r="9122" spans="3:7" x14ac:dyDescent="0.25">
      <c r="C9122" s="8"/>
      <c r="G9122" s="11"/>
    </row>
    <row r="9123" spans="3:7" x14ac:dyDescent="0.25">
      <c r="C9123" s="8"/>
      <c r="G9123" s="11"/>
    </row>
    <row r="9124" spans="3:7" x14ac:dyDescent="0.25">
      <c r="C9124" s="8"/>
      <c r="G9124" s="11"/>
    </row>
    <row r="9125" spans="3:7" x14ac:dyDescent="0.25">
      <c r="C9125" s="8"/>
      <c r="G9125" s="11"/>
    </row>
    <row r="9126" spans="3:7" x14ac:dyDescent="0.25">
      <c r="C9126" s="8"/>
      <c r="G9126" s="11"/>
    </row>
    <row r="9127" spans="3:7" x14ac:dyDescent="0.25">
      <c r="C9127" s="8"/>
      <c r="G9127" s="11"/>
    </row>
    <row r="9128" spans="3:7" x14ac:dyDescent="0.25">
      <c r="C9128" s="8"/>
      <c r="G9128" s="11"/>
    </row>
    <row r="9129" spans="3:7" x14ac:dyDescent="0.25">
      <c r="C9129" s="8"/>
      <c r="G9129" s="11"/>
    </row>
    <row r="9130" spans="3:7" x14ac:dyDescent="0.25">
      <c r="C9130" s="8"/>
      <c r="G9130" s="11"/>
    </row>
    <row r="9131" spans="3:7" x14ac:dyDescent="0.25">
      <c r="C9131" s="8"/>
      <c r="G9131" s="11"/>
    </row>
    <row r="9132" spans="3:7" x14ac:dyDescent="0.25">
      <c r="C9132" s="8"/>
      <c r="G9132" s="11"/>
    </row>
    <row r="9133" spans="3:7" x14ac:dyDescent="0.25">
      <c r="C9133" s="8"/>
      <c r="G9133" s="11"/>
    </row>
    <row r="9134" spans="3:7" x14ac:dyDescent="0.25">
      <c r="C9134" s="8"/>
      <c r="G9134" s="11"/>
    </row>
    <row r="9135" spans="3:7" x14ac:dyDescent="0.25">
      <c r="C9135" s="8"/>
      <c r="G9135" s="11"/>
    </row>
    <row r="9136" spans="3:7" x14ac:dyDescent="0.25">
      <c r="C9136" s="8"/>
      <c r="G9136" s="11"/>
    </row>
    <row r="9137" spans="3:7" x14ac:dyDescent="0.25">
      <c r="C9137" s="8"/>
      <c r="G9137" s="11"/>
    </row>
    <row r="9138" spans="3:7" x14ac:dyDescent="0.25">
      <c r="C9138" s="8"/>
      <c r="G9138" s="11"/>
    </row>
    <row r="9139" spans="3:7" x14ac:dyDescent="0.25">
      <c r="C9139" s="8"/>
      <c r="G9139" s="11"/>
    </row>
    <row r="9140" spans="3:7" x14ac:dyDescent="0.25">
      <c r="C9140" s="8"/>
      <c r="G9140" s="11"/>
    </row>
    <row r="9141" spans="3:7" x14ac:dyDescent="0.25">
      <c r="C9141" s="8"/>
      <c r="G9141" s="11"/>
    </row>
    <row r="9142" spans="3:7" x14ac:dyDescent="0.25">
      <c r="C9142" s="8"/>
      <c r="G9142" s="11"/>
    </row>
    <row r="9143" spans="3:7" x14ac:dyDescent="0.25">
      <c r="C9143" s="8"/>
      <c r="G9143" s="11"/>
    </row>
    <row r="9144" spans="3:7" x14ac:dyDescent="0.25">
      <c r="C9144" s="8"/>
      <c r="G9144" s="11"/>
    </row>
    <row r="9145" spans="3:7" x14ac:dyDescent="0.25">
      <c r="C9145" s="8"/>
      <c r="G9145" s="11"/>
    </row>
    <row r="9146" spans="3:7" x14ac:dyDescent="0.25">
      <c r="C9146" s="8"/>
      <c r="G9146" s="11"/>
    </row>
    <row r="9147" spans="3:7" x14ac:dyDescent="0.25">
      <c r="C9147" s="8"/>
      <c r="G9147" s="11"/>
    </row>
    <row r="9148" spans="3:7" x14ac:dyDescent="0.25">
      <c r="C9148" s="8"/>
      <c r="G9148" s="11"/>
    </row>
    <row r="9149" spans="3:7" x14ac:dyDescent="0.25">
      <c r="C9149" s="8"/>
      <c r="G9149" s="11"/>
    </row>
    <row r="9150" spans="3:7" x14ac:dyDescent="0.25">
      <c r="C9150" s="8"/>
      <c r="G9150" s="11"/>
    </row>
    <row r="9151" spans="3:7" x14ac:dyDescent="0.25">
      <c r="C9151" s="8"/>
      <c r="G9151" s="11"/>
    </row>
    <row r="9152" spans="3:7" x14ac:dyDescent="0.25">
      <c r="C9152" s="8"/>
      <c r="G9152" s="11"/>
    </row>
    <row r="9153" spans="3:7" x14ac:dyDescent="0.25">
      <c r="C9153" s="8"/>
      <c r="G9153" s="11"/>
    </row>
    <row r="9154" spans="3:7" x14ac:dyDescent="0.25">
      <c r="C9154" s="8"/>
      <c r="G9154" s="11"/>
    </row>
    <row r="9155" spans="3:7" x14ac:dyDescent="0.25">
      <c r="C9155" s="8"/>
      <c r="G9155" s="11"/>
    </row>
    <row r="9156" spans="3:7" x14ac:dyDescent="0.25">
      <c r="C9156" s="8"/>
      <c r="G9156" s="11"/>
    </row>
    <row r="9157" spans="3:7" x14ac:dyDescent="0.25">
      <c r="C9157" s="8"/>
      <c r="G9157" s="11"/>
    </row>
    <row r="9158" spans="3:7" x14ac:dyDescent="0.25">
      <c r="C9158" s="8"/>
      <c r="G9158" s="11"/>
    </row>
    <row r="9159" spans="3:7" x14ac:dyDescent="0.25">
      <c r="C9159" s="8"/>
      <c r="G9159" s="11"/>
    </row>
    <row r="9160" spans="3:7" x14ac:dyDescent="0.25">
      <c r="C9160" s="8"/>
      <c r="G9160" s="11"/>
    </row>
    <row r="9161" spans="3:7" x14ac:dyDescent="0.25">
      <c r="C9161" s="8"/>
      <c r="G9161" s="11"/>
    </row>
    <row r="9162" spans="3:7" x14ac:dyDescent="0.25">
      <c r="C9162" s="8"/>
      <c r="G9162" s="11"/>
    </row>
    <row r="9163" spans="3:7" x14ac:dyDescent="0.25">
      <c r="C9163" s="8"/>
      <c r="G9163" s="11"/>
    </row>
    <row r="9164" spans="3:7" x14ac:dyDescent="0.25">
      <c r="C9164" s="8"/>
      <c r="G9164" s="11"/>
    </row>
    <row r="9165" spans="3:7" x14ac:dyDescent="0.25">
      <c r="C9165" s="8"/>
      <c r="G9165" s="11"/>
    </row>
    <row r="9166" spans="3:7" x14ac:dyDescent="0.25">
      <c r="C9166" s="8"/>
      <c r="G9166" s="11"/>
    </row>
    <row r="9167" spans="3:7" x14ac:dyDescent="0.25">
      <c r="C9167" s="8"/>
      <c r="G9167" s="11"/>
    </row>
    <row r="9168" spans="3:7" x14ac:dyDescent="0.25">
      <c r="C9168" s="8"/>
      <c r="G9168" s="11"/>
    </row>
    <row r="9169" spans="3:7" x14ac:dyDescent="0.25">
      <c r="C9169" s="8"/>
      <c r="G9169" s="11"/>
    </row>
    <row r="9170" spans="3:7" x14ac:dyDescent="0.25">
      <c r="C9170" s="8"/>
      <c r="G9170" s="11"/>
    </row>
    <row r="9171" spans="3:7" x14ac:dyDescent="0.25">
      <c r="C9171" s="8"/>
      <c r="G9171" s="11"/>
    </row>
    <row r="9172" spans="3:7" x14ac:dyDescent="0.25">
      <c r="C9172" s="8"/>
      <c r="G9172" s="11"/>
    </row>
    <row r="9173" spans="3:7" x14ac:dyDescent="0.25">
      <c r="C9173" s="8"/>
      <c r="G9173" s="11"/>
    </row>
    <row r="9174" spans="3:7" x14ac:dyDescent="0.25">
      <c r="C9174" s="8"/>
      <c r="G9174" s="11"/>
    </row>
    <row r="9175" spans="3:7" x14ac:dyDescent="0.25">
      <c r="C9175" s="8"/>
      <c r="G9175" s="11"/>
    </row>
    <row r="9176" spans="3:7" x14ac:dyDescent="0.25">
      <c r="C9176" s="8"/>
      <c r="G9176" s="11"/>
    </row>
    <row r="9177" spans="3:7" x14ac:dyDescent="0.25">
      <c r="C9177" s="8"/>
      <c r="G9177" s="11"/>
    </row>
    <row r="9178" spans="3:7" x14ac:dyDescent="0.25">
      <c r="C9178" s="8"/>
      <c r="G9178" s="11"/>
    </row>
    <row r="9179" spans="3:7" x14ac:dyDescent="0.25">
      <c r="C9179" s="8"/>
      <c r="G9179" s="11"/>
    </row>
    <row r="9180" spans="3:7" x14ac:dyDescent="0.25">
      <c r="C9180" s="8"/>
      <c r="G9180" s="11"/>
    </row>
    <row r="9181" spans="3:7" x14ac:dyDescent="0.25">
      <c r="C9181" s="8"/>
      <c r="G9181" s="11"/>
    </row>
    <row r="9182" spans="3:7" x14ac:dyDescent="0.25">
      <c r="C9182" s="8"/>
      <c r="G9182" s="11"/>
    </row>
    <row r="9183" spans="3:7" x14ac:dyDescent="0.25">
      <c r="C9183" s="8"/>
      <c r="G9183" s="11"/>
    </row>
    <row r="9184" spans="3:7" x14ac:dyDescent="0.25">
      <c r="C9184" s="8"/>
      <c r="G9184" s="11"/>
    </row>
    <row r="9185" spans="3:7" x14ac:dyDescent="0.25">
      <c r="C9185" s="8"/>
      <c r="G9185" s="11"/>
    </row>
    <row r="9186" spans="3:7" x14ac:dyDescent="0.25">
      <c r="C9186" s="8"/>
      <c r="G9186" s="11"/>
    </row>
    <row r="9187" spans="3:7" x14ac:dyDescent="0.25">
      <c r="C9187" s="8"/>
      <c r="G9187" s="11"/>
    </row>
    <row r="9188" spans="3:7" x14ac:dyDescent="0.25">
      <c r="C9188" s="8"/>
      <c r="G9188" s="11"/>
    </row>
    <row r="9189" spans="3:7" x14ac:dyDescent="0.25">
      <c r="C9189" s="8"/>
      <c r="G9189" s="11"/>
    </row>
    <row r="9190" spans="3:7" x14ac:dyDescent="0.25">
      <c r="C9190" s="8"/>
      <c r="G9190" s="11"/>
    </row>
    <row r="9191" spans="3:7" x14ac:dyDescent="0.25">
      <c r="C9191" s="8"/>
      <c r="G9191" s="11"/>
    </row>
    <row r="9192" spans="3:7" x14ac:dyDescent="0.25">
      <c r="C9192" s="8"/>
      <c r="G9192" s="11"/>
    </row>
    <row r="9193" spans="3:7" x14ac:dyDescent="0.25">
      <c r="C9193" s="8"/>
      <c r="G9193" s="11"/>
    </row>
    <row r="9194" spans="3:7" x14ac:dyDescent="0.25">
      <c r="C9194" s="8"/>
      <c r="G9194" s="11"/>
    </row>
    <row r="9195" spans="3:7" x14ac:dyDescent="0.25">
      <c r="C9195" s="8"/>
      <c r="G9195" s="11"/>
    </row>
    <row r="9196" spans="3:7" x14ac:dyDescent="0.25">
      <c r="C9196" s="8"/>
      <c r="G9196" s="11"/>
    </row>
    <row r="9197" spans="3:7" x14ac:dyDescent="0.25">
      <c r="C9197" s="8"/>
      <c r="G9197" s="11"/>
    </row>
    <row r="9198" spans="3:7" x14ac:dyDescent="0.25">
      <c r="C9198" s="8"/>
      <c r="G9198" s="11"/>
    </row>
    <row r="9199" spans="3:7" x14ac:dyDescent="0.25">
      <c r="C9199" s="8"/>
      <c r="G9199" s="11"/>
    </row>
    <row r="9200" spans="3:7" x14ac:dyDescent="0.25">
      <c r="C9200" s="8"/>
      <c r="G9200" s="11"/>
    </row>
    <row r="9201" spans="3:7" x14ac:dyDescent="0.25">
      <c r="C9201" s="8"/>
      <c r="G9201" s="11"/>
    </row>
    <row r="9202" spans="3:7" x14ac:dyDescent="0.25">
      <c r="C9202" s="8"/>
      <c r="G9202" s="11"/>
    </row>
    <row r="9203" spans="3:7" x14ac:dyDescent="0.25">
      <c r="C9203" s="8"/>
      <c r="G9203" s="11"/>
    </row>
    <row r="9204" spans="3:7" x14ac:dyDescent="0.25">
      <c r="C9204" s="8"/>
      <c r="G9204" s="11"/>
    </row>
    <row r="9205" spans="3:7" x14ac:dyDescent="0.25">
      <c r="C9205" s="8"/>
      <c r="G9205" s="11"/>
    </row>
    <row r="9206" spans="3:7" x14ac:dyDescent="0.25">
      <c r="C9206" s="8"/>
      <c r="G9206" s="11"/>
    </row>
    <row r="9207" spans="3:7" x14ac:dyDescent="0.25">
      <c r="C9207" s="8"/>
      <c r="G9207" s="11"/>
    </row>
    <row r="9208" spans="3:7" x14ac:dyDescent="0.25">
      <c r="C9208" s="8"/>
      <c r="G9208" s="11"/>
    </row>
    <row r="9209" spans="3:7" x14ac:dyDescent="0.25">
      <c r="C9209" s="8"/>
      <c r="G9209" s="11"/>
    </row>
    <row r="9210" spans="3:7" x14ac:dyDescent="0.25">
      <c r="C9210" s="8"/>
      <c r="G9210" s="11"/>
    </row>
    <row r="9211" spans="3:7" x14ac:dyDescent="0.25">
      <c r="C9211" s="8"/>
      <c r="G9211" s="11"/>
    </row>
    <row r="9212" spans="3:7" x14ac:dyDescent="0.25">
      <c r="C9212" s="8"/>
      <c r="G9212" s="11"/>
    </row>
    <row r="9213" spans="3:7" x14ac:dyDescent="0.25">
      <c r="C9213" s="8"/>
      <c r="G9213" s="11"/>
    </row>
    <row r="9214" spans="3:7" x14ac:dyDescent="0.25">
      <c r="C9214" s="8"/>
      <c r="G9214" s="11"/>
    </row>
    <row r="9215" spans="3:7" x14ac:dyDescent="0.25">
      <c r="C9215" s="8"/>
      <c r="G9215" s="11"/>
    </row>
    <row r="9216" spans="3:7" x14ac:dyDescent="0.25">
      <c r="C9216" s="8"/>
      <c r="G9216" s="11"/>
    </row>
    <row r="9217" spans="3:7" x14ac:dyDescent="0.25">
      <c r="C9217" s="8"/>
      <c r="G9217" s="11"/>
    </row>
    <row r="9218" spans="3:7" x14ac:dyDescent="0.25">
      <c r="C9218" s="8"/>
      <c r="G9218" s="11"/>
    </row>
    <row r="9219" spans="3:7" x14ac:dyDescent="0.25">
      <c r="C9219" s="8"/>
      <c r="G9219" s="11"/>
    </row>
    <row r="9220" spans="3:7" x14ac:dyDescent="0.25">
      <c r="C9220" s="8"/>
      <c r="G9220" s="11"/>
    </row>
    <row r="9221" spans="3:7" x14ac:dyDescent="0.25">
      <c r="C9221" s="8"/>
      <c r="G9221" s="11"/>
    </row>
    <row r="9222" spans="3:7" x14ac:dyDescent="0.25">
      <c r="C9222" s="8"/>
      <c r="G9222" s="11"/>
    </row>
    <row r="9223" spans="3:7" x14ac:dyDescent="0.25">
      <c r="C9223" s="8"/>
      <c r="G9223" s="11"/>
    </row>
    <row r="9224" spans="3:7" x14ac:dyDescent="0.25">
      <c r="C9224" s="8"/>
      <c r="G9224" s="11"/>
    </row>
    <row r="9225" spans="3:7" x14ac:dyDescent="0.25">
      <c r="C9225" s="8"/>
      <c r="G9225" s="11"/>
    </row>
    <row r="9226" spans="3:7" x14ac:dyDescent="0.25">
      <c r="C9226" s="8"/>
      <c r="G9226" s="11"/>
    </row>
    <row r="9227" spans="3:7" x14ac:dyDescent="0.25">
      <c r="C9227" s="8"/>
      <c r="G9227" s="11"/>
    </row>
    <row r="9228" spans="3:7" x14ac:dyDescent="0.25">
      <c r="C9228" s="8"/>
      <c r="G9228" s="11"/>
    </row>
    <row r="9229" spans="3:7" x14ac:dyDescent="0.25">
      <c r="C9229" s="8"/>
      <c r="G9229" s="11"/>
    </row>
    <row r="9230" spans="3:7" x14ac:dyDescent="0.25">
      <c r="C9230" s="8"/>
      <c r="G9230" s="11"/>
    </row>
    <row r="9231" spans="3:7" x14ac:dyDescent="0.25">
      <c r="C9231" s="8"/>
      <c r="G9231" s="11"/>
    </row>
    <row r="9232" spans="3:7" x14ac:dyDescent="0.25">
      <c r="C9232" s="8"/>
      <c r="G9232" s="11"/>
    </row>
    <row r="9233" spans="3:7" x14ac:dyDescent="0.25">
      <c r="C9233" s="8"/>
      <c r="G9233" s="11"/>
    </row>
    <row r="9234" spans="3:7" x14ac:dyDescent="0.25">
      <c r="C9234" s="8"/>
      <c r="G9234" s="11"/>
    </row>
    <row r="9235" spans="3:7" x14ac:dyDescent="0.25">
      <c r="C9235" s="8"/>
      <c r="G9235" s="11"/>
    </row>
    <row r="9236" spans="3:7" x14ac:dyDescent="0.25">
      <c r="C9236" s="8"/>
      <c r="G9236" s="11"/>
    </row>
    <row r="9237" spans="3:7" x14ac:dyDescent="0.25">
      <c r="C9237" s="8"/>
      <c r="G9237" s="11"/>
    </row>
    <row r="9238" spans="3:7" x14ac:dyDescent="0.25">
      <c r="C9238" s="8"/>
      <c r="G9238" s="11"/>
    </row>
    <row r="9239" spans="3:7" x14ac:dyDescent="0.25">
      <c r="C9239" s="8"/>
      <c r="G9239" s="11"/>
    </row>
    <row r="9240" spans="3:7" x14ac:dyDescent="0.25">
      <c r="C9240" s="8"/>
      <c r="G9240" s="11"/>
    </row>
    <row r="9241" spans="3:7" x14ac:dyDescent="0.25">
      <c r="C9241" s="8"/>
      <c r="G9241" s="11"/>
    </row>
    <row r="9242" spans="3:7" x14ac:dyDescent="0.25">
      <c r="C9242" s="8"/>
      <c r="G9242" s="11"/>
    </row>
    <row r="9243" spans="3:7" x14ac:dyDescent="0.25">
      <c r="C9243" s="8"/>
      <c r="G9243" s="11"/>
    </row>
    <row r="9244" spans="3:7" x14ac:dyDescent="0.25">
      <c r="C9244" s="8"/>
      <c r="G9244" s="11"/>
    </row>
    <row r="9245" spans="3:7" x14ac:dyDescent="0.25">
      <c r="C9245" s="8"/>
      <c r="G9245" s="11"/>
    </row>
    <row r="9246" spans="3:7" x14ac:dyDescent="0.25">
      <c r="C9246" s="8"/>
      <c r="G9246" s="11"/>
    </row>
    <row r="9247" spans="3:7" x14ac:dyDescent="0.25">
      <c r="C9247" s="8"/>
      <c r="G9247" s="11"/>
    </row>
    <row r="9248" spans="3:7" x14ac:dyDescent="0.25">
      <c r="C9248" s="8"/>
      <c r="G9248" s="11"/>
    </row>
    <row r="9249" spans="3:7" x14ac:dyDescent="0.25">
      <c r="C9249" s="8"/>
      <c r="G9249" s="11"/>
    </row>
    <row r="9250" spans="3:7" x14ac:dyDescent="0.25">
      <c r="C9250" s="8"/>
      <c r="G9250" s="11"/>
    </row>
    <row r="9251" spans="3:7" x14ac:dyDescent="0.25">
      <c r="C9251" s="8"/>
      <c r="G9251" s="11"/>
    </row>
    <row r="9252" spans="3:7" x14ac:dyDescent="0.25">
      <c r="C9252" s="8"/>
      <c r="G9252" s="11"/>
    </row>
    <row r="9253" spans="3:7" x14ac:dyDescent="0.25">
      <c r="C9253" s="8"/>
      <c r="G9253" s="11"/>
    </row>
    <row r="9254" spans="3:7" x14ac:dyDescent="0.25">
      <c r="C9254" s="8"/>
      <c r="G9254" s="11"/>
    </row>
    <row r="9255" spans="3:7" x14ac:dyDescent="0.25">
      <c r="C9255" s="8"/>
      <c r="G9255" s="11"/>
    </row>
    <row r="9256" spans="3:7" x14ac:dyDescent="0.25">
      <c r="C9256" s="8"/>
      <c r="G9256" s="11"/>
    </row>
    <row r="9257" spans="3:7" x14ac:dyDescent="0.25">
      <c r="C9257" s="8"/>
      <c r="G9257" s="11"/>
    </row>
    <row r="9258" spans="3:7" x14ac:dyDescent="0.25">
      <c r="C9258" s="8"/>
      <c r="G9258" s="11"/>
    </row>
    <row r="9259" spans="3:7" x14ac:dyDescent="0.25">
      <c r="C9259" s="8"/>
      <c r="G9259" s="11"/>
    </row>
    <row r="9260" spans="3:7" x14ac:dyDescent="0.25">
      <c r="C9260" s="8"/>
      <c r="G9260" s="11"/>
    </row>
    <row r="9261" spans="3:7" x14ac:dyDescent="0.25">
      <c r="C9261" s="8"/>
      <c r="G9261" s="11"/>
    </row>
    <row r="9262" spans="3:7" x14ac:dyDescent="0.25">
      <c r="C9262" s="8"/>
      <c r="G9262" s="11"/>
    </row>
    <row r="9263" spans="3:7" x14ac:dyDescent="0.25">
      <c r="C9263" s="8"/>
      <c r="G9263" s="11"/>
    </row>
    <row r="9264" spans="3:7" x14ac:dyDescent="0.25">
      <c r="C9264" s="8"/>
      <c r="G9264" s="11"/>
    </row>
    <row r="9265" spans="3:7" x14ac:dyDescent="0.25">
      <c r="C9265" s="8"/>
      <c r="G9265" s="11"/>
    </row>
    <row r="9266" spans="3:7" x14ac:dyDescent="0.25">
      <c r="C9266" s="8"/>
      <c r="G9266" s="11"/>
    </row>
    <row r="9267" spans="3:7" x14ac:dyDescent="0.25">
      <c r="C9267" s="8"/>
      <c r="G9267" s="11"/>
    </row>
    <row r="9268" spans="3:7" x14ac:dyDescent="0.25">
      <c r="C9268" s="8"/>
      <c r="G9268" s="11"/>
    </row>
    <row r="9269" spans="3:7" x14ac:dyDescent="0.25">
      <c r="C9269" s="8"/>
      <c r="G9269" s="11"/>
    </row>
    <row r="9270" spans="3:7" x14ac:dyDescent="0.25">
      <c r="C9270" s="8"/>
      <c r="G9270" s="11"/>
    </row>
    <row r="9271" spans="3:7" x14ac:dyDescent="0.25">
      <c r="C9271" s="8"/>
      <c r="G9271" s="11"/>
    </row>
    <row r="9272" spans="3:7" x14ac:dyDescent="0.25">
      <c r="C9272" s="8"/>
      <c r="G9272" s="11"/>
    </row>
    <row r="9273" spans="3:7" x14ac:dyDescent="0.25">
      <c r="C9273" s="8"/>
      <c r="G9273" s="11"/>
    </row>
    <row r="9274" spans="3:7" x14ac:dyDescent="0.25">
      <c r="C9274" s="8"/>
      <c r="G9274" s="11"/>
    </row>
    <row r="9275" spans="3:7" x14ac:dyDescent="0.25">
      <c r="C9275" s="8"/>
      <c r="G9275" s="11"/>
    </row>
    <row r="9276" spans="3:7" x14ac:dyDescent="0.25">
      <c r="C9276" s="8"/>
      <c r="G9276" s="11"/>
    </row>
    <row r="9277" spans="3:7" x14ac:dyDescent="0.25">
      <c r="C9277" s="8"/>
      <c r="G9277" s="11"/>
    </row>
    <row r="9278" spans="3:7" x14ac:dyDescent="0.25">
      <c r="C9278" s="8"/>
      <c r="G9278" s="11"/>
    </row>
    <row r="9279" spans="3:7" x14ac:dyDescent="0.25">
      <c r="C9279" s="8"/>
      <c r="G9279" s="11"/>
    </row>
    <row r="9280" spans="3:7" x14ac:dyDescent="0.25">
      <c r="C9280" s="8"/>
      <c r="G9280" s="11"/>
    </row>
    <row r="9281" spans="3:7" x14ac:dyDescent="0.25">
      <c r="C9281" s="8"/>
      <c r="G9281" s="11"/>
    </row>
    <row r="9282" spans="3:7" x14ac:dyDescent="0.25">
      <c r="C9282" s="8"/>
      <c r="G9282" s="11"/>
    </row>
    <row r="9283" spans="3:7" x14ac:dyDescent="0.25">
      <c r="C9283" s="8"/>
      <c r="G9283" s="11"/>
    </row>
    <row r="9284" spans="3:7" x14ac:dyDescent="0.25">
      <c r="C9284" s="8"/>
      <c r="G9284" s="11"/>
    </row>
    <row r="9285" spans="3:7" x14ac:dyDescent="0.25">
      <c r="C9285" s="8"/>
      <c r="G9285" s="11"/>
    </row>
    <row r="9286" spans="3:7" x14ac:dyDescent="0.25">
      <c r="C9286" s="8"/>
      <c r="G9286" s="11"/>
    </row>
    <row r="9287" spans="3:7" x14ac:dyDescent="0.25">
      <c r="C9287" s="8"/>
      <c r="G9287" s="11"/>
    </row>
    <row r="9288" spans="3:7" x14ac:dyDescent="0.25">
      <c r="C9288" s="8"/>
      <c r="G9288" s="11"/>
    </row>
    <row r="9289" spans="3:7" x14ac:dyDescent="0.25">
      <c r="C9289" s="8"/>
      <c r="G9289" s="11"/>
    </row>
    <row r="9290" spans="3:7" x14ac:dyDescent="0.25">
      <c r="C9290" s="8"/>
      <c r="G9290" s="11"/>
    </row>
    <row r="9291" spans="3:7" x14ac:dyDescent="0.25">
      <c r="C9291" s="8"/>
      <c r="G9291" s="11"/>
    </row>
    <row r="9292" spans="3:7" x14ac:dyDescent="0.25">
      <c r="C9292" s="8"/>
      <c r="G9292" s="11"/>
    </row>
    <row r="9293" spans="3:7" x14ac:dyDescent="0.25">
      <c r="C9293" s="8"/>
      <c r="G9293" s="11"/>
    </row>
    <row r="9294" spans="3:7" x14ac:dyDescent="0.25">
      <c r="C9294" s="8"/>
      <c r="G9294" s="11"/>
    </row>
    <row r="9295" spans="3:7" x14ac:dyDescent="0.25">
      <c r="C9295" s="8"/>
      <c r="G9295" s="11"/>
    </row>
    <row r="9296" spans="3:7" x14ac:dyDescent="0.25">
      <c r="C9296" s="8"/>
      <c r="G9296" s="11"/>
    </row>
    <row r="9297" spans="3:7" x14ac:dyDescent="0.25">
      <c r="C9297" s="8"/>
      <c r="G9297" s="11"/>
    </row>
    <row r="9298" spans="3:7" x14ac:dyDescent="0.25">
      <c r="C9298" s="8"/>
      <c r="G9298" s="11"/>
    </row>
    <row r="9299" spans="3:7" x14ac:dyDescent="0.25">
      <c r="C9299" s="8"/>
      <c r="G9299" s="11"/>
    </row>
    <row r="9300" spans="3:7" x14ac:dyDescent="0.25">
      <c r="C9300" s="8"/>
      <c r="G9300" s="11"/>
    </row>
    <row r="9301" spans="3:7" x14ac:dyDescent="0.25">
      <c r="C9301" s="8"/>
      <c r="G9301" s="11"/>
    </row>
    <row r="9302" spans="3:7" x14ac:dyDescent="0.25">
      <c r="C9302" s="8"/>
      <c r="G9302" s="11"/>
    </row>
    <row r="9303" spans="3:7" x14ac:dyDescent="0.25">
      <c r="C9303" s="8"/>
      <c r="G9303" s="11"/>
    </row>
    <row r="9304" spans="3:7" x14ac:dyDescent="0.25">
      <c r="C9304" s="8"/>
      <c r="G9304" s="11"/>
    </row>
    <row r="9305" spans="3:7" x14ac:dyDescent="0.25">
      <c r="C9305" s="8"/>
      <c r="G9305" s="11"/>
    </row>
    <row r="9306" spans="3:7" x14ac:dyDescent="0.25">
      <c r="C9306" s="8"/>
      <c r="G9306" s="11"/>
    </row>
    <row r="9307" spans="3:7" x14ac:dyDescent="0.25">
      <c r="C9307" s="8"/>
      <c r="G9307" s="11"/>
    </row>
    <row r="9308" spans="3:7" x14ac:dyDescent="0.25">
      <c r="C9308" s="8"/>
      <c r="G9308" s="11"/>
    </row>
    <row r="9309" spans="3:7" x14ac:dyDescent="0.25">
      <c r="C9309" s="8"/>
      <c r="G9309" s="11"/>
    </row>
    <row r="9310" spans="3:7" x14ac:dyDescent="0.25">
      <c r="C9310" s="8"/>
      <c r="G9310" s="11"/>
    </row>
    <row r="9311" spans="3:7" x14ac:dyDescent="0.25">
      <c r="C9311" s="8"/>
      <c r="G9311" s="11"/>
    </row>
    <row r="9312" spans="3:7" x14ac:dyDescent="0.25">
      <c r="C9312" s="8"/>
      <c r="G9312" s="11"/>
    </row>
    <row r="9313" spans="3:7" x14ac:dyDescent="0.25">
      <c r="C9313" s="8"/>
      <c r="G9313" s="11"/>
    </row>
    <row r="9314" spans="3:7" x14ac:dyDescent="0.25">
      <c r="C9314" s="8"/>
      <c r="G9314" s="11"/>
    </row>
    <row r="9315" spans="3:7" x14ac:dyDescent="0.25">
      <c r="C9315" s="8"/>
      <c r="G9315" s="11"/>
    </row>
    <row r="9316" spans="3:7" x14ac:dyDescent="0.25">
      <c r="C9316" s="8"/>
      <c r="G9316" s="11"/>
    </row>
    <row r="9317" spans="3:7" x14ac:dyDescent="0.25">
      <c r="C9317" s="8"/>
      <c r="G9317" s="11"/>
    </row>
    <row r="9318" spans="3:7" x14ac:dyDescent="0.25">
      <c r="C9318" s="8"/>
      <c r="G9318" s="11"/>
    </row>
    <row r="9319" spans="3:7" x14ac:dyDescent="0.25">
      <c r="C9319" s="8"/>
      <c r="G9319" s="11"/>
    </row>
    <row r="9320" spans="3:7" x14ac:dyDescent="0.25">
      <c r="C9320" s="8"/>
      <c r="G9320" s="11"/>
    </row>
    <row r="9321" spans="3:7" x14ac:dyDescent="0.25">
      <c r="C9321" s="8"/>
      <c r="G9321" s="11"/>
    </row>
    <row r="9322" spans="3:7" x14ac:dyDescent="0.25">
      <c r="C9322" s="8"/>
      <c r="G9322" s="11"/>
    </row>
    <row r="9323" spans="3:7" x14ac:dyDescent="0.25">
      <c r="C9323" s="8"/>
      <c r="G9323" s="11"/>
    </row>
    <row r="9324" spans="3:7" x14ac:dyDescent="0.25">
      <c r="C9324" s="8"/>
      <c r="G9324" s="11"/>
    </row>
    <row r="9325" spans="3:7" x14ac:dyDescent="0.25">
      <c r="C9325" s="8"/>
      <c r="G9325" s="11"/>
    </row>
    <row r="9326" spans="3:7" x14ac:dyDescent="0.25">
      <c r="C9326" s="8"/>
      <c r="G9326" s="11"/>
    </row>
    <row r="9327" spans="3:7" x14ac:dyDescent="0.25">
      <c r="C9327" s="8"/>
      <c r="G9327" s="11"/>
    </row>
    <row r="9328" spans="3:7" x14ac:dyDescent="0.25">
      <c r="C9328" s="8"/>
      <c r="G9328" s="11"/>
    </row>
    <row r="9329" spans="3:7" x14ac:dyDescent="0.25">
      <c r="C9329" s="8"/>
      <c r="G9329" s="11"/>
    </row>
    <row r="9330" spans="3:7" x14ac:dyDescent="0.25">
      <c r="C9330" s="8"/>
      <c r="G9330" s="11"/>
    </row>
    <row r="9331" spans="3:7" x14ac:dyDescent="0.25">
      <c r="C9331" s="8"/>
      <c r="G9331" s="11"/>
    </row>
    <row r="9332" spans="3:7" x14ac:dyDescent="0.25">
      <c r="C9332" s="8"/>
      <c r="G9332" s="11"/>
    </row>
    <row r="9333" spans="3:7" x14ac:dyDescent="0.25">
      <c r="C9333" s="8"/>
      <c r="G9333" s="11"/>
    </row>
    <row r="9334" spans="3:7" x14ac:dyDescent="0.25">
      <c r="C9334" s="8"/>
      <c r="G9334" s="11"/>
    </row>
    <row r="9335" spans="3:7" x14ac:dyDescent="0.25">
      <c r="C9335" s="8"/>
      <c r="G9335" s="11"/>
    </row>
    <row r="9336" spans="3:7" x14ac:dyDescent="0.25">
      <c r="C9336" s="8"/>
      <c r="G9336" s="11"/>
    </row>
    <row r="9337" spans="3:7" x14ac:dyDescent="0.25">
      <c r="C9337" s="8"/>
      <c r="G9337" s="11"/>
    </row>
    <row r="9338" spans="3:7" x14ac:dyDescent="0.25">
      <c r="C9338" s="8"/>
      <c r="G9338" s="11"/>
    </row>
    <row r="9339" spans="3:7" x14ac:dyDescent="0.25">
      <c r="C9339" s="8"/>
      <c r="G9339" s="11"/>
    </row>
    <row r="9340" spans="3:7" x14ac:dyDescent="0.25">
      <c r="C9340" s="8"/>
      <c r="G9340" s="11"/>
    </row>
    <row r="9341" spans="3:7" x14ac:dyDescent="0.25">
      <c r="C9341" s="8"/>
      <c r="G9341" s="11"/>
    </row>
    <row r="9342" spans="3:7" x14ac:dyDescent="0.25">
      <c r="C9342" s="8"/>
      <c r="G9342" s="11"/>
    </row>
    <row r="9343" spans="3:7" x14ac:dyDescent="0.25">
      <c r="C9343" s="8"/>
      <c r="G9343" s="11"/>
    </row>
    <row r="9344" spans="3:7" x14ac:dyDescent="0.25">
      <c r="C9344" s="8"/>
      <c r="G9344" s="11"/>
    </row>
    <row r="9345" spans="3:7" x14ac:dyDescent="0.25">
      <c r="C9345" s="8"/>
      <c r="G9345" s="11"/>
    </row>
    <row r="9346" spans="3:7" x14ac:dyDescent="0.25">
      <c r="C9346" s="8"/>
      <c r="G9346" s="11"/>
    </row>
    <row r="9347" spans="3:7" x14ac:dyDescent="0.25">
      <c r="C9347" s="8"/>
      <c r="G9347" s="11"/>
    </row>
    <row r="9348" spans="3:7" x14ac:dyDescent="0.25">
      <c r="C9348" s="8"/>
      <c r="G9348" s="11"/>
    </row>
    <row r="9349" spans="3:7" x14ac:dyDescent="0.25">
      <c r="C9349" s="8"/>
      <c r="G9349" s="11"/>
    </row>
    <row r="9350" spans="3:7" x14ac:dyDescent="0.25">
      <c r="C9350" s="8"/>
      <c r="G9350" s="11"/>
    </row>
    <row r="9351" spans="3:7" x14ac:dyDescent="0.25">
      <c r="C9351" s="8"/>
      <c r="G9351" s="11"/>
    </row>
    <row r="9352" spans="3:7" x14ac:dyDescent="0.25">
      <c r="C9352" s="8"/>
      <c r="G9352" s="11"/>
    </row>
    <row r="9353" spans="3:7" x14ac:dyDescent="0.25">
      <c r="C9353" s="8"/>
      <c r="G9353" s="11"/>
    </row>
    <row r="9354" spans="3:7" x14ac:dyDescent="0.25">
      <c r="C9354" s="8"/>
      <c r="G9354" s="11"/>
    </row>
    <row r="9355" spans="3:7" x14ac:dyDescent="0.25">
      <c r="C9355" s="8"/>
      <c r="G9355" s="11"/>
    </row>
    <row r="9356" spans="3:7" x14ac:dyDescent="0.25">
      <c r="C9356" s="8"/>
      <c r="G9356" s="11"/>
    </row>
    <row r="9357" spans="3:7" x14ac:dyDescent="0.25">
      <c r="C9357" s="8"/>
      <c r="G9357" s="11"/>
    </row>
    <row r="9358" spans="3:7" x14ac:dyDescent="0.25">
      <c r="C9358" s="8"/>
      <c r="G9358" s="11"/>
    </row>
    <row r="9359" spans="3:7" x14ac:dyDescent="0.25">
      <c r="C9359" s="8"/>
      <c r="G9359" s="11"/>
    </row>
    <row r="9360" spans="3:7" x14ac:dyDescent="0.25">
      <c r="C9360" s="8"/>
      <c r="G9360" s="11"/>
    </row>
    <row r="9361" spans="3:7" x14ac:dyDescent="0.25">
      <c r="C9361" s="8"/>
      <c r="G9361" s="11"/>
    </row>
    <row r="9362" spans="3:7" x14ac:dyDescent="0.25">
      <c r="C9362" s="8"/>
      <c r="G9362" s="11"/>
    </row>
    <row r="9363" spans="3:7" x14ac:dyDescent="0.25">
      <c r="C9363" s="8"/>
      <c r="G9363" s="11"/>
    </row>
    <row r="9364" spans="3:7" x14ac:dyDescent="0.25">
      <c r="C9364" s="8"/>
      <c r="G9364" s="11"/>
    </row>
    <row r="9365" spans="3:7" x14ac:dyDescent="0.25">
      <c r="C9365" s="8"/>
      <c r="G9365" s="11"/>
    </row>
    <row r="9366" spans="3:7" x14ac:dyDescent="0.25">
      <c r="C9366" s="8"/>
      <c r="G9366" s="11"/>
    </row>
    <row r="9367" spans="3:7" x14ac:dyDescent="0.25">
      <c r="C9367" s="8"/>
      <c r="G9367" s="11"/>
    </row>
    <row r="9368" spans="3:7" x14ac:dyDescent="0.25">
      <c r="C9368" s="8"/>
      <c r="G9368" s="11"/>
    </row>
    <row r="9369" spans="3:7" x14ac:dyDescent="0.25">
      <c r="C9369" s="8"/>
      <c r="G9369" s="11"/>
    </row>
    <row r="9370" spans="3:7" x14ac:dyDescent="0.25">
      <c r="C9370" s="8"/>
      <c r="G9370" s="11"/>
    </row>
    <row r="9371" spans="3:7" x14ac:dyDescent="0.25">
      <c r="C9371" s="8"/>
      <c r="G9371" s="11"/>
    </row>
    <row r="9372" spans="3:7" x14ac:dyDescent="0.25">
      <c r="C9372" s="8"/>
      <c r="G9372" s="11"/>
    </row>
    <row r="9373" spans="3:7" x14ac:dyDescent="0.25">
      <c r="C9373" s="8"/>
      <c r="G9373" s="11"/>
    </row>
    <row r="9374" spans="3:7" x14ac:dyDescent="0.25">
      <c r="C9374" s="8"/>
      <c r="G9374" s="11"/>
    </row>
    <row r="9375" spans="3:7" x14ac:dyDescent="0.25">
      <c r="C9375" s="8"/>
      <c r="G9375" s="11"/>
    </row>
    <row r="9376" spans="3:7" x14ac:dyDescent="0.25">
      <c r="C9376" s="8"/>
      <c r="G9376" s="11"/>
    </row>
    <row r="9377" spans="3:7" x14ac:dyDescent="0.25">
      <c r="C9377" s="8"/>
      <c r="G9377" s="11"/>
    </row>
    <row r="9378" spans="3:7" x14ac:dyDescent="0.25">
      <c r="C9378" s="8"/>
      <c r="G9378" s="11"/>
    </row>
    <row r="9379" spans="3:7" x14ac:dyDescent="0.25">
      <c r="C9379" s="8"/>
      <c r="G9379" s="11"/>
    </row>
    <row r="9380" spans="3:7" x14ac:dyDescent="0.25">
      <c r="C9380" s="8"/>
      <c r="G9380" s="11"/>
    </row>
    <row r="9381" spans="3:7" x14ac:dyDescent="0.25">
      <c r="C9381" s="8"/>
      <c r="G9381" s="11"/>
    </row>
    <row r="9382" spans="3:7" x14ac:dyDescent="0.25">
      <c r="C9382" s="8"/>
      <c r="G9382" s="11"/>
    </row>
    <row r="9383" spans="3:7" x14ac:dyDescent="0.25">
      <c r="C9383" s="8"/>
      <c r="G9383" s="11"/>
    </row>
    <row r="9384" spans="3:7" x14ac:dyDescent="0.25">
      <c r="C9384" s="8"/>
      <c r="G9384" s="11"/>
    </row>
    <row r="9385" spans="3:7" x14ac:dyDescent="0.25">
      <c r="C9385" s="8"/>
      <c r="G9385" s="11"/>
    </row>
    <row r="9386" spans="3:7" x14ac:dyDescent="0.25">
      <c r="C9386" s="8"/>
      <c r="G9386" s="11"/>
    </row>
    <row r="9387" spans="3:7" x14ac:dyDescent="0.25">
      <c r="C9387" s="8"/>
      <c r="G9387" s="11"/>
    </row>
    <row r="9388" spans="3:7" x14ac:dyDescent="0.25">
      <c r="C9388" s="8"/>
      <c r="G9388" s="11"/>
    </row>
    <row r="9389" spans="3:7" x14ac:dyDescent="0.25">
      <c r="C9389" s="8"/>
      <c r="G9389" s="11"/>
    </row>
    <row r="9390" spans="3:7" x14ac:dyDescent="0.25">
      <c r="C9390" s="8"/>
      <c r="G9390" s="11"/>
    </row>
    <row r="9391" spans="3:7" x14ac:dyDescent="0.25">
      <c r="C9391" s="8"/>
      <c r="G9391" s="11"/>
    </row>
    <row r="9392" spans="3:7" x14ac:dyDescent="0.25">
      <c r="C9392" s="8"/>
      <c r="G9392" s="11"/>
    </row>
    <row r="9393" spans="3:7" x14ac:dyDescent="0.25">
      <c r="C9393" s="8"/>
      <c r="G9393" s="11"/>
    </row>
    <row r="9394" spans="3:7" x14ac:dyDescent="0.25">
      <c r="C9394" s="8"/>
      <c r="G9394" s="11"/>
    </row>
    <row r="9395" spans="3:7" x14ac:dyDescent="0.25">
      <c r="C9395" s="8"/>
      <c r="G9395" s="11"/>
    </row>
    <row r="9396" spans="3:7" x14ac:dyDescent="0.25">
      <c r="C9396" s="8"/>
      <c r="G9396" s="11"/>
    </row>
    <row r="9397" spans="3:7" x14ac:dyDescent="0.25">
      <c r="C9397" s="8"/>
      <c r="G9397" s="11"/>
    </row>
    <row r="9398" spans="3:7" x14ac:dyDescent="0.25">
      <c r="C9398" s="8"/>
      <c r="G9398" s="11"/>
    </row>
    <row r="9399" spans="3:7" x14ac:dyDescent="0.25">
      <c r="C9399" s="8"/>
      <c r="G9399" s="11"/>
    </row>
    <row r="9400" spans="3:7" x14ac:dyDescent="0.25">
      <c r="C9400" s="8"/>
      <c r="G9400" s="11"/>
    </row>
    <row r="9401" spans="3:7" x14ac:dyDescent="0.25">
      <c r="C9401" s="8"/>
      <c r="G9401" s="11"/>
    </row>
    <row r="9402" spans="3:7" x14ac:dyDescent="0.25">
      <c r="C9402" s="8"/>
      <c r="G9402" s="11"/>
    </row>
    <row r="9403" spans="3:7" x14ac:dyDescent="0.25">
      <c r="C9403" s="8"/>
      <c r="G9403" s="11"/>
    </row>
    <row r="9404" spans="3:7" x14ac:dyDescent="0.25">
      <c r="C9404" s="8"/>
      <c r="G9404" s="11"/>
    </row>
    <row r="9405" spans="3:7" x14ac:dyDescent="0.25">
      <c r="C9405" s="8"/>
      <c r="G9405" s="11"/>
    </row>
    <row r="9406" spans="3:7" x14ac:dyDescent="0.25">
      <c r="C9406" s="8"/>
      <c r="G9406" s="11"/>
    </row>
    <row r="9407" spans="3:7" x14ac:dyDescent="0.25">
      <c r="C9407" s="8"/>
      <c r="G9407" s="11"/>
    </row>
    <row r="9408" spans="3:7" x14ac:dyDescent="0.25">
      <c r="C9408" s="8"/>
      <c r="G9408" s="11"/>
    </row>
    <row r="9409" spans="3:7" x14ac:dyDescent="0.25">
      <c r="C9409" s="8"/>
      <c r="G9409" s="11"/>
    </row>
    <row r="9410" spans="3:7" x14ac:dyDescent="0.25">
      <c r="C9410" s="8"/>
      <c r="G9410" s="11"/>
    </row>
    <row r="9411" spans="3:7" x14ac:dyDescent="0.25">
      <c r="C9411" s="8"/>
      <c r="G9411" s="11"/>
    </row>
    <row r="9412" spans="3:7" x14ac:dyDescent="0.25">
      <c r="C9412" s="8"/>
      <c r="G9412" s="11"/>
    </row>
    <row r="9413" spans="3:7" x14ac:dyDescent="0.25">
      <c r="C9413" s="8"/>
      <c r="G9413" s="11"/>
    </row>
    <row r="9414" spans="3:7" x14ac:dyDescent="0.25">
      <c r="C9414" s="8"/>
      <c r="G9414" s="11"/>
    </row>
    <row r="9415" spans="3:7" x14ac:dyDescent="0.25">
      <c r="C9415" s="8"/>
      <c r="G9415" s="11"/>
    </row>
    <row r="9416" spans="3:7" x14ac:dyDescent="0.25">
      <c r="C9416" s="8"/>
      <c r="G9416" s="11"/>
    </row>
    <row r="9417" spans="3:7" x14ac:dyDescent="0.25">
      <c r="C9417" s="8"/>
      <c r="G9417" s="11"/>
    </row>
    <row r="9418" spans="3:7" x14ac:dyDescent="0.25">
      <c r="C9418" s="8"/>
      <c r="G9418" s="11"/>
    </row>
    <row r="9419" spans="3:7" x14ac:dyDescent="0.25">
      <c r="C9419" s="8"/>
      <c r="G9419" s="11"/>
    </row>
    <row r="9420" spans="3:7" x14ac:dyDescent="0.25">
      <c r="C9420" s="8"/>
      <c r="G9420" s="11"/>
    </row>
    <row r="9421" spans="3:7" x14ac:dyDescent="0.25">
      <c r="C9421" s="8"/>
      <c r="G9421" s="11"/>
    </row>
    <row r="9422" spans="3:7" x14ac:dyDescent="0.25">
      <c r="C9422" s="8"/>
      <c r="G9422" s="11"/>
    </row>
    <row r="9423" spans="3:7" x14ac:dyDescent="0.25">
      <c r="C9423" s="8"/>
      <c r="G9423" s="11"/>
    </row>
    <row r="9424" spans="3:7" x14ac:dyDescent="0.25">
      <c r="C9424" s="8"/>
      <c r="G9424" s="11"/>
    </row>
    <row r="9425" spans="3:7" x14ac:dyDescent="0.25">
      <c r="C9425" s="8"/>
      <c r="G9425" s="11"/>
    </row>
    <row r="9426" spans="3:7" x14ac:dyDescent="0.25">
      <c r="C9426" s="8"/>
      <c r="G9426" s="11"/>
    </row>
    <row r="9427" spans="3:7" x14ac:dyDescent="0.25">
      <c r="C9427" s="8"/>
      <c r="G9427" s="11"/>
    </row>
    <row r="9428" spans="3:7" x14ac:dyDescent="0.25">
      <c r="C9428" s="8"/>
      <c r="G9428" s="11"/>
    </row>
    <row r="9429" spans="3:7" x14ac:dyDescent="0.25">
      <c r="C9429" s="8"/>
      <c r="G9429" s="11"/>
    </row>
    <row r="9430" spans="3:7" x14ac:dyDescent="0.25">
      <c r="C9430" s="8"/>
      <c r="G9430" s="11"/>
    </row>
    <row r="9431" spans="3:7" x14ac:dyDescent="0.25">
      <c r="C9431" s="8"/>
      <c r="G9431" s="11"/>
    </row>
    <row r="9432" spans="3:7" x14ac:dyDescent="0.25">
      <c r="C9432" s="8"/>
      <c r="G9432" s="11"/>
    </row>
    <row r="9433" spans="3:7" x14ac:dyDescent="0.25">
      <c r="C9433" s="8"/>
      <c r="G9433" s="11"/>
    </row>
    <row r="9434" spans="3:7" x14ac:dyDescent="0.25">
      <c r="C9434" s="8"/>
      <c r="G9434" s="11"/>
    </row>
    <row r="9435" spans="3:7" x14ac:dyDescent="0.25">
      <c r="C9435" s="8"/>
      <c r="G9435" s="11"/>
    </row>
    <row r="9436" spans="3:7" x14ac:dyDescent="0.25">
      <c r="C9436" s="8"/>
      <c r="G9436" s="11"/>
    </row>
    <row r="9437" spans="3:7" x14ac:dyDescent="0.25">
      <c r="C9437" s="8"/>
      <c r="G9437" s="11"/>
    </row>
    <row r="9438" spans="3:7" x14ac:dyDescent="0.25">
      <c r="C9438" s="8"/>
      <c r="G9438" s="11"/>
    </row>
    <row r="9439" spans="3:7" x14ac:dyDescent="0.25">
      <c r="C9439" s="8"/>
      <c r="G9439" s="11"/>
    </row>
    <row r="9440" spans="3:7" x14ac:dyDescent="0.25">
      <c r="C9440" s="8"/>
      <c r="G9440" s="11"/>
    </row>
    <row r="9441" spans="3:7" x14ac:dyDescent="0.25">
      <c r="C9441" s="8"/>
      <c r="G9441" s="11"/>
    </row>
    <row r="9442" spans="3:7" x14ac:dyDescent="0.25">
      <c r="C9442" s="8"/>
      <c r="G9442" s="11"/>
    </row>
    <row r="9443" spans="3:7" x14ac:dyDescent="0.25">
      <c r="C9443" s="8"/>
      <c r="G9443" s="11"/>
    </row>
    <row r="9444" spans="3:7" x14ac:dyDescent="0.25">
      <c r="C9444" s="8"/>
      <c r="G9444" s="11"/>
    </row>
    <row r="9445" spans="3:7" x14ac:dyDescent="0.25">
      <c r="C9445" s="8"/>
      <c r="G9445" s="11"/>
    </row>
    <row r="9446" spans="3:7" x14ac:dyDescent="0.25">
      <c r="C9446" s="8"/>
      <c r="G9446" s="11"/>
    </row>
    <row r="9447" spans="3:7" x14ac:dyDescent="0.25">
      <c r="C9447" s="8"/>
      <c r="G9447" s="11"/>
    </row>
    <row r="9448" spans="3:7" x14ac:dyDescent="0.25">
      <c r="C9448" s="8"/>
      <c r="G9448" s="11"/>
    </row>
    <row r="9449" spans="3:7" x14ac:dyDescent="0.25">
      <c r="C9449" s="8"/>
      <c r="G9449" s="11"/>
    </row>
    <row r="9450" spans="3:7" x14ac:dyDescent="0.25">
      <c r="C9450" s="8"/>
      <c r="G9450" s="11"/>
    </row>
    <row r="9451" spans="3:7" x14ac:dyDescent="0.25">
      <c r="C9451" s="8"/>
      <c r="G9451" s="11"/>
    </row>
    <row r="9452" spans="3:7" x14ac:dyDescent="0.25">
      <c r="C9452" s="8"/>
      <c r="G9452" s="11"/>
    </row>
    <row r="9453" spans="3:7" x14ac:dyDescent="0.25">
      <c r="C9453" s="8"/>
      <c r="G9453" s="11"/>
    </row>
    <row r="9454" spans="3:7" x14ac:dyDescent="0.25">
      <c r="C9454" s="8"/>
      <c r="G9454" s="11"/>
    </row>
    <row r="9455" spans="3:7" x14ac:dyDescent="0.25">
      <c r="C9455" s="8"/>
      <c r="G9455" s="11"/>
    </row>
    <row r="9456" spans="3:7" x14ac:dyDescent="0.25">
      <c r="C9456" s="8"/>
      <c r="G9456" s="11"/>
    </row>
    <row r="9457" spans="3:7" x14ac:dyDescent="0.25">
      <c r="C9457" s="8"/>
      <c r="G9457" s="11"/>
    </row>
    <row r="9458" spans="3:7" x14ac:dyDescent="0.25">
      <c r="C9458" s="8"/>
      <c r="G9458" s="11"/>
    </row>
    <row r="9459" spans="3:7" x14ac:dyDescent="0.25">
      <c r="C9459" s="8"/>
      <c r="G9459" s="11"/>
    </row>
    <row r="9460" spans="3:7" x14ac:dyDescent="0.25">
      <c r="C9460" s="8"/>
      <c r="G9460" s="11"/>
    </row>
    <row r="9461" spans="3:7" x14ac:dyDescent="0.25">
      <c r="C9461" s="8"/>
      <c r="G9461" s="11"/>
    </row>
    <row r="9462" spans="3:7" x14ac:dyDescent="0.25">
      <c r="C9462" s="8"/>
      <c r="G9462" s="11"/>
    </row>
    <row r="9463" spans="3:7" x14ac:dyDescent="0.25">
      <c r="C9463" s="8"/>
      <c r="G9463" s="11"/>
    </row>
    <row r="9464" spans="3:7" x14ac:dyDescent="0.25">
      <c r="C9464" s="8"/>
      <c r="G9464" s="11"/>
    </row>
    <row r="9465" spans="3:7" x14ac:dyDescent="0.25">
      <c r="C9465" s="8"/>
      <c r="G9465" s="11"/>
    </row>
    <row r="9466" spans="3:7" x14ac:dyDescent="0.25">
      <c r="C9466" s="8"/>
      <c r="G9466" s="11"/>
    </row>
    <row r="9467" spans="3:7" x14ac:dyDescent="0.25">
      <c r="C9467" s="8"/>
      <c r="G9467" s="11"/>
    </row>
    <row r="9468" spans="3:7" x14ac:dyDescent="0.25">
      <c r="C9468" s="8"/>
      <c r="G9468" s="11"/>
    </row>
    <row r="9469" spans="3:7" x14ac:dyDescent="0.25">
      <c r="C9469" s="8"/>
      <c r="G9469" s="11"/>
    </row>
    <row r="9470" spans="3:7" x14ac:dyDescent="0.25">
      <c r="C9470" s="8"/>
      <c r="G9470" s="11"/>
    </row>
    <row r="9471" spans="3:7" x14ac:dyDescent="0.25">
      <c r="C9471" s="8"/>
      <c r="G9471" s="11"/>
    </row>
    <row r="9472" spans="3:7" x14ac:dyDescent="0.25">
      <c r="C9472" s="8"/>
      <c r="G9472" s="11"/>
    </row>
    <row r="9473" spans="3:7" x14ac:dyDescent="0.25">
      <c r="C9473" s="8"/>
      <c r="G9473" s="11"/>
    </row>
    <row r="9474" spans="3:7" x14ac:dyDescent="0.25">
      <c r="C9474" s="8"/>
      <c r="G9474" s="11"/>
    </row>
    <row r="9475" spans="3:7" x14ac:dyDescent="0.25">
      <c r="C9475" s="8"/>
      <c r="G9475" s="11"/>
    </row>
    <row r="9476" spans="3:7" x14ac:dyDescent="0.25">
      <c r="C9476" s="8"/>
      <c r="G9476" s="11"/>
    </row>
    <row r="9477" spans="3:7" x14ac:dyDescent="0.25">
      <c r="C9477" s="8"/>
      <c r="G9477" s="11"/>
    </row>
    <row r="9478" spans="3:7" x14ac:dyDescent="0.25">
      <c r="C9478" s="8"/>
      <c r="G9478" s="11"/>
    </row>
    <row r="9479" spans="3:7" x14ac:dyDescent="0.25">
      <c r="C9479" s="8"/>
      <c r="G9479" s="11"/>
    </row>
    <row r="9480" spans="3:7" x14ac:dyDescent="0.25">
      <c r="C9480" s="8"/>
      <c r="G9480" s="11"/>
    </row>
    <row r="9481" spans="3:7" x14ac:dyDescent="0.25">
      <c r="C9481" s="8"/>
      <c r="G9481" s="11"/>
    </row>
    <row r="9482" spans="3:7" x14ac:dyDescent="0.25">
      <c r="C9482" s="8"/>
      <c r="G9482" s="11"/>
    </row>
    <row r="9483" spans="3:7" x14ac:dyDescent="0.25">
      <c r="C9483" s="8"/>
      <c r="G9483" s="11"/>
    </row>
    <row r="9484" spans="3:7" x14ac:dyDescent="0.25">
      <c r="C9484" s="8"/>
      <c r="G9484" s="11"/>
    </row>
    <row r="9485" spans="3:7" x14ac:dyDescent="0.25">
      <c r="C9485" s="8"/>
      <c r="G9485" s="11"/>
    </row>
    <row r="9486" spans="3:7" x14ac:dyDescent="0.25">
      <c r="C9486" s="8"/>
      <c r="G9486" s="11"/>
    </row>
    <row r="9487" spans="3:7" x14ac:dyDescent="0.25">
      <c r="C9487" s="8"/>
      <c r="G9487" s="11"/>
    </row>
    <row r="9488" spans="3:7" x14ac:dyDescent="0.25">
      <c r="C9488" s="8"/>
      <c r="G9488" s="11"/>
    </row>
    <row r="9489" spans="3:7" x14ac:dyDescent="0.25">
      <c r="C9489" s="8"/>
      <c r="G9489" s="11"/>
    </row>
    <row r="9490" spans="3:7" x14ac:dyDescent="0.25">
      <c r="C9490" s="8"/>
      <c r="G9490" s="11"/>
    </row>
    <row r="9491" spans="3:7" x14ac:dyDescent="0.25">
      <c r="C9491" s="8"/>
      <c r="G9491" s="11"/>
    </row>
    <row r="9492" spans="3:7" x14ac:dyDescent="0.25">
      <c r="C9492" s="8"/>
      <c r="G9492" s="11"/>
    </row>
    <row r="9493" spans="3:7" x14ac:dyDescent="0.25">
      <c r="C9493" s="8"/>
      <c r="G9493" s="11"/>
    </row>
    <row r="9494" spans="3:7" x14ac:dyDescent="0.25">
      <c r="C9494" s="8"/>
      <c r="G9494" s="11"/>
    </row>
    <row r="9495" spans="3:7" x14ac:dyDescent="0.25">
      <c r="C9495" s="8"/>
      <c r="G9495" s="11"/>
    </row>
    <row r="9496" spans="3:7" x14ac:dyDescent="0.25">
      <c r="C9496" s="8"/>
      <c r="G9496" s="11"/>
    </row>
    <row r="9497" spans="3:7" x14ac:dyDescent="0.25">
      <c r="C9497" s="8"/>
      <c r="G9497" s="11"/>
    </row>
    <row r="9498" spans="3:7" x14ac:dyDescent="0.25">
      <c r="C9498" s="8"/>
      <c r="G9498" s="11"/>
    </row>
    <row r="9499" spans="3:7" x14ac:dyDescent="0.25">
      <c r="C9499" s="8"/>
      <c r="G9499" s="11"/>
    </row>
    <row r="9500" spans="3:7" x14ac:dyDescent="0.25">
      <c r="C9500" s="8"/>
      <c r="G9500" s="11"/>
    </row>
    <row r="9501" spans="3:7" x14ac:dyDescent="0.25">
      <c r="C9501" s="8"/>
      <c r="G9501" s="11"/>
    </row>
    <row r="9502" spans="3:7" x14ac:dyDescent="0.25">
      <c r="C9502" s="8"/>
      <c r="G9502" s="11"/>
    </row>
    <row r="9503" spans="3:7" x14ac:dyDescent="0.25">
      <c r="C9503" s="8"/>
      <c r="G9503" s="11"/>
    </row>
    <row r="9504" spans="3:7" x14ac:dyDescent="0.25">
      <c r="C9504" s="8"/>
      <c r="G9504" s="11"/>
    </row>
    <row r="9505" spans="3:7" x14ac:dyDescent="0.25">
      <c r="C9505" s="8"/>
      <c r="G9505" s="11"/>
    </row>
    <row r="9506" spans="3:7" x14ac:dyDescent="0.25">
      <c r="C9506" s="8"/>
      <c r="G9506" s="11"/>
    </row>
    <row r="9507" spans="3:7" x14ac:dyDescent="0.25">
      <c r="C9507" s="8"/>
      <c r="G9507" s="11"/>
    </row>
    <row r="9508" spans="3:7" x14ac:dyDescent="0.25">
      <c r="C9508" s="8"/>
      <c r="G9508" s="11"/>
    </row>
    <row r="9509" spans="3:7" x14ac:dyDescent="0.25">
      <c r="C9509" s="8"/>
      <c r="G9509" s="11"/>
    </row>
    <row r="9510" spans="3:7" x14ac:dyDescent="0.25">
      <c r="C9510" s="8"/>
      <c r="G9510" s="11"/>
    </row>
    <row r="9511" spans="3:7" x14ac:dyDescent="0.25">
      <c r="C9511" s="8"/>
      <c r="G9511" s="11"/>
    </row>
    <row r="9512" spans="3:7" x14ac:dyDescent="0.25">
      <c r="C9512" s="8"/>
      <c r="G9512" s="11"/>
    </row>
    <row r="9513" spans="3:7" x14ac:dyDescent="0.25">
      <c r="C9513" s="8"/>
      <c r="G9513" s="11"/>
    </row>
    <row r="9514" spans="3:7" x14ac:dyDescent="0.25">
      <c r="C9514" s="8"/>
      <c r="G9514" s="11"/>
    </row>
    <row r="9515" spans="3:7" x14ac:dyDescent="0.25">
      <c r="C9515" s="8"/>
      <c r="G9515" s="11"/>
    </row>
    <row r="9516" spans="3:7" x14ac:dyDescent="0.25">
      <c r="C9516" s="8"/>
      <c r="G9516" s="11"/>
    </row>
    <row r="9517" spans="3:7" x14ac:dyDescent="0.25">
      <c r="C9517" s="8"/>
      <c r="G9517" s="11"/>
    </row>
    <row r="9518" spans="3:7" x14ac:dyDescent="0.25">
      <c r="C9518" s="8"/>
      <c r="G9518" s="11"/>
    </row>
    <row r="9519" spans="3:7" x14ac:dyDescent="0.25">
      <c r="C9519" s="8"/>
      <c r="G9519" s="11"/>
    </row>
    <row r="9520" spans="3:7" x14ac:dyDescent="0.25">
      <c r="C9520" s="8"/>
      <c r="G9520" s="11"/>
    </row>
    <row r="9521" spans="3:7" x14ac:dyDescent="0.25">
      <c r="C9521" s="8"/>
      <c r="G9521" s="11"/>
    </row>
    <row r="9522" spans="3:7" x14ac:dyDescent="0.25">
      <c r="C9522" s="8"/>
      <c r="G9522" s="11"/>
    </row>
    <row r="9523" spans="3:7" x14ac:dyDescent="0.25">
      <c r="C9523" s="8"/>
      <c r="G9523" s="11"/>
    </row>
    <row r="9524" spans="3:7" x14ac:dyDescent="0.25">
      <c r="C9524" s="8"/>
      <c r="G9524" s="11"/>
    </row>
    <row r="9525" spans="3:7" x14ac:dyDescent="0.25">
      <c r="C9525" s="8"/>
      <c r="G9525" s="11"/>
    </row>
    <row r="9526" spans="3:7" x14ac:dyDescent="0.25">
      <c r="C9526" s="8"/>
      <c r="G9526" s="11"/>
    </row>
    <row r="9527" spans="3:7" x14ac:dyDescent="0.25">
      <c r="C9527" s="8"/>
      <c r="G9527" s="11"/>
    </row>
    <row r="9528" spans="3:7" x14ac:dyDescent="0.25">
      <c r="C9528" s="8"/>
      <c r="G9528" s="11"/>
    </row>
    <row r="9529" spans="3:7" x14ac:dyDescent="0.25">
      <c r="C9529" s="8"/>
      <c r="G9529" s="11"/>
    </row>
    <row r="9530" spans="3:7" x14ac:dyDescent="0.25">
      <c r="C9530" s="8"/>
      <c r="G9530" s="11"/>
    </row>
    <row r="9531" spans="3:7" x14ac:dyDescent="0.25">
      <c r="C9531" s="8"/>
      <c r="G9531" s="11"/>
    </row>
    <row r="9532" spans="3:7" x14ac:dyDescent="0.25">
      <c r="C9532" s="8"/>
      <c r="G9532" s="11"/>
    </row>
    <row r="9533" spans="3:7" x14ac:dyDescent="0.25">
      <c r="C9533" s="8"/>
      <c r="G9533" s="11"/>
    </row>
    <row r="9534" spans="3:7" x14ac:dyDescent="0.25">
      <c r="C9534" s="8"/>
      <c r="G9534" s="11"/>
    </row>
    <row r="9535" spans="3:7" x14ac:dyDescent="0.25">
      <c r="C9535" s="8"/>
      <c r="G9535" s="11"/>
    </row>
    <row r="9536" spans="3:7" x14ac:dyDescent="0.25">
      <c r="C9536" s="8"/>
      <c r="G9536" s="11"/>
    </row>
    <row r="9537" spans="3:7" x14ac:dyDescent="0.25">
      <c r="C9537" s="8"/>
      <c r="G9537" s="11"/>
    </row>
    <row r="9538" spans="3:7" x14ac:dyDescent="0.25">
      <c r="C9538" s="8"/>
      <c r="G9538" s="11"/>
    </row>
    <row r="9539" spans="3:7" x14ac:dyDescent="0.25">
      <c r="C9539" s="8"/>
      <c r="G9539" s="11"/>
    </row>
    <row r="9540" spans="3:7" x14ac:dyDescent="0.25">
      <c r="C9540" s="8"/>
      <c r="G9540" s="11"/>
    </row>
    <row r="9541" spans="3:7" x14ac:dyDescent="0.25">
      <c r="C9541" s="8"/>
      <c r="G9541" s="11"/>
    </row>
    <row r="9542" spans="3:7" x14ac:dyDescent="0.25">
      <c r="C9542" s="8"/>
      <c r="G9542" s="11"/>
    </row>
    <row r="9543" spans="3:7" x14ac:dyDescent="0.25">
      <c r="C9543" s="8"/>
      <c r="G9543" s="11"/>
    </row>
    <row r="9544" spans="3:7" x14ac:dyDescent="0.25">
      <c r="C9544" s="8"/>
      <c r="G9544" s="11"/>
    </row>
    <row r="9545" spans="3:7" x14ac:dyDescent="0.25">
      <c r="C9545" s="8"/>
      <c r="G9545" s="11"/>
    </row>
    <row r="9546" spans="3:7" x14ac:dyDescent="0.25">
      <c r="C9546" s="8"/>
      <c r="G9546" s="11"/>
    </row>
    <row r="9547" spans="3:7" x14ac:dyDescent="0.25">
      <c r="C9547" s="8"/>
      <c r="G9547" s="11"/>
    </row>
    <row r="9548" spans="3:7" x14ac:dyDescent="0.25">
      <c r="C9548" s="8"/>
      <c r="G9548" s="11"/>
    </row>
    <row r="9549" spans="3:7" x14ac:dyDescent="0.25">
      <c r="C9549" s="8"/>
      <c r="G9549" s="11"/>
    </row>
    <row r="9550" spans="3:7" x14ac:dyDescent="0.25">
      <c r="C9550" s="8"/>
      <c r="G9550" s="11"/>
    </row>
    <row r="9551" spans="3:7" x14ac:dyDescent="0.25">
      <c r="C9551" s="8"/>
      <c r="G9551" s="11"/>
    </row>
    <row r="9552" spans="3:7" x14ac:dyDescent="0.25">
      <c r="C9552" s="8"/>
      <c r="G9552" s="11"/>
    </row>
    <row r="9553" spans="3:7" x14ac:dyDescent="0.25">
      <c r="C9553" s="8"/>
      <c r="G9553" s="11"/>
    </row>
    <row r="9554" spans="3:7" x14ac:dyDescent="0.25">
      <c r="C9554" s="8"/>
      <c r="G9554" s="11"/>
    </row>
    <row r="9555" spans="3:7" x14ac:dyDescent="0.25">
      <c r="C9555" s="8"/>
      <c r="G9555" s="11"/>
    </row>
    <row r="9556" spans="3:7" x14ac:dyDescent="0.25">
      <c r="C9556" s="8"/>
      <c r="G9556" s="11"/>
    </row>
    <row r="9557" spans="3:7" x14ac:dyDescent="0.25">
      <c r="C9557" s="8"/>
      <c r="G9557" s="11"/>
    </row>
    <row r="9558" spans="3:7" x14ac:dyDescent="0.25">
      <c r="C9558" s="8"/>
      <c r="G9558" s="11"/>
    </row>
    <row r="9559" spans="3:7" x14ac:dyDescent="0.25">
      <c r="C9559" s="8"/>
      <c r="G9559" s="11"/>
    </row>
    <row r="9560" spans="3:7" x14ac:dyDescent="0.25">
      <c r="C9560" s="8"/>
      <c r="G9560" s="11"/>
    </row>
    <row r="9561" spans="3:7" x14ac:dyDescent="0.25">
      <c r="C9561" s="8"/>
      <c r="G9561" s="11"/>
    </row>
    <row r="9562" spans="3:7" x14ac:dyDescent="0.25">
      <c r="C9562" s="8"/>
      <c r="G9562" s="11"/>
    </row>
    <row r="9563" spans="3:7" x14ac:dyDescent="0.25">
      <c r="C9563" s="8"/>
      <c r="G9563" s="11"/>
    </row>
    <row r="9564" spans="3:7" x14ac:dyDescent="0.25">
      <c r="C9564" s="8"/>
      <c r="G9564" s="11"/>
    </row>
    <row r="9565" spans="3:7" x14ac:dyDescent="0.25">
      <c r="C9565" s="8"/>
      <c r="G9565" s="11"/>
    </row>
    <row r="9566" spans="3:7" x14ac:dyDescent="0.25">
      <c r="C9566" s="8"/>
      <c r="G9566" s="11"/>
    </row>
    <row r="9567" spans="3:7" x14ac:dyDescent="0.25">
      <c r="C9567" s="8"/>
      <c r="G9567" s="11"/>
    </row>
    <row r="9568" spans="3:7" x14ac:dyDescent="0.25">
      <c r="C9568" s="8"/>
      <c r="G9568" s="11"/>
    </row>
    <row r="9569" spans="3:7" x14ac:dyDescent="0.25">
      <c r="C9569" s="8"/>
      <c r="G9569" s="11"/>
    </row>
    <row r="9570" spans="3:7" x14ac:dyDescent="0.25">
      <c r="C9570" s="8"/>
      <c r="G9570" s="11"/>
    </row>
    <row r="9571" spans="3:7" x14ac:dyDescent="0.25">
      <c r="C9571" s="8"/>
      <c r="G9571" s="11"/>
    </row>
    <row r="9572" spans="3:7" x14ac:dyDescent="0.25">
      <c r="C9572" s="8"/>
      <c r="G9572" s="11"/>
    </row>
    <row r="9573" spans="3:7" x14ac:dyDescent="0.25">
      <c r="C9573" s="8"/>
      <c r="G9573" s="11"/>
    </row>
    <row r="9574" spans="3:7" x14ac:dyDescent="0.25">
      <c r="C9574" s="8"/>
      <c r="G9574" s="11"/>
    </row>
    <row r="9575" spans="3:7" x14ac:dyDescent="0.25">
      <c r="C9575" s="8"/>
      <c r="G9575" s="11"/>
    </row>
    <row r="9576" spans="3:7" x14ac:dyDescent="0.25">
      <c r="C9576" s="8"/>
      <c r="G9576" s="11"/>
    </row>
    <row r="9577" spans="3:7" x14ac:dyDescent="0.25">
      <c r="C9577" s="8"/>
      <c r="G9577" s="11"/>
    </row>
    <row r="9578" spans="3:7" x14ac:dyDescent="0.25">
      <c r="C9578" s="8"/>
      <c r="G9578" s="11"/>
    </row>
    <row r="9579" spans="3:7" x14ac:dyDescent="0.25">
      <c r="C9579" s="8"/>
      <c r="G9579" s="11"/>
    </row>
    <row r="9580" spans="3:7" x14ac:dyDescent="0.25">
      <c r="C9580" s="8"/>
      <c r="G9580" s="11"/>
    </row>
    <row r="9581" spans="3:7" x14ac:dyDescent="0.25">
      <c r="C9581" s="8"/>
      <c r="G9581" s="11"/>
    </row>
    <row r="9582" spans="3:7" x14ac:dyDescent="0.25">
      <c r="C9582" s="8"/>
      <c r="G9582" s="11"/>
    </row>
    <row r="9583" spans="3:7" x14ac:dyDescent="0.25">
      <c r="C9583" s="8"/>
      <c r="G9583" s="11"/>
    </row>
    <row r="9584" spans="3:7" x14ac:dyDescent="0.25">
      <c r="C9584" s="8"/>
      <c r="G9584" s="11"/>
    </row>
    <row r="9585" spans="3:7" x14ac:dyDescent="0.25">
      <c r="C9585" s="8"/>
      <c r="G9585" s="11"/>
    </row>
    <row r="9586" spans="3:7" x14ac:dyDescent="0.25">
      <c r="C9586" s="8"/>
      <c r="G9586" s="11"/>
    </row>
    <row r="9587" spans="3:7" x14ac:dyDescent="0.25">
      <c r="C9587" s="8"/>
      <c r="G9587" s="11"/>
    </row>
    <row r="9588" spans="3:7" x14ac:dyDescent="0.25">
      <c r="C9588" s="8"/>
      <c r="G9588" s="11"/>
    </row>
    <row r="9589" spans="3:7" x14ac:dyDescent="0.25">
      <c r="C9589" s="8"/>
      <c r="G9589" s="11"/>
    </row>
    <row r="9590" spans="3:7" x14ac:dyDescent="0.25">
      <c r="C9590" s="8"/>
      <c r="G9590" s="11"/>
    </row>
    <row r="9591" spans="3:7" x14ac:dyDescent="0.25">
      <c r="C9591" s="8"/>
      <c r="G9591" s="11"/>
    </row>
    <row r="9592" spans="3:7" x14ac:dyDescent="0.25">
      <c r="C9592" s="8"/>
      <c r="G9592" s="11"/>
    </row>
    <row r="9593" spans="3:7" x14ac:dyDescent="0.25">
      <c r="C9593" s="8"/>
      <c r="G9593" s="11"/>
    </row>
    <row r="9594" spans="3:7" x14ac:dyDescent="0.25">
      <c r="C9594" s="8"/>
      <c r="G9594" s="11"/>
    </row>
    <row r="9595" spans="3:7" x14ac:dyDescent="0.25">
      <c r="C9595" s="8"/>
      <c r="G9595" s="11"/>
    </row>
    <row r="9596" spans="3:7" x14ac:dyDescent="0.25">
      <c r="C9596" s="8"/>
      <c r="G9596" s="11"/>
    </row>
    <row r="9597" spans="3:7" x14ac:dyDescent="0.25">
      <c r="C9597" s="8"/>
      <c r="G9597" s="11"/>
    </row>
    <row r="9598" spans="3:7" x14ac:dyDescent="0.25">
      <c r="C9598" s="8"/>
      <c r="G9598" s="11"/>
    </row>
    <row r="9599" spans="3:7" x14ac:dyDescent="0.25">
      <c r="C9599" s="8"/>
      <c r="G9599" s="11"/>
    </row>
    <row r="9600" spans="3:7" x14ac:dyDescent="0.25">
      <c r="C9600" s="8"/>
      <c r="G9600" s="11"/>
    </row>
    <row r="9601" spans="3:7" x14ac:dyDescent="0.25">
      <c r="C9601" s="8"/>
      <c r="G9601" s="11"/>
    </row>
    <row r="9602" spans="3:7" x14ac:dyDescent="0.25">
      <c r="C9602" s="8"/>
      <c r="G9602" s="11"/>
    </row>
    <row r="9603" spans="3:7" x14ac:dyDescent="0.25">
      <c r="C9603" s="8"/>
      <c r="G9603" s="11"/>
    </row>
    <row r="9604" spans="3:7" x14ac:dyDescent="0.25">
      <c r="C9604" s="8"/>
      <c r="G9604" s="11"/>
    </row>
    <row r="9605" spans="3:7" x14ac:dyDescent="0.25">
      <c r="C9605" s="8"/>
      <c r="G9605" s="11"/>
    </row>
    <row r="9606" spans="3:7" x14ac:dyDescent="0.25">
      <c r="C9606" s="8"/>
      <c r="G9606" s="11"/>
    </row>
    <row r="9607" spans="3:7" x14ac:dyDescent="0.25">
      <c r="C9607" s="8"/>
      <c r="G9607" s="11"/>
    </row>
    <row r="9608" spans="3:7" x14ac:dyDescent="0.25">
      <c r="C9608" s="8"/>
      <c r="G9608" s="11"/>
    </row>
    <row r="9609" spans="3:7" x14ac:dyDescent="0.25">
      <c r="C9609" s="8"/>
      <c r="G9609" s="11"/>
    </row>
    <row r="9610" spans="3:7" x14ac:dyDescent="0.25">
      <c r="C9610" s="8"/>
      <c r="G9610" s="11"/>
    </row>
    <row r="9611" spans="3:7" x14ac:dyDescent="0.25">
      <c r="C9611" s="8"/>
      <c r="G9611" s="11"/>
    </row>
    <row r="9612" spans="3:7" x14ac:dyDescent="0.25">
      <c r="C9612" s="8"/>
      <c r="G9612" s="11"/>
    </row>
    <row r="9613" spans="3:7" x14ac:dyDescent="0.25">
      <c r="C9613" s="8"/>
      <c r="G9613" s="11"/>
    </row>
    <row r="9614" spans="3:7" x14ac:dyDescent="0.25">
      <c r="C9614" s="8"/>
      <c r="G9614" s="11"/>
    </row>
    <row r="9615" spans="3:7" x14ac:dyDescent="0.25">
      <c r="C9615" s="8"/>
      <c r="G9615" s="11"/>
    </row>
    <row r="9616" spans="3:7" x14ac:dyDescent="0.25">
      <c r="C9616" s="8"/>
      <c r="G9616" s="11"/>
    </row>
    <row r="9617" spans="3:7" x14ac:dyDescent="0.25">
      <c r="C9617" s="8"/>
      <c r="G9617" s="11"/>
    </row>
    <row r="9618" spans="3:7" x14ac:dyDescent="0.25">
      <c r="C9618" s="8"/>
      <c r="G9618" s="11"/>
    </row>
    <row r="9619" spans="3:7" x14ac:dyDescent="0.25">
      <c r="C9619" s="8"/>
      <c r="G9619" s="11"/>
    </row>
    <row r="9620" spans="3:7" x14ac:dyDescent="0.25">
      <c r="C9620" s="8"/>
      <c r="G9620" s="11"/>
    </row>
    <row r="9621" spans="3:7" x14ac:dyDescent="0.25">
      <c r="C9621" s="8"/>
      <c r="G9621" s="11"/>
    </row>
    <row r="9622" spans="3:7" x14ac:dyDescent="0.25">
      <c r="C9622" s="8"/>
      <c r="G9622" s="11"/>
    </row>
    <row r="9623" spans="3:7" x14ac:dyDescent="0.25">
      <c r="C9623" s="8"/>
      <c r="G9623" s="11"/>
    </row>
    <row r="9624" spans="3:7" x14ac:dyDescent="0.25">
      <c r="C9624" s="8"/>
      <c r="G9624" s="11"/>
    </row>
    <row r="9625" spans="3:7" x14ac:dyDescent="0.25">
      <c r="C9625" s="8"/>
      <c r="G9625" s="11"/>
    </row>
    <row r="9626" spans="3:7" x14ac:dyDescent="0.25">
      <c r="C9626" s="8"/>
      <c r="G9626" s="11"/>
    </row>
    <row r="9627" spans="3:7" x14ac:dyDescent="0.25">
      <c r="C9627" s="8"/>
      <c r="G9627" s="11"/>
    </row>
    <row r="9628" spans="3:7" x14ac:dyDescent="0.25">
      <c r="C9628" s="8"/>
      <c r="G9628" s="11"/>
    </row>
    <row r="9629" spans="3:7" x14ac:dyDescent="0.25">
      <c r="C9629" s="8"/>
      <c r="G9629" s="11"/>
    </row>
    <row r="9630" spans="3:7" x14ac:dyDescent="0.25">
      <c r="C9630" s="8"/>
      <c r="G9630" s="11"/>
    </row>
    <row r="9631" spans="3:7" x14ac:dyDescent="0.25">
      <c r="C9631" s="8"/>
      <c r="G9631" s="11"/>
    </row>
    <row r="9632" spans="3:7" x14ac:dyDescent="0.25">
      <c r="C9632" s="8"/>
      <c r="G9632" s="11"/>
    </row>
    <row r="9633" spans="3:7" x14ac:dyDescent="0.25">
      <c r="C9633" s="8"/>
      <c r="G9633" s="11"/>
    </row>
    <row r="9634" spans="3:7" x14ac:dyDescent="0.25">
      <c r="C9634" s="8"/>
      <c r="G9634" s="11"/>
    </row>
    <row r="9635" spans="3:7" x14ac:dyDescent="0.25">
      <c r="C9635" s="8"/>
      <c r="G9635" s="11"/>
    </row>
    <row r="9636" spans="3:7" x14ac:dyDescent="0.25">
      <c r="C9636" s="8"/>
      <c r="G9636" s="11"/>
    </row>
    <row r="9637" spans="3:7" x14ac:dyDescent="0.25">
      <c r="C9637" s="8"/>
      <c r="G9637" s="11"/>
    </row>
    <row r="9638" spans="3:7" x14ac:dyDescent="0.25">
      <c r="C9638" s="8"/>
      <c r="G9638" s="11"/>
    </row>
    <row r="9639" spans="3:7" x14ac:dyDescent="0.25">
      <c r="C9639" s="8"/>
      <c r="G9639" s="11"/>
    </row>
    <row r="9640" spans="3:7" x14ac:dyDescent="0.25">
      <c r="C9640" s="8"/>
      <c r="G9640" s="11"/>
    </row>
    <row r="9641" spans="3:7" x14ac:dyDescent="0.25">
      <c r="C9641" s="8"/>
      <c r="G9641" s="11"/>
    </row>
    <row r="9642" spans="3:7" x14ac:dyDescent="0.25">
      <c r="C9642" s="8"/>
      <c r="G9642" s="11"/>
    </row>
    <row r="9643" spans="3:7" x14ac:dyDescent="0.25">
      <c r="C9643" s="8"/>
      <c r="G9643" s="11"/>
    </row>
    <row r="9644" spans="3:7" x14ac:dyDescent="0.25">
      <c r="C9644" s="8"/>
      <c r="G9644" s="11"/>
    </row>
    <row r="9645" spans="3:7" x14ac:dyDescent="0.25">
      <c r="C9645" s="8"/>
      <c r="G9645" s="11"/>
    </row>
    <row r="9646" spans="3:7" x14ac:dyDescent="0.25">
      <c r="C9646" s="8"/>
      <c r="G9646" s="11"/>
    </row>
    <row r="9647" spans="3:7" x14ac:dyDescent="0.25">
      <c r="C9647" s="8"/>
      <c r="G9647" s="11"/>
    </row>
    <row r="9648" spans="3:7" x14ac:dyDescent="0.25">
      <c r="C9648" s="8"/>
      <c r="G9648" s="11"/>
    </row>
    <row r="9649" spans="3:7" x14ac:dyDescent="0.25">
      <c r="C9649" s="8"/>
      <c r="G9649" s="11"/>
    </row>
    <row r="9650" spans="3:7" x14ac:dyDescent="0.25">
      <c r="C9650" s="8"/>
      <c r="G9650" s="11"/>
    </row>
    <row r="9651" spans="3:7" x14ac:dyDescent="0.25">
      <c r="C9651" s="8"/>
      <c r="G9651" s="11"/>
    </row>
    <row r="9652" spans="3:7" x14ac:dyDescent="0.25">
      <c r="C9652" s="8"/>
      <c r="G9652" s="11"/>
    </row>
    <row r="9653" spans="3:7" x14ac:dyDescent="0.25">
      <c r="C9653" s="8"/>
      <c r="G9653" s="11"/>
    </row>
    <row r="9654" spans="3:7" x14ac:dyDescent="0.25">
      <c r="C9654" s="8"/>
      <c r="G9654" s="11"/>
    </row>
    <row r="9655" spans="3:7" x14ac:dyDescent="0.25">
      <c r="C9655" s="8"/>
      <c r="G9655" s="11"/>
    </row>
    <row r="9656" spans="3:7" x14ac:dyDescent="0.25">
      <c r="C9656" s="8"/>
      <c r="G9656" s="11"/>
    </row>
    <row r="9657" spans="3:7" x14ac:dyDescent="0.25">
      <c r="C9657" s="8"/>
      <c r="G9657" s="11"/>
    </row>
    <row r="9658" spans="3:7" x14ac:dyDescent="0.25">
      <c r="C9658" s="8"/>
      <c r="G9658" s="11"/>
    </row>
    <row r="9659" spans="3:7" x14ac:dyDescent="0.25">
      <c r="C9659" s="8"/>
      <c r="G9659" s="11"/>
    </row>
    <row r="9660" spans="3:7" x14ac:dyDescent="0.25">
      <c r="C9660" s="8"/>
      <c r="G9660" s="11"/>
    </row>
    <row r="9661" spans="3:7" x14ac:dyDescent="0.25">
      <c r="C9661" s="8"/>
      <c r="G9661" s="11"/>
    </row>
    <row r="9662" spans="3:7" x14ac:dyDescent="0.25">
      <c r="C9662" s="8"/>
      <c r="G9662" s="11"/>
    </row>
    <row r="9663" spans="3:7" x14ac:dyDescent="0.25">
      <c r="C9663" s="8"/>
      <c r="G9663" s="11"/>
    </row>
    <row r="9664" spans="3:7" x14ac:dyDescent="0.25">
      <c r="C9664" s="8"/>
      <c r="G9664" s="11"/>
    </row>
    <row r="9665" spans="3:7" x14ac:dyDescent="0.25">
      <c r="C9665" s="8"/>
      <c r="G9665" s="11"/>
    </row>
    <row r="9666" spans="3:7" x14ac:dyDescent="0.25">
      <c r="C9666" s="8"/>
      <c r="G9666" s="11"/>
    </row>
    <row r="9667" spans="3:7" x14ac:dyDescent="0.25">
      <c r="C9667" s="8"/>
      <c r="G9667" s="11"/>
    </row>
    <row r="9668" spans="3:7" x14ac:dyDescent="0.25">
      <c r="C9668" s="8"/>
      <c r="G9668" s="11"/>
    </row>
    <row r="9669" spans="3:7" x14ac:dyDescent="0.25">
      <c r="C9669" s="8"/>
      <c r="G9669" s="11"/>
    </row>
    <row r="9670" spans="3:7" x14ac:dyDescent="0.25">
      <c r="C9670" s="8"/>
      <c r="G9670" s="11"/>
    </row>
    <row r="9671" spans="3:7" x14ac:dyDescent="0.25">
      <c r="C9671" s="8"/>
      <c r="G9671" s="11"/>
    </row>
    <row r="9672" spans="3:7" x14ac:dyDescent="0.25">
      <c r="C9672" s="8"/>
      <c r="G9672" s="11"/>
    </row>
    <row r="9673" spans="3:7" x14ac:dyDescent="0.25">
      <c r="C9673" s="8"/>
      <c r="G9673" s="11"/>
    </row>
    <row r="9674" spans="3:7" x14ac:dyDescent="0.25">
      <c r="C9674" s="8"/>
      <c r="G9674" s="11"/>
    </row>
    <row r="9675" spans="3:7" x14ac:dyDescent="0.25">
      <c r="C9675" s="8"/>
      <c r="G9675" s="11"/>
    </row>
    <row r="9676" spans="3:7" x14ac:dyDescent="0.25">
      <c r="C9676" s="8"/>
      <c r="G9676" s="11"/>
    </row>
    <row r="9677" spans="3:7" x14ac:dyDescent="0.25">
      <c r="C9677" s="8"/>
      <c r="G9677" s="11"/>
    </row>
    <row r="9678" spans="3:7" x14ac:dyDescent="0.25">
      <c r="C9678" s="8"/>
      <c r="G9678" s="11"/>
    </row>
    <row r="9679" spans="3:7" x14ac:dyDescent="0.25">
      <c r="C9679" s="8"/>
      <c r="G9679" s="11"/>
    </row>
    <row r="9680" spans="3:7" x14ac:dyDescent="0.25">
      <c r="C9680" s="8"/>
      <c r="G9680" s="11"/>
    </row>
    <row r="9681" spans="3:7" x14ac:dyDescent="0.25">
      <c r="C9681" s="8"/>
      <c r="G9681" s="11"/>
    </row>
    <row r="9682" spans="3:7" x14ac:dyDescent="0.25">
      <c r="C9682" s="8"/>
      <c r="G9682" s="11"/>
    </row>
    <row r="9683" spans="3:7" x14ac:dyDescent="0.25">
      <c r="C9683" s="8"/>
      <c r="G9683" s="11"/>
    </row>
    <row r="9684" spans="3:7" x14ac:dyDescent="0.25">
      <c r="C9684" s="8"/>
      <c r="G9684" s="11"/>
    </row>
    <row r="9685" spans="3:7" x14ac:dyDescent="0.25">
      <c r="C9685" s="8"/>
      <c r="G9685" s="11"/>
    </row>
    <row r="9686" spans="3:7" x14ac:dyDescent="0.25">
      <c r="C9686" s="8"/>
      <c r="G9686" s="11"/>
    </row>
    <row r="9687" spans="3:7" x14ac:dyDescent="0.25">
      <c r="C9687" s="8"/>
      <c r="G9687" s="11"/>
    </row>
    <row r="9688" spans="3:7" x14ac:dyDescent="0.25">
      <c r="C9688" s="8"/>
      <c r="G9688" s="11"/>
    </row>
    <row r="9689" spans="3:7" x14ac:dyDescent="0.25">
      <c r="C9689" s="8"/>
      <c r="G9689" s="11"/>
    </row>
    <row r="9690" spans="3:7" x14ac:dyDescent="0.25">
      <c r="C9690" s="8"/>
      <c r="G9690" s="11"/>
    </row>
    <row r="9691" spans="3:7" x14ac:dyDescent="0.25">
      <c r="C9691" s="8"/>
      <c r="G9691" s="11"/>
    </row>
    <row r="9692" spans="3:7" x14ac:dyDescent="0.25">
      <c r="C9692" s="8"/>
      <c r="G9692" s="11"/>
    </row>
    <row r="9693" spans="3:7" x14ac:dyDescent="0.25">
      <c r="C9693" s="8"/>
      <c r="G9693" s="11"/>
    </row>
    <row r="9694" spans="3:7" x14ac:dyDescent="0.25">
      <c r="C9694" s="8"/>
      <c r="G9694" s="11"/>
    </row>
    <row r="9695" spans="3:7" x14ac:dyDescent="0.25">
      <c r="C9695" s="8"/>
      <c r="G9695" s="11"/>
    </row>
    <row r="9696" spans="3:7" x14ac:dyDescent="0.25">
      <c r="C9696" s="8"/>
      <c r="G9696" s="11"/>
    </row>
    <row r="9697" spans="3:7" x14ac:dyDescent="0.25">
      <c r="C9697" s="8"/>
      <c r="G9697" s="11"/>
    </row>
    <row r="9698" spans="3:7" x14ac:dyDescent="0.25">
      <c r="C9698" s="8"/>
      <c r="G9698" s="11"/>
    </row>
    <row r="9699" spans="3:7" x14ac:dyDescent="0.25">
      <c r="C9699" s="8"/>
      <c r="G9699" s="11"/>
    </row>
    <row r="9700" spans="3:7" x14ac:dyDescent="0.25">
      <c r="C9700" s="8"/>
      <c r="G9700" s="11"/>
    </row>
    <row r="9701" spans="3:7" x14ac:dyDescent="0.25">
      <c r="C9701" s="8"/>
      <c r="G9701" s="11"/>
    </row>
    <row r="9702" spans="3:7" x14ac:dyDescent="0.25">
      <c r="C9702" s="8"/>
      <c r="G9702" s="11"/>
    </row>
    <row r="9703" spans="3:7" x14ac:dyDescent="0.25">
      <c r="C9703" s="8"/>
      <c r="G9703" s="11"/>
    </row>
    <row r="9704" spans="3:7" x14ac:dyDescent="0.25">
      <c r="C9704" s="8"/>
      <c r="G9704" s="11"/>
    </row>
    <row r="9705" spans="3:7" x14ac:dyDescent="0.25">
      <c r="C9705" s="8"/>
      <c r="G9705" s="11"/>
    </row>
    <row r="9706" spans="3:7" x14ac:dyDescent="0.25">
      <c r="C9706" s="8"/>
      <c r="G9706" s="11"/>
    </row>
    <row r="9707" spans="3:7" x14ac:dyDescent="0.25">
      <c r="C9707" s="8"/>
      <c r="G9707" s="11"/>
    </row>
    <row r="9708" spans="3:7" x14ac:dyDescent="0.25">
      <c r="C9708" s="8"/>
      <c r="G9708" s="11"/>
    </row>
    <row r="9709" spans="3:7" x14ac:dyDescent="0.25">
      <c r="C9709" s="8"/>
      <c r="G9709" s="11"/>
    </row>
    <row r="9710" spans="3:7" x14ac:dyDescent="0.25">
      <c r="C9710" s="8"/>
      <c r="G9710" s="11"/>
    </row>
    <row r="9711" spans="3:7" x14ac:dyDescent="0.25">
      <c r="C9711" s="8"/>
      <c r="G9711" s="11"/>
    </row>
    <row r="9712" spans="3:7" x14ac:dyDescent="0.25">
      <c r="C9712" s="8"/>
      <c r="G9712" s="11"/>
    </row>
    <row r="9713" spans="3:7" x14ac:dyDescent="0.25">
      <c r="C9713" s="8"/>
      <c r="G9713" s="11"/>
    </row>
    <row r="9714" spans="3:7" x14ac:dyDescent="0.25">
      <c r="C9714" s="8"/>
      <c r="G9714" s="11"/>
    </row>
    <row r="9715" spans="3:7" x14ac:dyDescent="0.25">
      <c r="C9715" s="8"/>
      <c r="G9715" s="11"/>
    </row>
    <row r="9716" spans="3:7" x14ac:dyDescent="0.25">
      <c r="C9716" s="8"/>
      <c r="G9716" s="11"/>
    </row>
    <row r="9717" spans="3:7" x14ac:dyDescent="0.25">
      <c r="C9717" s="8"/>
      <c r="G9717" s="11"/>
    </row>
    <row r="9718" spans="3:7" x14ac:dyDescent="0.25">
      <c r="C9718" s="8"/>
      <c r="G9718" s="11"/>
    </row>
    <row r="9719" spans="3:7" x14ac:dyDescent="0.25">
      <c r="C9719" s="8"/>
      <c r="G9719" s="11"/>
    </row>
    <row r="9720" spans="3:7" x14ac:dyDescent="0.25">
      <c r="C9720" s="8"/>
      <c r="G9720" s="11"/>
    </row>
    <row r="9721" spans="3:7" x14ac:dyDescent="0.25">
      <c r="C9721" s="8"/>
      <c r="G9721" s="11"/>
    </row>
    <row r="9722" spans="3:7" x14ac:dyDescent="0.25">
      <c r="C9722" s="8"/>
      <c r="G9722" s="11"/>
    </row>
    <row r="9723" spans="3:7" x14ac:dyDescent="0.25">
      <c r="C9723" s="8"/>
      <c r="G9723" s="11"/>
    </row>
    <row r="9724" spans="3:7" x14ac:dyDescent="0.25">
      <c r="C9724" s="8"/>
      <c r="G9724" s="11"/>
    </row>
    <row r="9725" spans="3:7" x14ac:dyDescent="0.25">
      <c r="C9725" s="8"/>
      <c r="G9725" s="11"/>
    </row>
    <row r="9726" spans="3:7" x14ac:dyDescent="0.25">
      <c r="C9726" s="8"/>
      <c r="G9726" s="11"/>
    </row>
    <row r="9727" spans="3:7" x14ac:dyDescent="0.25">
      <c r="C9727" s="8"/>
      <c r="G9727" s="11"/>
    </row>
    <row r="9728" spans="3:7" x14ac:dyDescent="0.25">
      <c r="C9728" s="8"/>
      <c r="G9728" s="11"/>
    </row>
    <row r="9729" spans="3:7" x14ac:dyDescent="0.25">
      <c r="C9729" s="8"/>
      <c r="G9729" s="11"/>
    </row>
    <row r="9730" spans="3:7" x14ac:dyDescent="0.25">
      <c r="C9730" s="8"/>
      <c r="G9730" s="11"/>
    </row>
    <row r="9731" spans="3:7" x14ac:dyDescent="0.25">
      <c r="C9731" s="8"/>
      <c r="G9731" s="11"/>
    </row>
    <row r="9732" spans="3:7" x14ac:dyDescent="0.25">
      <c r="C9732" s="8"/>
      <c r="G9732" s="11"/>
    </row>
    <row r="9733" spans="3:7" x14ac:dyDescent="0.25">
      <c r="C9733" s="8"/>
      <c r="G9733" s="11"/>
    </row>
    <row r="9734" spans="3:7" x14ac:dyDescent="0.25">
      <c r="C9734" s="8"/>
      <c r="G9734" s="11"/>
    </row>
    <row r="9735" spans="3:7" x14ac:dyDescent="0.25">
      <c r="C9735" s="8"/>
      <c r="G9735" s="11"/>
    </row>
    <row r="9736" spans="3:7" x14ac:dyDescent="0.25">
      <c r="C9736" s="8"/>
      <c r="G9736" s="11"/>
    </row>
    <row r="9737" spans="3:7" x14ac:dyDescent="0.25">
      <c r="C9737" s="8"/>
      <c r="G9737" s="11"/>
    </row>
    <row r="9738" spans="3:7" x14ac:dyDescent="0.25">
      <c r="C9738" s="8"/>
      <c r="G9738" s="11"/>
    </row>
    <row r="9739" spans="3:7" x14ac:dyDescent="0.25">
      <c r="C9739" s="8"/>
      <c r="G9739" s="11"/>
    </row>
    <row r="9740" spans="3:7" x14ac:dyDescent="0.25">
      <c r="C9740" s="8"/>
      <c r="G9740" s="11"/>
    </row>
    <row r="9741" spans="3:7" x14ac:dyDescent="0.25">
      <c r="C9741" s="8"/>
      <c r="G9741" s="11"/>
    </row>
    <row r="9742" spans="3:7" x14ac:dyDescent="0.25">
      <c r="C9742" s="8"/>
      <c r="G9742" s="11"/>
    </row>
    <row r="9743" spans="3:7" x14ac:dyDescent="0.25">
      <c r="C9743" s="8"/>
      <c r="G9743" s="11"/>
    </row>
    <row r="9744" spans="3:7" x14ac:dyDescent="0.25">
      <c r="C9744" s="8"/>
      <c r="G9744" s="11"/>
    </row>
    <row r="9745" spans="3:7" x14ac:dyDescent="0.25">
      <c r="C9745" s="8"/>
      <c r="G9745" s="11"/>
    </row>
    <row r="9746" spans="3:7" x14ac:dyDescent="0.25">
      <c r="C9746" s="8"/>
      <c r="G9746" s="11"/>
    </row>
    <row r="9747" spans="3:7" x14ac:dyDescent="0.25">
      <c r="C9747" s="8"/>
      <c r="G9747" s="11"/>
    </row>
    <row r="9748" spans="3:7" x14ac:dyDescent="0.25">
      <c r="C9748" s="8"/>
      <c r="G9748" s="11"/>
    </row>
    <row r="9749" spans="3:7" x14ac:dyDescent="0.25">
      <c r="C9749" s="8"/>
      <c r="G9749" s="11"/>
    </row>
    <row r="9750" spans="3:7" x14ac:dyDescent="0.25">
      <c r="C9750" s="8"/>
      <c r="G9750" s="11"/>
    </row>
    <row r="9751" spans="3:7" x14ac:dyDescent="0.25">
      <c r="C9751" s="8"/>
      <c r="G9751" s="11"/>
    </row>
    <row r="9752" spans="3:7" x14ac:dyDescent="0.25">
      <c r="C9752" s="8"/>
      <c r="G9752" s="11"/>
    </row>
    <row r="9753" spans="3:7" x14ac:dyDescent="0.25">
      <c r="C9753" s="8"/>
      <c r="G9753" s="11"/>
    </row>
    <row r="9754" spans="3:7" x14ac:dyDescent="0.25">
      <c r="C9754" s="8"/>
      <c r="G9754" s="11"/>
    </row>
    <row r="9755" spans="3:7" x14ac:dyDescent="0.25">
      <c r="C9755" s="8"/>
      <c r="G9755" s="11"/>
    </row>
    <row r="9756" spans="3:7" x14ac:dyDescent="0.25">
      <c r="C9756" s="8"/>
      <c r="G9756" s="11"/>
    </row>
    <row r="9757" spans="3:7" x14ac:dyDescent="0.25">
      <c r="C9757" s="8"/>
      <c r="G9757" s="11"/>
    </row>
    <row r="9758" spans="3:7" x14ac:dyDescent="0.25">
      <c r="C9758" s="8"/>
      <c r="G9758" s="11"/>
    </row>
    <row r="9759" spans="3:7" x14ac:dyDescent="0.25">
      <c r="C9759" s="8"/>
      <c r="G9759" s="11"/>
    </row>
    <row r="9760" spans="3:7" x14ac:dyDescent="0.25">
      <c r="C9760" s="8"/>
      <c r="G9760" s="11"/>
    </row>
    <row r="9761" spans="3:7" x14ac:dyDescent="0.25">
      <c r="C9761" s="8"/>
      <c r="G9761" s="11"/>
    </row>
    <row r="9762" spans="3:7" x14ac:dyDescent="0.25">
      <c r="C9762" s="8"/>
      <c r="G9762" s="11"/>
    </row>
    <row r="9763" spans="3:7" x14ac:dyDescent="0.25">
      <c r="C9763" s="8"/>
      <c r="G9763" s="11"/>
    </row>
    <row r="9764" spans="3:7" x14ac:dyDescent="0.25">
      <c r="C9764" s="8"/>
      <c r="G9764" s="11"/>
    </row>
    <row r="9765" spans="3:7" x14ac:dyDescent="0.25">
      <c r="C9765" s="8"/>
      <c r="G9765" s="11"/>
    </row>
    <row r="9766" spans="3:7" x14ac:dyDescent="0.25">
      <c r="C9766" s="8"/>
      <c r="G9766" s="11"/>
    </row>
    <row r="9767" spans="3:7" x14ac:dyDescent="0.25">
      <c r="C9767" s="8"/>
      <c r="G9767" s="11"/>
    </row>
    <row r="9768" spans="3:7" x14ac:dyDescent="0.25">
      <c r="C9768" s="8"/>
      <c r="G9768" s="11"/>
    </row>
    <row r="9769" spans="3:7" x14ac:dyDescent="0.25">
      <c r="C9769" s="8"/>
      <c r="G9769" s="11"/>
    </row>
    <row r="9770" spans="3:7" x14ac:dyDescent="0.25">
      <c r="C9770" s="8"/>
      <c r="G9770" s="11"/>
    </row>
    <row r="9771" spans="3:7" x14ac:dyDescent="0.25">
      <c r="C9771" s="8"/>
      <c r="G9771" s="11"/>
    </row>
    <row r="9772" spans="3:7" x14ac:dyDescent="0.25">
      <c r="C9772" s="8"/>
      <c r="G9772" s="11"/>
    </row>
    <row r="9773" spans="3:7" x14ac:dyDescent="0.25">
      <c r="C9773" s="8"/>
      <c r="G9773" s="11"/>
    </row>
    <row r="9774" spans="3:7" x14ac:dyDescent="0.25">
      <c r="C9774" s="8"/>
      <c r="G9774" s="11"/>
    </row>
    <row r="9775" spans="3:7" x14ac:dyDescent="0.25">
      <c r="C9775" s="8"/>
      <c r="G9775" s="11"/>
    </row>
    <row r="9776" spans="3:7" x14ac:dyDescent="0.25">
      <c r="C9776" s="8"/>
      <c r="G9776" s="11"/>
    </row>
    <row r="9777" spans="3:7" x14ac:dyDescent="0.25">
      <c r="C9777" s="8"/>
      <c r="G9777" s="11"/>
    </row>
    <row r="9778" spans="3:7" x14ac:dyDescent="0.25">
      <c r="C9778" s="8"/>
      <c r="G9778" s="11"/>
    </row>
    <row r="9779" spans="3:7" x14ac:dyDescent="0.25">
      <c r="C9779" s="8"/>
      <c r="G9779" s="11"/>
    </row>
    <row r="9780" spans="3:7" x14ac:dyDescent="0.25">
      <c r="C9780" s="8"/>
      <c r="G9780" s="11"/>
    </row>
    <row r="9781" spans="3:7" x14ac:dyDescent="0.25">
      <c r="C9781" s="8"/>
      <c r="G9781" s="11"/>
    </row>
    <row r="9782" spans="3:7" x14ac:dyDescent="0.25">
      <c r="C9782" s="8"/>
      <c r="G9782" s="11"/>
    </row>
    <row r="9783" spans="3:7" x14ac:dyDescent="0.25">
      <c r="C9783" s="8"/>
      <c r="G9783" s="11"/>
    </row>
    <row r="9784" spans="3:7" x14ac:dyDescent="0.25">
      <c r="C9784" s="8"/>
      <c r="G9784" s="11"/>
    </row>
    <row r="9785" spans="3:7" x14ac:dyDescent="0.25">
      <c r="C9785" s="8"/>
      <c r="G9785" s="11"/>
    </row>
    <row r="9786" spans="3:7" x14ac:dyDescent="0.25">
      <c r="C9786" s="8"/>
      <c r="G9786" s="11"/>
    </row>
    <row r="9787" spans="3:7" x14ac:dyDescent="0.25">
      <c r="C9787" s="8"/>
      <c r="G9787" s="11"/>
    </row>
    <row r="9788" spans="3:7" x14ac:dyDescent="0.25">
      <c r="C9788" s="8"/>
      <c r="G9788" s="11"/>
    </row>
    <row r="9789" spans="3:7" x14ac:dyDescent="0.25">
      <c r="C9789" s="8"/>
      <c r="G9789" s="11"/>
    </row>
    <row r="9790" spans="3:7" x14ac:dyDescent="0.25">
      <c r="C9790" s="8"/>
      <c r="G9790" s="11"/>
    </row>
    <row r="9791" spans="3:7" x14ac:dyDescent="0.25">
      <c r="C9791" s="8"/>
      <c r="G9791" s="11"/>
    </row>
    <row r="9792" spans="3:7" x14ac:dyDescent="0.25">
      <c r="C9792" s="8"/>
      <c r="G9792" s="11"/>
    </row>
    <row r="9793" spans="3:7" x14ac:dyDescent="0.25">
      <c r="C9793" s="8"/>
      <c r="G9793" s="11"/>
    </row>
    <row r="9794" spans="3:7" x14ac:dyDescent="0.25">
      <c r="C9794" s="8"/>
      <c r="G9794" s="11"/>
    </row>
    <row r="9795" spans="3:7" x14ac:dyDescent="0.25">
      <c r="C9795" s="8"/>
      <c r="G9795" s="11"/>
    </row>
    <row r="9796" spans="3:7" x14ac:dyDescent="0.25">
      <c r="C9796" s="8"/>
      <c r="G9796" s="11"/>
    </row>
    <row r="9797" spans="3:7" x14ac:dyDescent="0.25">
      <c r="C9797" s="8"/>
      <c r="G9797" s="11"/>
    </row>
    <row r="9798" spans="3:7" x14ac:dyDescent="0.25">
      <c r="C9798" s="8"/>
      <c r="G9798" s="11"/>
    </row>
    <row r="9799" spans="3:7" x14ac:dyDescent="0.25">
      <c r="C9799" s="8"/>
      <c r="G9799" s="11"/>
    </row>
    <row r="9800" spans="3:7" x14ac:dyDescent="0.25">
      <c r="C9800" s="8"/>
      <c r="G9800" s="11"/>
    </row>
    <row r="9801" spans="3:7" x14ac:dyDescent="0.25">
      <c r="C9801" s="8"/>
      <c r="G9801" s="11"/>
    </row>
    <row r="9802" spans="3:7" x14ac:dyDescent="0.25">
      <c r="C9802" s="8"/>
      <c r="G9802" s="11"/>
    </row>
    <row r="9803" spans="3:7" x14ac:dyDescent="0.25">
      <c r="C9803" s="8"/>
      <c r="G9803" s="11"/>
    </row>
    <row r="9804" spans="3:7" x14ac:dyDescent="0.25">
      <c r="C9804" s="8"/>
      <c r="G9804" s="11"/>
    </row>
    <row r="9805" spans="3:7" x14ac:dyDescent="0.25">
      <c r="C9805" s="8"/>
      <c r="G9805" s="11"/>
    </row>
    <row r="9806" spans="3:7" x14ac:dyDescent="0.25">
      <c r="C9806" s="8"/>
      <c r="G9806" s="11"/>
    </row>
    <row r="9807" spans="3:7" x14ac:dyDescent="0.25">
      <c r="C9807" s="8"/>
      <c r="G9807" s="11"/>
    </row>
    <row r="9808" spans="3:7" x14ac:dyDescent="0.25">
      <c r="C9808" s="8"/>
      <c r="G9808" s="11"/>
    </row>
    <row r="9809" spans="3:7" x14ac:dyDescent="0.25">
      <c r="C9809" s="8"/>
      <c r="G9809" s="11"/>
    </row>
    <row r="9810" spans="3:7" x14ac:dyDescent="0.25">
      <c r="C9810" s="8"/>
      <c r="G9810" s="11"/>
    </row>
    <row r="9811" spans="3:7" x14ac:dyDescent="0.25">
      <c r="C9811" s="8"/>
      <c r="G9811" s="11"/>
    </row>
    <row r="9812" spans="3:7" x14ac:dyDescent="0.25">
      <c r="C9812" s="8"/>
      <c r="G9812" s="11"/>
    </row>
    <row r="9813" spans="3:7" x14ac:dyDescent="0.25">
      <c r="C9813" s="8"/>
      <c r="G9813" s="11"/>
    </row>
    <row r="9814" spans="3:7" x14ac:dyDescent="0.25">
      <c r="C9814" s="8"/>
      <c r="G9814" s="11"/>
    </row>
    <row r="9815" spans="3:7" x14ac:dyDescent="0.25">
      <c r="C9815" s="8"/>
      <c r="G9815" s="11"/>
    </row>
    <row r="9816" spans="3:7" x14ac:dyDescent="0.25">
      <c r="C9816" s="8"/>
      <c r="G9816" s="11"/>
    </row>
    <row r="9817" spans="3:7" x14ac:dyDescent="0.25">
      <c r="C9817" s="8"/>
      <c r="G9817" s="11"/>
    </row>
    <row r="9818" spans="3:7" x14ac:dyDescent="0.25">
      <c r="C9818" s="8"/>
      <c r="G9818" s="11"/>
    </row>
    <row r="9819" spans="3:7" x14ac:dyDescent="0.25">
      <c r="C9819" s="8"/>
      <c r="G9819" s="11"/>
    </row>
    <row r="9820" spans="3:7" x14ac:dyDescent="0.25">
      <c r="C9820" s="8"/>
      <c r="G9820" s="11"/>
    </row>
    <row r="9821" spans="3:7" x14ac:dyDescent="0.25">
      <c r="C9821" s="8"/>
      <c r="G9821" s="11"/>
    </row>
    <row r="9822" spans="3:7" x14ac:dyDescent="0.25">
      <c r="C9822" s="8"/>
      <c r="G9822" s="11"/>
    </row>
    <row r="9823" spans="3:7" x14ac:dyDescent="0.25">
      <c r="C9823" s="8"/>
      <c r="G9823" s="11"/>
    </row>
    <row r="9824" spans="3:7" x14ac:dyDescent="0.25">
      <c r="C9824" s="8"/>
      <c r="G9824" s="11"/>
    </row>
    <row r="9825" spans="3:7" x14ac:dyDescent="0.25">
      <c r="C9825" s="8"/>
      <c r="G9825" s="11"/>
    </row>
    <row r="9826" spans="3:7" x14ac:dyDescent="0.25">
      <c r="C9826" s="8"/>
      <c r="G9826" s="11"/>
    </row>
    <row r="9827" spans="3:7" x14ac:dyDescent="0.25">
      <c r="C9827" s="8"/>
      <c r="G9827" s="11"/>
    </row>
    <row r="9828" spans="3:7" x14ac:dyDescent="0.25">
      <c r="C9828" s="8"/>
      <c r="G9828" s="11"/>
    </row>
    <row r="9829" spans="3:7" x14ac:dyDescent="0.25">
      <c r="C9829" s="8"/>
      <c r="G9829" s="11"/>
    </row>
    <row r="9830" spans="3:7" x14ac:dyDescent="0.25">
      <c r="C9830" s="8"/>
      <c r="G9830" s="11"/>
    </row>
    <row r="9831" spans="3:7" x14ac:dyDescent="0.25">
      <c r="C9831" s="8"/>
      <c r="G9831" s="11"/>
    </row>
    <row r="9832" spans="3:7" x14ac:dyDescent="0.25">
      <c r="C9832" s="8"/>
      <c r="G9832" s="11"/>
    </row>
    <row r="9833" spans="3:7" x14ac:dyDescent="0.25">
      <c r="C9833" s="8"/>
      <c r="G9833" s="11"/>
    </row>
    <row r="9834" spans="3:7" x14ac:dyDescent="0.25">
      <c r="C9834" s="8"/>
      <c r="G9834" s="11"/>
    </row>
    <row r="9835" spans="3:7" x14ac:dyDescent="0.25">
      <c r="C9835" s="8"/>
      <c r="G9835" s="11"/>
    </row>
    <row r="9836" spans="3:7" x14ac:dyDescent="0.25">
      <c r="C9836" s="8"/>
      <c r="G9836" s="11"/>
    </row>
    <row r="9837" spans="3:7" x14ac:dyDescent="0.25">
      <c r="C9837" s="8"/>
      <c r="G9837" s="11"/>
    </row>
    <row r="9838" spans="3:7" x14ac:dyDescent="0.25">
      <c r="C9838" s="8"/>
      <c r="G9838" s="11"/>
    </row>
    <row r="9839" spans="3:7" x14ac:dyDescent="0.25">
      <c r="C9839" s="8"/>
      <c r="G9839" s="11"/>
    </row>
    <row r="9840" spans="3:7" x14ac:dyDescent="0.25">
      <c r="C9840" s="8"/>
      <c r="G9840" s="11"/>
    </row>
    <row r="9841" spans="3:7" x14ac:dyDescent="0.25">
      <c r="C9841" s="8"/>
      <c r="G9841" s="11"/>
    </row>
    <row r="9842" spans="3:7" x14ac:dyDescent="0.25">
      <c r="C9842" s="8"/>
      <c r="G9842" s="11"/>
    </row>
    <row r="9843" spans="3:7" x14ac:dyDescent="0.25">
      <c r="C9843" s="8"/>
      <c r="G9843" s="11"/>
    </row>
    <row r="9844" spans="3:7" x14ac:dyDescent="0.25">
      <c r="C9844" s="8"/>
      <c r="G9844" s="11"/>
    </row>
    <row r="9845" spans="3:7" x14ac:dyDescent="0.25">
      <c r="C9845" s="8"/>
      <c r="G9845" s="11"/>
    </row>
    <row r="9846" spans="3:7" x14ac:dyDescent="0.25">
      <c r="C9846" s="8"/>
      <c r="G9846" s="11"/>
    </row>
    <row r="9847" spans="3:7" x14ac:dyDescent="0.25">
      <c r="C9847" s="8"/>
      <c r="G9847" s="11"/>
    </row>
    <row r="9848" spans="3:7" x14ac:dyDescent="0.25">
      <c r="C9848" s="8"/>
      <c r="G9848" s="11"/>
    </row>
    <row r="9849" spans="3:7" x14ac:dyDescent="0.25">
      <c r="C9849" s="8"/>
      <c r="G9849" s="11"/>
    </row>
    <row r="9850" spans="3:7" x14ac:dyDescent="0.25">
      <c r="C9850" s="8"/>
      <c r="G9850" s="11"/>
    </row>
    <row r="9851" spans="3:7" x14ac:dyDescent="0.25">
      <c r="C9851" s="8"/>
      <c r="G9851" s="11"/>
    </row>
    <row r="9852" spans="3:7" x14ac:dyDescent="0.25">
      <c r="C9852" s="8"/>
      <c r="G9852" s="11"/>
    </row>
    <row r="9853" spans="3:7" x14ac:dyDescent="0.25">
      <c r="C9853" s="8"/>
      <c r="G9853" s="11"/>
    </row>
    <row r="9854" spans="3:7" x14ac:dyDescent="0.25">
      <c r="C9854" s="8"/>
      <c r="G9854" s="11"/>
    </row>
    <row r="9855" spans="3:7" x14ac:dyDescent="0.25">
      <c r="C9855" s="8"/>
      <c r="G9855" s="11"/>
    </row>
    <row r="9856" spans="3:7" x14ac:dyDescent="0.25">
      <c r="C9856" s="8"/>
      <c r="G9856" s="11"/>
    </row>
    <row r="9857" spans="3:7" x14ac:dyDescent="0.25">
      <c r="C9857" s="8"/>
      <c r="G9857" s="11"/>
    </row>
    <row r="9858" spans="3:7" x14ac:dyDescent="0.25">
      <c r="C9858" s="8"/>
      <c r="G9858" s="11"/>
    </row>
    <row r="9859" spans="3:7" x14ac:dyDescent="0.25">
      <c r="C9859" s="8"/>
      <c r="G9859" s="11"/>
    </row>
    <row r="9860" spans="3:7" x14ac:dyDescent="0.25">
      <c r="C9860" s="8"/>
      <c r="G9860" s="11"/>
    </row>
    <row r="9861" spans="3:7" x14ac:dyDescent="0.25">
      <c r="C9861" s="8"/>
      <c r="G9861" s="11"/>
    </row>
    <row r="9862" spans="3:7" x14ac:dyDescent="0.25">
      <c r="C9862" s="8"/>
      <c r="G9862" s="11"/>
    </row>
    <row r="9863" spans="3:7" x14ac:dyDescent="0.25">
      <c r="C9863" s="8"/>
      <c r="G9863" s="11"/>
    </row>
    <row r="9864" spans="3:7" x14ac:dyDescent="0.25">
      <c r="C9864" s="8"/>
      <c r="G9864" s="11"/>
    </row>
    <row r="9865" spans="3:7" x14ac:dyDescent="0.25">
      <c r="C9865" s="8"/>
      <c r="G9865" s="11"/>
    </row>
    <row r="9866" spans="3:7" x14ac:dyDescent="0.25">
      <c r="C9866" s="8"/>
      <c r="G9866" s="11"/>
    </row>
    <row r="9867" spans="3:7" x14ac:dyDescent="0.25">
      <c r="C9867" s="8"/>
      <c r="G9867" s="11"/>
    </row>
    <row r="9868" spans="3:7" x14ac:dyDescent="0.25">
      <c r="C9868" s="8"/>
      <c r="G9868" s="11"/>
    </row>
    <row r="9869" spans="3:7" x14ac:dyDescent="0.25">
      <c r="C9869" s="8"/>
      <c r="G9869" s="11"/>
    </row>
    <row r="9870" spans="3:7" x14ac:dyDescent="0.25">
      <c r="C9870" s="8"/>
      <c r="G9870" s="11"/>
    </row>
    <row r="9871" spans="3:7" x14ac:dyDescent="0.25">
      <c r="C9871" s="8"/>
      <c r="G9871" s="11"/>
    </row>
    <row r="9872" spans="3:7" x14ac:dyDescent="0.25">
      <c r="C9872" s="8"/>
      <c r="G9872" s="11"/>
    </row>
    <row r="9873" spans="3:7" x14ac:dyDescent="0.25">
      <c r="C9873" s="8"/>
      <c r="G9873" s="11"/>
    </row>
    <row r="9874" spans="3:7" x14ac:dyDescent="0.25">
      <c r="C9874" s="8"/>
      <c r="G9874" s="11"/>
    </row>
    <row r="9875" spans="3:7" x14ac:dyDescent="0.25">
      <c r="C9875" s="8"/>
      <c r="G9875" s="11"/>
    </row>
    <row r="9876" spans="3:7" x14ac:dyDescent="0.25">
      <c r="C9876" s="8"/>
      <c r="G9876" s="11"/>
    </row>
    <row r="9877" spans="3:7" x14ac:dyDescent="0.25">
      <c r="C9877" s="8"/>
      <c r="G9877" s="11"/>
    </row>
    <row r="9878" spans="3:7" x14ac:dyDescent="0.25">
      <c r="C9878" s="8"/>
      <c r="G9878" s="11"/>
    </row>
    <row r="9879" spans="3:7" x14ac:dyDescent="0.25">
      <c r="C9879" s="8"/>
      <c r="G9879" s="11"/>
    </row>
    <row r="9880" spans="3:7" x14ac:dyDescent="0.25">
      <c r="C9880" s="8"/>
      <c r="G9880" s="11"/>
    </row>
    <row r="9881" spans="3:7" x14ac:dyDescent="0.25">
      <c r="C9881" s="8"/>
      <c r="G9881" s="11"/>
    </row>
    <row r="9882" spans="3:7" x14ac:dyDescent="0.25">
      <c r="C9882" s="8"/>
      <c r="G9882" s="11"/>
    </row>
    <row r="9883" spans="3:7" x14ac:dyDescent="0.25">
      <c r="C9883" s="8"/>
      <c r="G9883" s="11"/>
    </row>
    <row r="9884" spans="3:7" x14ac:dyDescent="0.25">
      <c r="C9884" s="8"/>
      <c r="G9884" s="11"/>
    </row>
    <row r="9885" spans="3:7" x14ac:dyDescent="0.25">
      <c r="C9885" s="8"/>
      <c r="G9885" s="11"/>
    </row>
    <row r="9886" spans="3:7" x14ac:dyDescent="0.25">
      <c r="C9886" s="8"/>
      <c r="G9886" s="11"/>
    </row>
    <row r="9887" spans="3:7" x14ac:dyDescent="0.25">
      <c r="C9887" s="8"/>
      <c r="G9887" s="11"/>
    </row>
    <row r="9888" spans="3:7" x14ac:dyDescent="0.25">
      <c r="C9888" s="8"/>
      <c r="G9888" s="11"/>
    </row>
    <row r="9889" spans="3:7" x14ac:dyDescent="0.25">
      <c r="C9889" s="8"/>
      <c r="G9889" s="11"/>
    </row>
    <row r="9890" spans="3:7" x14ac:dyDescent="0.25">
      <c r="C9890" s="8"/>
      <c r="G9890" s="11"/>
    </row>
    <row r="9891" spans="3:7" x14ac:dyDescent="0.25">
      <c r="C9891" s="8"/>
      <c r="G9891" s="11"/>
    </row>
    <row r="9892" spans="3:7" x14ac:dyDescent="0.25">
      <c r="C9892" s="8"/>
      <c r="G9892" s="11"/>
    </row>
    <row r="9893" spans="3:7" x14ac:dyDescent="0.25">
      <c r="C9893" s="8"/>
      <c r="G9893" s="11"/>
    </row>
    <row r="9894" spans="3:7" x14ac:dyDescent="0.25">
      <c r="C9894" s="8"/>
      <c r="G9894" s="11"/>
    </row>
    <row r="9895" spans="3:7" x14ac:dyDescent="0.25">
      <c r="C9895" s="8"/>
      <c r="G9895" s="11"/>
    </row>
    <row r="9896" spans="3:7" x14ac:dyDescent="0.25">
      <c r="C9896" s="8"/>
      <c r="G9896" s="11"/>
    </row>
    <row r="9897" spans="3:7" x14ac:dyDescent="0.25">
      <c r="C9897" s="8"/>
      <c r="G9897" s="11"/>
    </row>
    <row r="9898" spans="3:7" x14ac:dyDescent="0.25">
      <c r="C9898" s="8"/>
      <c r="G9898" s="11"/>
    </row>
    <row r="9899" spans="3:7" x14ac:dyDescent="0.25">
      <c r="C9899" s="8"/>
      <c r="G9899" s="11"/>
    </row>
    <row r="9900" spans="3:7" x14ac:dyDescent="0.25">
      <c r="C9900" s="8"/>
      <c r="G9900" s="11"/>
    </row>
    <row r="9901" spans="3:7" x14ac:dyDescent="0.25">
      <c r="C9901" s="8"/>
      <c r="G9901" s="11"/>
    </row>
    <row r="9902" spans="3:7" x14ac:dyDescent="0.25">
      <c r="C9902" s="8"/>
      <c r="G9902" s="11"/>
    </row>
    <row r="9903" spans="3:7" x14ac:dyDescent="0.25">
      <c r="C9903" s="8"/>
      <c r="G9903" s="11"/>
    </row>
    <row r="9904" spans="3:7" x14ac:dyDescent="0.25">
      <c r="C9904" s="8"/>
      <c r="G9904" s="11"/>
    </row>
    <row r="9905" spans="3:7" x14ac:dyDescent="0.25">
      <c r="C9905" s="8"/>
      <c r="G9905" s="11"/>
    </row>
    <row r="9906" spans="3:7" x14ac:dyDescent="0.25">
      <c r="C9906" s="8"/>
      <c r="G9906" s="11"/>
    </row>
    <row r="9907" spans="3:7" x14ac:dyDescent="0.25">
      <c r="C9907" s="8"/>
      <c r="G9907" s="11"/>
    </row>
    <row r="9908" spans="3:7" x14ac:dyDescent="0.25">
      <c r="C9908" s="8"/>
      <c r="G9908" s="11"/>
    </row>
    <row r="9909" spans="3:7" x14ac:dyDescent="0.25">
      <c r="C9909" s="8"/>
      <c r="G9909" s="11"/>
    </row>
    <row r="9910" spans="3:7" x14ac:dyDescent="0.25">
      <c r="C9910" s="8"/>
      <c r="G9910" s="11"/>
    </row>
    <row r="9911" spans="3:7" x14ac:dyDescent="0.25">
      <c r="C9911" s="8"/>
      <c r="G9911" s="11"/>
    </row>
    <row r="9912" spans="3:7" x14ac:dyDescent="0.25">
      <c r="C9912" s="8"/>
      <c r="G9912" s="11"/>
    </row>
    <row r="9913" spans="3:7" x14ac:dyDescent="0.25">
      <c r="C9913" s="8"/>
      <c r="G9913" s="11"/>
    </row>
    <row r="9914" spans="3:7" x14ac:dyDescent="0.25">
      <c r="C9914" s="8"/>
      <c r="G9914" s="11"/>
    </row>
    <row r="9915" spans="3:7" x14ac:dyDescent="0.25">
      <c r="C9915" s="8"/>
      <c r="G9915" s="11"/>
    </row>
    <row r="9916" spans="3:7" x14ac:dyDescent="0.25">
      <c r="C9916" s="8"/>
      <c r="G9916" s="11"/>
    </row>
    <row r="9917" spans="3:7" x14ac:dyDescent="0.25">
      <c r="C9917" s="8"/>
      <c r="G9917" s="11"/>
    </row>
    <row r="9918" spans="3:7" x14ac:dyDescent="0.25">
      <c r="C9918" s="8"/>
      <c r="G9918" s="11"/>
    </row>
    <row r="9919" spans="3:7" x14ac:dyDescent="0.25">
      <c r="C9919" s="8"/>
      <c r="G9919" s="11"/>
    </row>
    <row r="9920" spans="3:7" x14ac:dyDescent="0.25">
      <c r="C9920" s="8"/>
      <c r="G9920" s="11"/>
    </row>
    <row r="9921" spans="3:7" x14ac:dyDescent="0.25">
      <c r="C9921" s="8"/>
      <c r="G9921" s="11"/>
    </row>
    <row r="9922" spans="3:7" x14ac:dyDescent="0.25">
      <c r="C9922" s="8"/>
      <c r="G9922" s="11"/>
    </row>
    <row r="9923" spans="3:7" x14ac:dyDescent="0.25">
      <c r="C9923" s="8"/>
      <c r="G9923" s="11"/>
    </row>
    <row r="9924" spans="3:7" x14ac:dyDescent="0.25">
      <c r="C9924" s="8"/>
      <c r="G9924" s="11"/>
    </row>
    <row r="9925" spans="3:7" x14ac:dyDescent="0.25">
      <c r="C9925" s="8"/>
      <c r="G9925" s="11"/>
    </row>
    <row r="9926" spans="3:7" x14ac:dyDescent="0.25">
      <c r="C9926" s="8"/>
      <c r="G9926" s="11"/>
    </row>
    <row r="9927" spans="3:7" x14ac:dyDescent="0.25">
      <c r="C9927" s="8"/>
      <c r="G9927" s="11"/>
    </row>
    <row r="9928" spans="3:7" x14ac:dyDescent="0.25">
      <c r="C9928" s="8"/>
      <c r="G9928" s="11"/>
    </row>
    <row r="9929" spans="3:7" x14ac:dyDescent="0.25">
      <c r="C9929" s="8"/>
      <c r="G9929" s="11"/>
    </row>
    <row r="9930" spans="3:7" x14ac:dyDescent="0.25">
      <c r="C9930" s="8"/>
      <c r="G9930" s="11"/>
    </row>
    <row r="9931" spans="3:7" x14ac:dyDescent="0.25">
      <c r="C9931" s="8"/>
      <c r="G9931" s="11"/>
    </row>
    <row r="9932" spans="3:7" x14ac:dyDescent="0.25">
      <c r="C9932" s="8"/>
      <c r="G9932" s="11"/>
    </row>
    <row r="9933" spans="3:7" x14ac:dyDescent="0.25">
      <c r="C9933" s="8"/>
      <c r="G9933" s="11"/>
    </row>
    <row r="9934" spans="3:7" x14ac:dyDescent="0.25">
      <c r="C9934" s="8"/>
      <c r="G9934" s="11"/>
    </row>
    <row r="9935" spans="3:7" x14ac:dyDescent="0.25">
      <c r="C9935" s="8"/>
      <c r="G9935" s="11"/>
    </row>
    <row r="9936" spans="3:7" x14ac:dyDescent="0.25">
      <c r="C9936" s="8"/>
      <c r="G9936" s="11"/>
    </row>
    <row r="9937" spans="3:7" x14ac:dyDescent="0.25">
      <c r="C9937" s="8"/>
      <c r="G9937" s="11"/>
    </row>
    <row r="9938" spans="3:7" x14ac:dyDescent="0.25">
      <c r="C9938" s="8"/>
      <c r="G9938" s="11"/>
    </row>
    <row r="9939" spans="3:7" x14ac:dyDescent="0.25">
      <c r="C9939" s="8"/>
      <c r="G9939" s="11"/>
    </row>
    <row r="9940" spans="3:7" x14ac:dyDescent="0.25">
      <c r="C9940" s="8"/>
      <c r="G9940" s="11"/>
    </row>
    <row r="9941" spans="3:7" x14ac:dyDescent="0.25">
      <c r="C9941" s="8"/>
      <c r="G9941" s="11"/>
    </row>
    <row r="9942" spans="3:7" x14ac:dyDescent="0.25">
      <c r="C9942" s="8"/>
      <c r="G9942" s="11"/>
    </row>
    <row r="9943" spans="3:7" x14ac:dyDescent="0.25">
      <c r="C9943" s="8"/>
      <c r="G9943" s="11"/>
    </row>
    <row r="9944" spans="3:7" x14ac:dyDescent="0.25">
      <c r="C9944" s="8"/>
      <c r="G9944" s="11"/>
    </row>
    <row r="9945" spans="3:7" x14ac:dyDescent="0.25">
      <c r="C9945" s="8"/>
      <c r="G9945" s="11"/>
    </row>
    <row r="9946" spans="3:7" x14ac:dyDescent="0.25">
      <c r="C9946" s="8"/>
      <c r="G9946" s="11"/>
    </row>
    <row r="9947" spans="3:7" x14ac:dyDescent="0.25">
      <c r="C9947" s="8"/>
      <c r="G9947" s="11"/>
    </row>
    <row r="9948" spans="3:7" x14ac:dyDescent="0.25">
      <c r="C9948" s="8"/>
      <c r="G9948" s="11"/>
    </row>
    <row r="9949" spans="3:7" x14ac:dyDescent="0.25">
      <c r="C9949" s="8"/>
      <c r="G9949" s="11"/>
    </row>
    <row r="9950" spans="3:7" x14ac:dyDescent="0.25">
      <c r="C9950" s="8"/>
      <c r="G9950" s="11"/>
    </row>
    <row r="9951" spans="3:7" x14ac:dyDescent="0.25">
      <c r="C9951" s="8"/>
      <c r="G9951" s="11"/>
    </row>
    <row r="9952" spans="3:7" x14ac:dyDescent="0.25">
      <c r="C9952" s="8"/>
      <c r="G9952" s="11"/>
    </row>
    <row r="9953" spans="3:7" x14ac:dyDescent="0.25">
      <c r="C9953" s="8"/>
      <c r="G9953" s="11"/>
    </row>
    <row r="9954" spans="3:7" x14ac:dyDescent="0.25">
      <c r="C9954" s="8"/>
      <c r="G9954" s="11"/>
    </row>
    <row r="9955" spans="3:7" x14ac:dyDescent="0.25">
      <c r="C9955" s="8"/>
      <c r="G9955" s="11"/>
    </row>
    <row r="9956" spans="3:7" x14ac:dyDescent="0.25">
      <c r="C9956" s="8"/>
      <c r="G9956" s="11"/>
    </row>
    <row r="9957" spans="3:7" x14ac:dyDescent="0.25">
      <c r="C9957" s="8"/>
      <c r="G9957" s="11"/>
    </row>
    <row r="9958" spans="3:7" x14ac:dyDescent="0.25">
      <c r="C9958" s="8"/>
      <c r="G9958" s="11"/>
    </row>
    <row r="9959" spans="3:7" x14ac:dyDescent="0.25">
      <c r="C9959" s="8"/>
      <c r="G9959" s="11"/>
    </row>
    <row r="9960" spans="3:7" x14ac:dyDescent="0.25">
      <c r="C9960" s="8"/>
      <c r="G9960" s="11"/>
    </row>
    <row r="9961" spans="3:7" x14ac:dyDescent="0.25">
      <c r="C9961" s="8"/>
      <c r="G9961" s="11"/>
    </row>
    <row r="9962" spans="3:7" x14ac:dyDescent="0.25">
      <c r="C9962" s="8"/>
      <c r="G9962" s="11"/>
    </row>
    <row r="9963" spans="3:7" x14ac:dyDescent="0.25">
      <c r="C9963" s="8"/>
      <c r="G9963" s="11"/>
    </row>
    <row r="9964" spans="3:7" x14ac:dyDescent="0.25">
      <c r="C9964" s="8"/>
      <c r="G9964" s="11"/>
    </row>
    <row r="9965" spans="3:7" x14ac:dyDescent="0.25">
      <c r="C9965" s="8"/>
      <c r="G9965" s="11"/>
    </row>
    <row r="9966" spans="3:7" x14ac:dyDescent="0.25">
      <c r="C9966" s="8"/>
      <c r="G9966" s="11"/>
    </row>
    <row r="9967" spans="3:7" x14ac:dyDescent="0.25">
      <c r="C9967" s="8"/>
      <c r="G9967" s="11"/>
    </row>
    <row r="9968" spans="3:7" x14ac:dyDescent="0.25">
      <c r="C9968" s="8"/>
      <c r="G9968" s="11"/>
    </row>
    <row r="9969" spans="3:7" x14ac:dyDescent="0.25">
      <c r="C9969" s="8"/>
      <c r="G9969" s="11"/>
    </row>
    <row r="9970" spans="3:7" x14ac:dyDescent="0.25">
      <c r="C9970" s="8"/>
      <c r="G9970" s="11"/>
    </row>
    <row r="9971" spans="3:7" x14ac:dyDescent="0.25">
      <c r="C9971" s="8"/>
      <c r="G9971" s="11"/>
    </row>
    <row r="9972" spans="3:7" x14ac:dyDescent="0.25">
      <c r="C9972" s="8"/>
      <c r="G9972" s="11"/>
    </row>
    <row r="9973" spans="3:7" x14ac:dyDescent="0.25">
      <c r="C9973" s="8"/>
      <c r="G9973" s="11"/>
    </row>
    <row r="9974" spans="3:7" x14ac:dyDescent="0.25">
      <c r="C9974" s="8"/>
      <c r="G9974" s="11"/>
    </row>
    <row r="9975" spans="3:7" x14ac:dyDescent="0.25">
      <c r="C9975" s="8"/>
      <c r="G9975" s="11"/>
    </row>
    <row r="9976" spans="3:7" x14ac:dyDescent="0.25">
      <c r="C9976" s="8"/>
      <c r="G9976" s="11"/>
    </row>
    <row r="9977" spans="3:7" x14ac:dyDescent="0.25">
      <c r="C9977" s="8"/>
      <c r="G9977" s="11"/>
    </row>
    <row r="9978" spans="3:7" x14ac:dyDescent="0.25">
      <c r="C9978" s="8"/>
      <c r="G9978" s="11"/>
    </row>
    <row r="9979" spans="3:7" x14ac:dyDescent="0.25">
      <c r="C9979" s="8"/>
      <c r="G9979" s="11"/>
    </row>
    <row r="9980" spans="3:7" x14ac:dyDescent="0.25">
      <c r="C9980" s="8"/>
      <c r="G9980" s="11"/>
    </row>
    <row r="9981" spans="3:7" x14ac:dyDescent="0.25">
      <c r="C9981" s="8"/>
      <c r="G9981" s="11"/>
    </row>
    <row r="9982" spans="3:7" x14ac:dyDescent="0.25">
      <c r="C9982" s="8"/>
      <c r="G9982" s="11"/>
    </row>
    <row r="9983" spans="3:7" x14ac:dyDescent="0.25">
      <c r="C9983" s="8"/>
      <c r="G9983" s="11"/>
    </row>
    <row r="9984" spans="3:7" x14ac:dyDescent="0.25">
      <c r="C9984" s="8"/>
      <c r="G9984" s="11"/>
    </row>
    <row r="9985" spans="3:7" x14ac:dyDescent="0.25">
      <c r="C9985" s="8"/>
      <c r="G9985" s="11"/>
    </row>
    <row r="9986" spans="3:7" x14ac:dyDescent="0.25">
      <c r="C9986" s="8"/>
      <c r="G9986" s="11"/>
    </row>
    <row r="9987" spans="3:7" x14ac:dyDescent="0.25">
      <c r="C9987" s="8"/>
      <c r="G9987" s="11"/>
    </row>
    <row r="9988" spans="3:7" x14ac:dyDescent="0.25">
      <c r="C9988" s="8"/>
      <c r="G9988" s="11"/>
    </row>
    <row r="9989" spans="3:7" x14ac:dyDescent="0.25">
      <c r="C9989" s="8"/>
      <c r="G9989" s="11"/>
    </row>
    <row r="9990" spans="3:7" x14ac:dyDescent="0.25">
      <c r="C9990" s="8"/>
      <c r="G9990" s="11"/>
    </row>
    <row r="9991" spans="3:7" x14ac:dyDescent="0.25">
      <c r="C9991" s="8"/>
      <c r="G9991" s="11"/>
    </row>
    <row r="9992" spans="3:7" x14ac:dyDescent="0.25">
      <c r="C9992" s="8"/>
      <c r="G9992" s="11"/>
    </row>
    <row r="9993" spans="3:7" x14ac:dyDescent="0.25">
      <c r="C9993" s="8"/>
      <c r="G9993" s="11"/>
    </row>
    <row r="9994" spans="3:7" x14ac:dyDescent="0.25">
      <c r="C9994" s="8"/>
      <c r="G9994" s="11"/>
    </row>
    <row r="9995" spans="3:7" x14ac:dyDescent="0.25">
      <c r="C9995" s="8"/>
      <c r="G9995" s="11"/>
    </row>
    <row r="9996" spans="3:7" x14ac:dyDescent="0.25">
      <c r="C9996" s="8"/>
      <c r="G9996" s="11"/>
    </row>
    <row r="9997" spans="3:7" x14ac:dyDescent="0.25">
      <c r="C9997" s="8"/>
      <c r="G9997" s="11"/>
    </row>
    <row r="9998" spans="3:7" x14ac:dyDescent="0.25">
      <c r="C9998" s="8"/>
      <c r="G9998" s="11"/>
    </row>
    <row r="9999" spans="3:7" x14ac:dyDescent="0.25">
      <c r="C9999" s="8"/>
      <c r="G9999" s="11"/>
    </row>
    <row r="10000" spans="3:7" x14ac:dyDescent="0.25">
      <c r="C10000" s="8"/>
      <c r="G10000" s="11"/>
    </row>
    <row r="10001" spans="3:7" x14ac:dyDescent="0.25">
      <c r="C10001" s="8"/>
      <c r="G10001" s="11"/>
    </row>
    <row r="10002" spans="3:7" x14ac:dyDescent="0.25">
      <c r="C10002" s="8"/>
      <c r="G10002" s="11"/>
    </row>
    <row r="10003" spans="3:7" x14ac:dyDescent="0.25">
      <c r="C10003" s="8"/>
      <c r="G10003" s="11"/>
    </row>
    <row r="10004" spans="3:7" x14ac:dyDescent="0.25">
      <c r="C10004" s="8"/>
      <c r="G10004" s="11"/>
    </row>
    <row r="10005" spans="3:7" x14ac:dyDescent="0.25">
      <c r="C10005" s="8"/>
      <c r="G10005" s="11"/>
    </row>
    <row r="10006" spans="3:7" x14ac:dyDescent="0.25">
      <c r="C10006" s="8"/>
      <c r="G10006" s="11"/>
    </row>
    <row r="10007" spans="3:7" x14ac:dyDescent="0.25">
      <c r="C10007" s="8"/>
      <c r="G10007" s="11"/>
    </row>
    <row r="10008" spans="3:7" x14ac:dyDescent="0.25">
      <c r="C10008" s="8"/>
      <c r="G10008" s="11"/>
    </row>
    <row r="10009" spans="3:7" x14ac:dyDescent="0.25">
      <c r="C10009" s="8"/>
      <c r="G10009" s="11"/>
    </row>
    <row r="10010" spans="3:7" x14ac:dyDescent="0.25">
      <c r="C10010" s="8"/>
      <c r="G10010" s="11"/>
    </row>
    <row r="10011" spans="3:7" x14ac:dyDescent="0.25">
      <c r="C10011" s="8"/>
      <c r="G10011" s="11"/>
    </row>
    <row r="10012" spans="3:7" x14ac:dyDescent="0.25">
      <c r="C10012" s="8"/>
      <c r="G10012" s="11"/>
    </row>
    <row r="10013" spans="3:7" x14ac:dyDescent="0.25">
      <c r="C10013" s="8"/>
      <c r="G10013" s="11"/>
    </row>
    <row r="10014" spans="3:7" x14ac:dyDescent="0.25">
      <c r="C10014" s="8"/>
      <c r="G10014" s="11"/>
    </row>
    <row r="10015" spans="3:7" x14ac:dyDescent="0.25">
      <c r="C10015" s="8"/>
      <c r="G10015" s="11"/>
    </row>
    <row r="10016" spans="3:7" x14ac:dyDescent="0.25">
      <c r="C10016" s="8"/>
      <c r="G10016" s="11"/>
    </row>
    <row r="10017" spans="3:7" x14ac:dyDescent="0.25">
      <c r="C10017" s="8"/>
      <c r="G10017" s="11"/>
    </row>
    <row r="10018" spans="3:7" x14ac:dyDescent="0.25">
      <c r="C10018" s="8"/>
      <c r="G10018" s="11"/>
    </row>
    <row r="10019" spans="3:7" x14ac:dyDescent="0.25">
      <c r="C10019" s="8"/>
      <c r="G10019" s="11"/>
    </row>
    <row r="10020" spans="3:7" x14ac:dyDescent="0.25">
      <c r="C10020" s="8"/>
      <c r="G10020" s="11"/>
    </row>
    <row r="10021" spans="3:7" x14ac:dyDescent="0.25">
      <c r="C10021" s="8"/>
      <c r="G10021" s="11"/>
    </row>
    <row r="10022" spans="3:7" x14ac:dyDescent="0.25">
      <c r="C10022" s="8"/>
      <c r="G10022" s="11"/>
    </row>
    <row r="10023" spans="3:7" x14ac:dyDescent="0.25">
      <c r="C10023" s="8"/>
      <c r="G10023" s="11"/>
    </row>
    <row r="10024" spans="3:7" x14ac:dyDescent="0.25">
      <c r="C10024" s="8"/>
      <c r="G10024" s="11"/>
    </row>
    <row r="10025" spans="3:7" x14ac:dyDescent="0.25">
      <c r="C10025" s="8"/>
      <c r="G10025" s="11"/>
    </row>
    <row r="10026" spans="3:7" x14ac:dyDescent="0.25">
      <c r="C10026" s="8"/>
      <c r="G10026" s="11"/>
    </row>
    <row r="10027" spans="3:7" x14ac:dyDescent="0.25">
      <c r="C10027" s="8"/>
      <c r="G10027" s="11"/>
    </row>
    <row r="10028" spans="3:7" x14ac:dyDescent="0.25">
      <c r="C10028" s="8"/>
      <c r="G10028" s="11"/>
    </row>
    <row r="10029" spans="3:7" x14ac:dyDescent="0.25">
      <c r="C10029" s="8"/>
      <c r="G10029" s="11"/>
    </row>
    <row r="10030" spans="3:7" x14ac:dyDescent="0.25">
      <c r="C10030" s="8"/>
      <c r="G10030" s="11"/>
    </row>
    <row r="10031" spans="3:7" x14ac:dyDescent="0.25">
      <c r="C10031" s="8"/>
      <c r="G10031" s="11"/>
    </row>
    <row r="10032" spans="3:7" x14ac:dyDescent="0.25">
      <c r="C10032" s="8"/>
      <c r="G10032" s="11"/>
    </row>
    <row r="10033" spans="3:7" x14ac:dyDescent="0.25">
      <c r="C10033" s="8"/>
      <c r="G10033" s="11"/>
    </row>
    <row r="10034" spans="3:7" x14ac:dyDescent="0.25">
      <c r="C10034" s="8"/>
      <c r="G10034" s="11"/>
    </row>
    <row r="10035" spans="3:7" x14ac:dyDescent="0.25">
      <c r="C10035" s="8"/>
      <c r="G10035" s="11"/>
    </row>
    <row r="10036" spans="3:7" x14ac:dyDescent="0.25">
      <c r="C10036" s="8"/>
      <c r="G10036" s="11"/>
    </row>
    <row r="10037" spans="3:7" x14ac:dyDescent="0.25">
      <c r="C10037" s="8"/>
      <c r="G10037" s="11"/>
    </row>
    <row r="10038" spans="3:7" x14ac:dyDescent="0.25">
      <c r="C10038" s="8"/>
      <c r="G10038" s="11"/>
    </row>
    <row r="10039" spans="3:7" x14ac:dyDescent="0.25">
      <c r="C10039" s="8"/>
      <c r="G10039" s="11"/>
    </row>
    <row r="10040" spans="3:7" x14ac:dyDescent="0.25">
      <c r="C10040" s="8"/>
      <c r="G10040" s="11"/>
    </row>
    <row r="10041" spans="3:7" x14ac:dyDescent="0.25">
      <c r="C10041" s="8"/>
      <c r="G10041" s="11"/>
    </row>
    <row r="10042" spans="3:7" x14ac:dyDescent="0.25">
      <c r="C10042" s="8"/>
      <c r="G10042" s="11"/>
    </row>
    <row r="10043" spans="3:7" x14ac:dyDescent="0.25">
      <c r="C10043" s="8"/>
      <c r="G10043" s="11"/>
    </row>
    <row r="10044" spans="3:7" x14ac:dyDescent="0.25">
      <c r="C10044" s="8"/>
      <c r="G10044" s="11"/>
    </row>
    <row r="10045" spans="3:7" x14ac:dyDescent="0.25">
      <c r="C10045" s="8"/>
      <c r="G10045" s="11"/>
    </row>
    <row r="10046" spans="3:7" x14ac:dyDescent="0.25">
      <c r="C10046" s="8"/>
      <c r="G10046" s="11"/>
    </row>
    <row r="10047" spans="3:7" x14ac:dyDescent="0.25">
      <c r="C10047" s="8"/>
      <c r="G10047" s="11"/>
    </row>
    <row r="10048" spans="3:7" x14ac:dyDescent="0.25">
      <c r="C10048" s="8"/>
      <c r="G10048" s="11"/>
    </row>
    <row r="10049" spans="3:7" x14ac:dyDescent="0.25">
      <c r="C10049" s="8"/>
      <c r="G10049" s="11"/>
    </row>
    <row r="10050" spans="3:7" x14ac:dyDescent="0.25">
      <c r="C10050" s="8"/>
      <c r="G10050" s="11"/>
    </row>
    <row r="10051" spans="3:7" x14ac:dyDescent="0.25">
      <c r="C10051" s="8"/>
      <c r="G10051" s="11"/>
    </row>
    <row r="10052" spans="3:7" x14ac:dyDescent="0.25">
      <c r="C10052" s="8"/>
      <c r="G10052" s="11"/>
    </row>
    <row r="10053" spans="3:7" x14ac:dyDescent="0.25">
      <c r="C10053" s="8"/>
      <c r="G10053" s="11"/>
    </row>
    <row r="10054" spans="3:7" x14ac:dyDescent="0.25">
      <c r="C10054" s="8"/>
      <c r="G10054" s="11"/>
    </row>
    <row r="10055" spans="3:7" x14ac:dyDescent="0.25">
      <c r="C10055" s="8"/>
      <c r="G10055" s="11"/>
    </row>
    <row r="10056" spans="3:7" x14ac:dyDescent="0.25">
      <c r="C10056" s="8"/>
      <c r="G10056" s="11"/>
    </row>
    <row r="10057" spans="3:7" x14ac:dyDescent="0.25">
      <c r="C10057" s="8"/>
      <c r="G10057" s="11"/>
    </row>
    <row r="10058" spans="3:7" x14ac:dyDescent="0.25">
      <c r="C10058" s="8"/>
      <c r="G10058" s="11"/>
    </row>
    <row r="10059" spans="3:7" x14ac:dyDescent="0.25">
      <c r="C10059" s="8"/>
      <c r="G10059" s="11"/>
    </row>
    <row r="10060" spans="3:7" x14ac:dyDescent="0.25">
      <c r="C10060" s="8"/>
      <c r="G10060" s="11"/>
    </row>
    <row r="10061" spans="3:7" x14ac:dyDescent="0.25">
      <c r="C10061" s="8"/>
      <c r="G10061" s="11"/>
    </row>
    <row r="10062" spans="3:7" x14ac:dyDescent="0.25">
      <c r="C10062" s="8"/>
      <c r="G10062" s="11"/>
    </row>
    <row r="10063" spans="3:7" x14ac:dyDescent="0.25">
      <c r="C10063" s="8"/>
      <c r="G10063" s="11"/>
    </row>
    <row r="10064" spans="3:7" x14ac:dyDescent="0.25">
      <c r="C10064" s="8"/>
      <c r="G10064" s="11"/>
    </row>
    <row r="10065" spans="3:7" x14ac:dyDescent="0.25">
      <c r="C10065" s="8"/>
      <c r="G10065" s="11"/>
    </row>
    <row r="10066" spans="3:7" x14ac:dyDescent="0.25">
      <c r="C10066" s="8"/>
      <c r="G10066" s="11"/>
    </row>
    <row r="10067" spans="3:7" x14ac:dyDescent="0.25">
      <c r="C10067" s="8"/>
      <c r="G10067" s="11"/>
    </row>
    <row r="10068" spans="3:7" x14ac:dyDescent="0.25">
      <c r="C10068" s="8"/>
      <c r="G10068" s="11"/>
    </row>
    <row r="10069" spans="3:7" x14ac:dyDescent="0.25">
      <c r="C10069" s="8"/>
      <c r="G10069" s="11"/>
    </row>
    <row r="10070" spans="3:7" x14ac:dyDescent="0.25">
      <c r="C10070" s="8"/>
      <c r="G10070" s="11"/>
    </row>
    <row r="10071" spans="3:7" x14ac:dyDescent="0.25">
      <c r="C10071" s="8"/>
      <c r="G10071" s="11"/>
    </row>
    <row r="10072" spans="3:7" x14ac:dyDescent="0.25">
      <c r="C10072" s="8"/>
      <c r="G10072" s="11"/>
    </row>
    <row r="10073" spans="3:7" x14ac:dyDescent="0.25">
      <c r="C10073" s="8"/>
      <c r="G10073" s="11"/>
    </row>
    <row r="10074" spans="3:7" x14ac:dyDescent="0.25">
      <c r="C10074" s="8"/>
      <c r="G10074" s="11"/>
    </row>
    <row r="10075" spans="3:7" x14ac:dyDescent="0.25">
      <c r="C10075" s="8"/>
      <c r="G10075" s="11"/>
    </row>
    <row r="10076" spans="3:7" x14ac:dyDescent="0.25">
      <c r="C10076" s="8"/>
      <c r="G10076" s="11"/>
    </row>
    <row r="10077" spans="3:7" x14ac:dyDescent="0.25">
      <c r="C10077" s="8"/>
      <c r="G10077" s="11"/>
    </row>
    <row r="10078" spans="3:7" x14ac:dyDescent="0.25">
      <c r="C10078" s="8"/>
      <c r="G10078" s="11"/>
    </row>
    <row r="10079" spans="3:7" x14ac:dyDescent="0.25">
      <c r="C10079" s="8"/>
      <c r="G10079" s="11"/>
    </row>
    <row r="10080" spans="3:7" x14ac:dyDescent="0.25">
      <c r="C10080" s="8"/>
      <c r="G10080" s="11"/>
    </row>
    <row r="10081" spans="3:7" x14ac:dyDescent="0.25">
      <c r="C10081" s="8"/>
      <c r="G10081" s="11"/>
    </row>
    <row r="10082" spans="3:7" x14ac:dyDescent="0.25">
      <c r="C10082" s="8"/>
      <c r="G10082" s="11"/>
    </row>
    <row r="10083" spans="3:7" x14ac:dyDescent="0.25">
      <c r="C10083" s="8"/>
      <c r="G10083" s="11"/>
    </row>
    <row r="10084" spans="3:7" x14ac:dyDescent="0.25">
      <c r="C10084" s="8"/>
      <c r="G10084" s="11"/>
    </row>
    <row r="10085" spans="3:7" x14ac:dyDescent="0.25">
      <c r="C10085" s="8"/>
      <c r="G10085" s="11"/>
    </row>
    <row r="10086" spans="3:7" x14ac:dyDescent="0.25">
      <c r="C10086" s="8"/>
      <c r="G10086" s="11"/>
    </row>
    <row r="10087" spans="3:7" x14ac:dyDescent="0.25">
      <c r="C10087" s="8"/>
      <c r="G10087" s="11"/>
    </row>
    <row r="10088" spans="3:7" x14ac:dyDescent="0.25">
      <c r="C10088" s="8"/>
      <c r="G10088" s="11"/>
    </row>
    <row r="10089" spans="3:7" x14ac:dyDescent="0.25">
      <c r="C10089" s="8"/>
      <c r="G10089" s="11"/>
    </row>
    <row r="10090" spans="3:7" x14ac:dyDescent="0.25">
      <c r="C10090" s="8"/>
      <c r="G10090" s="11"/>
    </row>
    <row r="10091" spans="3:7" x14ac:dyDescent="0.25">
      <c r="C10091" s="8"/>
      <c r="G10091" s="11"/>
    </row>
    <row r="10092" spans="3:7" x14ac:dyDescent="0.25">
      <c r="C10092" s="8"/>
      <c r="G10092" s="11"/>
    </row>
    <row r="10093" spans="3:7" x14ac:dyDescent="0.25">
      <c r="C10093" s="8"/>
      <c r="G10093" s="11"/>
    </row>
    <row r="10094" spans="3:7" x14ac:dyDescent="0.25">
      <c r="C10094" s="8"/>
      <c r="G10094" s="11"/>
    </row>
    <row r="10095" spans="3:7" x14ac:dyDescent="0.25">
      <c r="C10095" s="8"/>
      <c r="G10095" s="11"/>
    </row>
    <row r="10096" spans="3:7" x14ac:dyDescent="0.25">
      <c r="C10096" s="8"/>
      <c r="G10096" s="11"/>
    </row>
    <row r="10097" spans="3:7" x14ac:dyDescent="0.25">
      <c r="C10097" s="8"/>
      <c r="G10097" s="11"/>
    </row>
    <row r="10098" spans="3:7" x14ac:dyDescent="0.25">
      <c r="C10098" s="8"/>
      <c r="G10098" s="11"/>
    </row>
    <row r="10099" spans="3:7" x14ac:dyDescent="0.25">
      <c r="C10099" s="8"/>
      <c r="G10099" s="11"/>
    </row>
    <row r="10100" spans="3:7" x14ac:dyDescent="0.25">
      <c r="C10100" s="8"/>
      <c r="G10100" s="11"/>
    </row>
    <row r="10101" spans="3:7" x14ac:dyDescent="0.25">
      <c r="C10101" s="8"/>
      <c r="G10101" s="11"/>
    </row>
    <row r="10102" spans="3:7" x14ac:dyDescent="0.25">
      <c r="C10102" s="8"/>
      <c r="G10102" s="11"/>
    </row>
    <row r="10103" spans="3:7" x14ac:dyDescent="0.25">
      <c r="C10103" s="8"/>
      <c r="G10103" s="11"/>
    </row>
    <row r="10104" spans="3:7" x14ac:dyDescent="0.25">
      <c r="C10104" s="8"/>
      <c r="G10104" s="11"/>
    </row>
    <row r="10105" spans="3:7" x14ac:dyDescent="0.25">
      <c r="C10105" s="8"/>
      <c r="G10105" s="11"/>
    </row>
    <row r="10106" spans="3:7" x14ac:dyDescent="0.25">
      <c r="C10106" s="8"/>
      <c r="G10106" s="11"/>
    </row>
    <row r="10107" spans="3:7" x14ac:dyDescent="0.25">
      <c r="C10107" s="8"/>
      <c r="G10107" s="11"/>
    </row>
    <row r="10108" spans="3:7" x14ac:dyDescent="0.25">
      <c r="C10108" s="8"/>
      <c r="G10108" s="11"/>
    </row>
    <row r="10109" spans="3:7" x14ac:dyDescent="0.25">
      <c r="C10109" s="8"/>
      <c r="G10109" s="11"/>
    </row>
    <row r="10110" spans="3:7" x14ac:dyDescent="0.25">
      <c r="C10110" s="8"/>
      <c r="G10110" s="11"/>
    </row>
    <row r="10111" spans="3:7" x14ac:dyDescent="0.25">
      <c r="C10111" s="8"/>
      <c r="G10111" s="11"/>
    </row>
    <row r="10112" spans="3:7" x14ac:dyDescent="0.25">
      <c r="C10112" s="8"/>
      <c r="G10112" s="11"/>
    </row>
    <row r="10113" spans="3:7" x14ac:dyDescent="0.25">
      <c r="C10113" s="8"/>
      <c r="G10113" s="11"/>
    </row>
    <row r="10114" spans="3:7" x14ac:dyDescent="0.25">
      <c r="C10114" s="8"/>
      <c r="G10114" s="11"/>
    </row>
    <row r="10115" spans="3:7" x14ac:dyDescent="0.25">
      <c r="C10115" s="8"/>
      <c r="G10115" s="11"/>
    </row>
    <row r="10116" spans="3:7" x14ac:dyDescent="0.25">
      <c r="C10116" s="8"/>
      <c r="G10116" s="11"/>
    </row>
    <row r="10117" spans="3:7" x14ac:dyDescent="0.25">
      <c r="C10117" s="8"/>
      <c r="G10117" s="11"/>
    </row>
    <row r="10118" spans="3:7" x14ac:dyDescent="0.25">
      <c r="C10118" s="8"/>
      <c r="G10118" s="11"/>
    </row>
    <row r="10119" spans="3:7" x14ac:dyDescent="0.25">
      <c r="C10119" s="8"/>
      <c r="G10119" s="11"/>
    </row>
    <row r="10120" spans="3:7" x14ac:dyDescent="0.25">
      <c r="C10120" s="8"/>
      <c r="G10120" s="11"/>
    </row>
    <row r="10121" spans="3:7" x14ac:dyDescent="0.25">
      <c r="C10121" s="8"/>
      <c r="G10121" s="11"/>
    </row>
    <row r="10122" spans="3:7" x14ac:dyDescent="0.25">
      <c r="C10122" s="8"/>
      <c r="G10122" s="11"/>
    </row>
    <row r="10123" spans="3:7" x14ac:dyDescent="0.25">
      <c r="C10123" s="8"/>
      <c r="G10123" s="11"/>
    </row>
    <row r="10124" spans="3:7" x14ac:dyDescent="0.25">
      <c r="C10124" s="8"/>
      <c r="G10124" s="11"/>
    </row>
    <row r="10125" spans="3:7" x14ac:dyDescent="0.25">
      <c r="C10125" s="8"/>
      <c r="G10125" s="11"/>
    </row>
    <row r="10126" spans="3:7" x14ac:dyDescent="0.25">
      <c r="C10126" s="8"/>
      <c r="G10126" s="11"/>
    </row>
    <row r="10127" spans="3:7" x14ac:dyDescent="0.25">
      <c r="C10127" s="8"/>
      <c r="G10127" s="11"/>
    </row>
    <row r="10128" spans="3:7" x14ac:dyDescent="0.25">
      <c r="C10128" s="8"/>
      <c r="G10128" s="11"/>
    </row>
    <row r="10129" spans="3:7" x14ac:dyDescent="0.25">
      <c r="C10129" s="8"/>
      <c r="G10129" s="11"/>
    </row>
    <row r="10130" spans="3:7" x14ac:dyDescent="0.25">
      <c r="C10130" s="8"/>
      <c r="G10130" s="11"/>
    </row>
    <row r="10131" spans="3:7" x14ac:dyDescent="0.25">
      <c r="C10131" s="8"/>
      <c r="G10131" s="11"/>
    </row>
    <row r="10132" spans="3:7" x14ac:dyDescent="0.25">
      <c r="C10132" s="8"/>
      <c r="G10132" s="11"/>
    </row>
    <row r="10133" spans="3:7" x14ac:dyDescent="0.25">
      <c r="C10133" s="8"/>
      <c r="G10133" s="11"/>
    </row>
    <row r="10134" spans="3:7" x14ac:dyDescent="0.25">
      <c r="C10134" s="8"/>
      <c r="G10134" s="11"/>
    </row>
    <row r="10135" spans="3:7" x14ac:dyDescent="0.25">
      <c r="C10135" s="8"/>
      <c r="G10135" s="11"/>
    </row>
    <row r="10136" spans="3:7" x14ac:dyDescent="0.25">
      <c r="C10136" s="8"/>
      <c r="G10136" s="11"/>
    </row>
    <row r="10137" spans="3:7" x14ac:dyDescent="0.25">
      <c r="C10137" s="8"/>
      <c r="G10137" s="11"/>
    </row>
    <row r="10138" spans="3:7" x14ac:dyDescent="0.25">
      <c r="C10138" s="8"/>
      <c r="G10138" s="11"/>
    </row>
    <row r="10139" spans="3:7" x14ac:dyDescent="0.25">
      <c r="C10139" s="8"/>
      <c r="G10139" s="11"/>
    </row>
    <row r="10140" spans="3:7" x14ac:dyDescent="0.25">
      <c r="C10140" s="8"/>
      <c r="G10140" s="11"/>
    </row>
    <row r="10141" spans="3:7" x14ac:dyDescent="0.25">
      <c r="C10141" s="8"/>
      <c r="G10141" s="11"/>
    </row>
    <row r="10142" spans="3:7" x14ac:dyDescent="0.25">
      <c r="C10142" s="8"/>
      <c r="G10142" s="11"/>
    </row>
    <row r="10143" spans="3:7" x14ac:dyDescent="0.25">
      <c r="C10143" s="8"/>
      <c r="G10143" s="11"/>
    </row>
    <row r="10144" spans="3:7" x14ac:dyDescent="0.25">
      <c r="C10144" s="8"/>
      <c r="G10144" s="11"/>
    </row>
    <row r="10145" spans="3:7" x14ac:dyDescent="0.25">
      <c r="C10145" s="8"/>
      <c r="G10145" s="11"/>
    </row>
    <row r="10146" spans="3:7" x14ac:dyDescent="0.25">
      <c r="C10146" s="8"/>
      <c r="G10146" s="11"/>
    </row>
    <row r="10147" spans="3:7" x14ac:dyDescent="0.25">
      <c r="C10147" s="8"/>
      <c r="G10147" s="11"/>
    </row>
    <row r="10148" spans="3:7" x14ac:dyDescent="0.25">
      <c r="C10148" s="8"/>
      <c r="G10148" s="11"/>
    </row>
    <row r="10149" spans="3:7" x14ac:dyDescent="0.25">
      <c r="C10149" s="8"/>
      <c r="G10149" s="11"/>
    </row>
    <row r="10150" spans="3:7" x14ac:dyDescent="0.25">
      <c r="C10150" s="8"/>
      <c r="G10150" s="11"/>
    </row>
    <row r="10151" spans="3:7" x14ac:dyDescent="0.25">
      <c r="C10151" s="8"/>
      <c r="G10151" s="11"/>
    </row>
    <row r="10152" spans="3:7" x14ac:dyDescent="0.25">
      <c r="C10152" s="8"/>
      <c r="G10152" s="11"/>
    </row>
    <row r="10153" spans="3:7" x14ac:dyDescent="0.25">
      <c r="C10153" s="8"/>
      <c r="G10153" s="11"/>
    </row>
    <row r="10154" spans="3:7" x14ac:dyDescent="0.25">
      <c r="C10154" s="8"/>
      <c r="G10154" s="11"/>
    </row>
    <row r="10155" spans="3:7" x14ac:dyDescent="0.25">
      <c r="C10155" s="8"/>
      <c r="G10155" s="11"/>
    </row>
    <row r="10156" spans="3:7" x14ac:dyDescent="0.25">
      <c r="C10156" s="8"/>
      <c r="G10156" s="11"/>
    </row>
    <row r="10157" spans="3:7" x14ac:dyDescent="0.25">
      <c r="C10157" s="8"/>
      <c r="G10157" s="11"/>
    </row>
    <row r="10158" spans="3:7" x14ac:dyDescent="0.25">
      <c r="C10158" s="8"/>
      <c r="G10158" s="11"/>
    </row>
    <row r="10159" spans="3:7" x14ac:dyDescent="0.25">
      <c r="C10159" s="8"/>
      <c r="G10159" s="11"/>
    </row>
    <row r="10160" spans="3:7" x14ac:dyDescent="0.25">
      <c r="C10160" s="8"/>
      <c r="G10160" s="11"/>
    </row>
    <row r="10161" spans="3:7" x14ac:dyDescent="0.25">
      <c r="C10161" s="8"/>
      <c r="G10161" s="11"/>
    </row>
    <row r="10162" spans="3:7" x14ac:dyDescent="0.25">
      <c r="C10162" s="8"/>
      <c r="G10162" s="11"/>
    </row>
    <row r="10163" spans="3:7" x14ac:dyDescent="0.25">
      <c r="C10163" s="8"/>
      <c r="G10163" s="11"/>
    </row>
    <row r="10164" spans="3:7" x14ac:dyDescent="0.25">
      <c r="C10164" s="8"/>
      <c r="G10164" s="11"/>
    </row>
    <row r="10165" spans="3:7" x14ac:dyDescent="0.25">
      <c r="C10165" s="8"/>
      <c r="G10165" s="11"/>
    </row>
    <row r="10166" spans="3:7" x14ac:dyDescent="0.25">
      <c r="C10166" s="8"/>
      <c r="G10166" s="11"/>
    </row>
    <row r="10167" spans="3:7" x14ac:dyDescent="0.25">
      <c r="C10167" s="8"/>
      <c r="G10167" s="11"/>
    </row>
    <row r="10168" spans="3:7" x14ac:dyDescent="0.25">
      <c r="C10168" s="8"/>
      <c r="G10168" s="11"/>
    </row>
    <row r="10169" spans="3:7" x14ac:dyDescent="0.25">
      <c r="C10169" s="8"/>
      <c r="G10169" s="11"/>
    </row>
    <row r="10170" spans="3:7" x14ac:dyDescent="0.25">
      <c r="C10170" s="8"/>
      <c r="G10170" s="11"/>
    </row>
    <row r="10171" spans="3:7" x14ac:dyDescent="0.25">
      <c r="C10171" s="8"/>
      <c r="G10171" s="11"/>
    </row>
    <row r="10172" spans="3:7" x14ac:dyDescent="0.25">
      <c r="C10172" s="8"/>
      <c r="G10172" s="11"/>
    </row>
    <row r="10173" spans="3:7" x14ac:dyDescent="0.25">
      <c r="C10173" s="8"/>
      <c r="G10173" s="11"/>
    </row>
    <row r="10174" spans="3:7" x14ac:dyDescent="0.25">
      <c r="C10174" s="8"/>
      <c r="G10174" s="11"/>
    </row>
    <row r="10175" spans="3:7" x14ac:dyDescent="0.25">
      <c r="C10175" s="8"/>
      <c r="G10175" s="11"/>
    </row>
    <row r="10176" spans="3:7" x14ac:dyDescent="0.25">
      <c r="C10176" s="8"/>
      <c r="G10176" s="11"/>
    </row>
    <row r="10177" spans="3:7" x14ac:dyDescent="0.25">
      <c r="C10177" s="8"/>
      <c r="G10177" s="11"/>
    </row>
    <row r="10178" spans="3:7" x14ac:dyDescent="0.25">
      <c r="C10178" s="8"/>
      <c r="G10178" s="11"/>
    </row>
    <row r="10179" spans="3:7" x14ac:dyDescent="0.25">
      <c r="C10179" s="8"/>
      <c r="G10179" s="11"/>
    </row>
    <row r="10180" spans="3:7" x14ac:dyDescent="0.25">
      <c r="C10180" s="8"/>
      <c r="G10180" s="11"/>
    </row>
    <row r="10181" spans="3:7" x14ac:dyDescent="0.25">
      <c r="C10181" s="8"/>
      <c r="G10181" s="11"/>
    </row>
    <row r="10182" spans="3:7" x14ac:dyDescent="0.25">
      <c r="C10182" s="8"/>
      <c r="G10182" s="11"/>
    </row>
    <row r="10183" spans="3:7" x14ac:dyDescent="0.25">
      <c r="C10183" s="8"/>
      <c r="G10183" s="11"/>
    </row>
    <row r="10184" spans="3:7" x14ac:dyDescent="0.25">
      <c r="C10184" s="8"/>
      <c r="G10184" s="11"/>
    </row>
    <row r="10185" spans="3:7" x14ac:dyDescent="0.25">
      <c r="C10185" s="8"/>
      <c r="G10185" s="11"/>
    </row>
    <row r="10186" spans="3:7" x14ac:dyDescent="0.25">
      <c r="C10186" s="8"/>
      <c r="G10186" s="11"/>
    </row>
    <row r="10187" spans="3:7" x14ac:dyDescent="0.25">
      <c r="C10187" s="8"/>
      <c r="G10187" s="11"/>
    </row>
    <row r="10188" spans="3:7" x14ac:dyDescent="0.25">
      <c r="C10188" s="8"/>
      <c r="G10188" s="11"/>
    </row>
    <row r="10189" spans="3:7" x14ac:dyDescent="0.25">
      <c r="C10189" s="8"/>
      <c r="G10189" s="11"/>
    </row>
    <row r="10190" spans="3:7" x14ac:dyDescent="0.25">
      <c r="C10190" s="8"/>
      <c r="G10190" s="11"/>
    </row>
    <row r="10191" spans="3:7" x14ac:dyDescent="0.25">
      <c r="C10191" s="8"/>
      <c r="G10191" s="11"/>
    </row>
    <row r="10192" spans="3:7" x14ac:dyDescent="0.25">
      <c r="C10192" s="8"/>
      <c r="G10192" s="11"/>
    </row>
    <row r="10193" spans="3:7" x14ac:dyDescent="0.25">
      <c r="C10193" s="8"/>
      <c r="G10193" s="11"/>
    </row>
    <row r="10194" spans="3:7" x14ac:dyDescent="0.25">
      <c r="C10194" s="8"/>
      <c r="G10194" s="11"/>
    </row>
    <row r="10195" spans="3:7" x14ac:dyDescent="0.25">
      <c r="C10195" s="8"/>
      <c r="G10195" s="11"/>
    </row>
    <row r="10196" spans="3:7" x14ac:dyDescent="0.25">
      <c r="C10196" s="8"/>
      <c r="G10196" s="11"/>
    </row>
    <row r="10197" spans="3:7" x14ac:dyDescent="0.25">
      <c r="C10197" s="8"/>
      <c r="G10197" s="11"/>
    </row>
    <row r="10198" spans="3:7" x14ac:dyDescent="0.25">
      <c r="C10198" s="8"/>
      <c r="G10198" s="11"/>
    </row>
    <row r="10199" spans="3:7" x14ac:dyDescent="0.25">
      <c r="C10199" s="8"/>
      <c r="G10199" s="11"/>
    </row>
    <row r="10200" spans="3:7" x14ac:dyDescent="0.25">
      <c r="C10200" s="8"/>
      <c r="G10200" s="11"/>
    </row>
    <row r="10201" spans="3:7" x14ac:dyDescent="0.25">
      <c r="C10201" s="8"/>
      <c r="G10201" s="11"/>
    </row>
    <row r="10202" spans="3:7" x14ac:dyDescent="0.25">
      <c r="C10202" s="8"/>
      <c r="G10202" s="11"/>
    </row>
    <row r="10203" spans="3:7" x14ac:dyDescent="0.25">
      <c r="C10203" s="8"/>
      <c r="G10203" s="11"/>
    </row>
    <row r="10204" spans="3:7" x14ac:dyDescent="0.25">
      <c r="C10204" s="8"/>
      <c r="G10204" s="11"/>
    </row>
    <row r="10205" spans="3:7" x14ac:dyDescent="0.25">
      <c r="C10205" s="8"/>
      <c r="G10205" s="11"/>
    </row>
    <row r="10206" spans="3:7" x14ac:dyDescent="0.25">
      <c r="C10206" s="8"/>
      <c r="G10206" s="11"/>
    </row>
    <row r="10207" spans="3:7" x14ac:dyDescent="0.25">
      <c r="C10207" s="8"/>
      <c r="G10207" s="11"/>
    </row>
    <row r="10208" spans="3:7" x14ac:dyDescent="0.25">
      <c r="C10208" s="8"/>
      <c r="G10208" s="11"/>
    </row>
    <row r="10209" spans="3:7" x14ac:dyDescent="0.25">
      <c r="C10209" s="8"/>
      <c r="G10209" s="11"/>
    </row>
    <row r="10210" spans="3:7" x14ac:dyDescent="0.25">
      <c r="C10210" s="8"/>
      <c r="G10210" s="11"/>
    </row>
    <row r="10211" spans="3:7" x14ac:dyDescent="0.25">
      <c r="C10211" s="8"/>
      <c r="G10211" s="11"/>
    </row>
    <row r="10212" spans="3:7" x14ac:dyDescent="0.25">
      <c r="C10212" s="8"/>
      <c r="G10212" s="11"/>
    </row>
    <row r="10213" spans="3:7" x14ac:dyDescent="0.25">
      <c r="C10213" s="8"/>
      <c r="G10213" s="11"/>
    </row>
    <row r="10214" spans="3:7" x14ac:dyDescent="0.25">
      <c r="C10214" s="8"/>
      <c r="G10214" s="11"/>
    </row>
    <row r="10215" spans="3:7" x14ac:dyDescent="0.25">
      <c r="C10215" s="8"/>
      <c r="G10215" s="11"/>
    </row>
    <row r="10216" spans="3:7" x14ac:dyDescent="0.25">
      <c r="C10216" s="8"/>
      <c r="G10216" s="11"/>
    </row>
    <row r="10217" spans="3:7" x14ac:dyDescent="0.25">
      <c r="C10217" s="8"/>
      <c r="G10217" s="11"/>
    </row>
    <row r="10218" spans="3:7" x14ac:dyDescent="0.25">
      <c r="C10218" s="8"/>
      <c r="G10218" s="11"/>
    </row>
    <row r="10219" spans="3:7" x14ac:dyDescent="0.25">
      <c r="C10219" s="8"/>
      <c r="G10219" s="11"/>
    </row>
    <row r="10220" spans="3:7" x14ac:dyDescent="0.25">
      <c r="C10220" s="8"/>
      <c r="G10220" s="11"/>
    </row>
    <row r="10221" spans="3:7" x14ac:dyDescent="0.25">
      <c r="C10221" s="8"/>
      <c r="G10221" s="11"/>
    </row>
    <row r="10222" spans="3:7" x14ac:dyDescent="0.25">
      <c r="C10222" s="8"/>
      <c r="G10222" s="11"/>
    </row>
    <row r="10223" spans="3:7" x14ac:dyDescent="0.25">
      <c r="C10223" s="8"/>
      <c r="G10223" s="11"/>
    </row>
    <row r="10224" spans="3:7" x14ac:dyDescent="0.25">
      <c r="C10224" s="8"/>
      <c r="G10224" s="11"/>
    </row>
    <row r="10225" spans="3:7" x14ac:dyDescent="0.25">
      <c r="C10225" s="8"/>
      <c r="G10225" s="11"/>
    </row>
    <row r="10226" spans="3:7" x14ac:dyDescent="0.25">
      <c r="C10226" s="8"/>
      <c r="G10226" s="11"/>
    </row>
    <row r="10227" spans="3:7" x14ac:dyDescent="0.25">
      <c r="C10227" s="8"/>
      <c r="G10227" s="11"/>
    </row>
    <row r="10228" spans="3:7" x14ac:dyDescent="0.25">
      <c r="C10228" s="8"/>
      <c r="G10228" s="11"/>
    </row>
    <row r="10229" spans="3:7" x14ac:dyDescent="0.25">
      <c r="C10229" s="8"/>
      <c r="G10229" s="11"/>
    </row>
    <row r="10230" spans="3:7" x14ac:dyDescent="0.25">
      <c r="C10230" s="8"/>
      <c r="G10230" s="11"/>
    </row>
    <row r="10231" spans="3:7" x14ac:dyDescent="0.25">
      <c r="C10231" s="8"/>
      <c r="G10231" s="11"/>
    </row>
    <row r="10232" spans="3:7" x14ac:dyDescent="0.25">
      <c r="C10232" s="8"/>
      <c r="G10232" s="11"/>
    </row>
    <row r="10233" spans="3:7" x14ac:dyDescent="0.25">
      <c r="C10233" s="8"/>
      <c r="G10233" s="11"/>
    </row>
    <row r="10234" spans="3:7" x14ac:dyDescent="0.25">
      <c r="C10234" s="8"/>
      <c r="G10234" s="11"/>
    </row>
    <row r="10235" spans="3:7" x14ac:dyDescent="0.25">
      <c r="C10235" s="8"/>
      <c r="G10235" s="11"/>
    </row>
    <row r="10236" spans="3:7" x14ac:dyDescent="0.25">
      <c r="C10236" s="8"/>
      <c r="G10236" s="11"/>
    </row>
    <row r="10237" spans="3:7" x14ac:dyDescent="0.25">
      <c r="C10237" s="8"/>
      <c r="G10237" s="11"/>
    </row>
    <row r="10238" spans="3:7" x14ac:dyDescent="0.25">
      <c r="C10238" s="8"/>
      <c r="G10238" s="11"/>
    </row>
    <row r="10239" spans="3:7" x14ac:dyDescent="0.25">
      <c r="C10239" s="8"/>
      <c r="G10239" s="11"/>
    </row>
    <row r="10240" spans="3:7" x14ac:dyDescent="0.25">
      <c r="C10240" s="8"/>
      <c r="G10240" s="11"/>
    </row>
    <row r="10241" spans="3:7" x14ac:dyDescent="0.25">
      <c r="C10241" s="8"/>
      <c r="G10241" s="11"/>
    </row>
    <row r="10242" spans="3:7" x14ac:dyDescent="0.25">
      <c r="C10242" s="8"/>
      <c r="G10242" s="11"/>
    </row>
    <row r="10243" spans="3:7" x14ac:dyDescent="0.25">
      <c r="C10243" s="8"/>
      <c r="G10243" s="11"/>
    </row>
    <row r="10244" spans="3:7" x14ac:dyDescent="0.25">
      <c r="C10244" s="8"/>
      <c r="G10244" s="11"/>
    </row>
    <row r="10245" spans="3:7" x14ac:dyDescent="0.25">
      <c r="C10245" s="8"/>
      <c r="G10245" s="11"/>
    </row>
    <row r="10246" spans="3:7" x14ac:dyDescent="0.25">
      <c r="C10246" s="8"/>
      <c r="G10246" s="11"/>
    </row>
    <row r="10247" spans="3:7" x14ac:dyDescent="0.25">
      <c r="C10247" s="8"/>
      <c r="G10247" s="11"/>
    </row>
    <row r="10248" spans="3:7" x14ac:dyDescent="0.25">
      <c r="C10248" s="8"/>
      <c r="G10248" s="11"/>
    </row>
    <row r="10249" spans="3:7" x14ac:dyDescent="0.25">
      <c r="C10249" s="8"/>
      <c r="G10249" s="11"/>
    </row>
    <row r="10250" spans="3:7" x14ac:dyDescent="0.25">
      <c r="C10250" s="8"/>
      <c r="G10250" s="11"/>
    </row>
    <row r="10251" spans="3:7" x14ac:dyDescent="0.25">
      <c r="C10251" s="8"/>
      <c r="G10251" s="11"/>
    </row>
    <row r="10252" spans="3:7" x14ac:dyDescent="0.25">
      <c r="C10252" s="8"/>
      <c r="G10252" s="11"/>
    </row>
    <row r="10253" spans="3:7" x14ac:dyDescent="0.25">
      <c r="C10253" s="8"/>
      <c r="G10253" s="11"/>
    </row>
    <row r="10254" spans="3:7" x14ac:dyDescent="0.25">
      <c r="C10254" s="8"/>
      <c r="G10254" s="11"/>
    </row>
    <row r="10255" spans="3:7" x14ac:dyDescent="0.25">
      <c r="C10255" s="8"/>
      <c r="G10255" s="11"/>
    </row>
    <row r="10256" spans="3:7" x14ac:dyDescent="0.25">
      <c r="C10256" s="8"/>
      <c r="G10256" s="11"/>
    </row>
    <row r="10257" spans="3:7" x14ac:dyDescent="0.25">
      <c r="C10257" s="8"/>
      <c r="G10257" s="11"/>
    </row>
    <row r="10258" spans="3:7" x14ac:dyDescent="0.25">
      <c r="C10258" s="8"/>
      <c r="G10258" s="11"/>
    </row>
    <row r="10259" spans="3:7" x14ac:dyDescent="0.25">
      <c r="C10259" s="8"/>
      <c r="G10259" s="11"/>
    </row>
    <row r="10260" spans="3:7" x14ac:dyDescent="0.25">
      <c r="C10260" s="8"/>
      <c r="G10260" s="11"/>
    </row>
    <row r="10261" spans="3:7" x14ac:dyDescent="0.25">
      <c r="C10261" s="8"/>
      <c r="G10261" s="11"/>
    </row>
    <row r="10262" spans="3:7" x14ac:dyDescent="0.25">
      <c r="C10262" s="8"/>
      <c r="G10262" s="11"/>
    </row>
    <row r="10263" spans="3:7" x14ac:dyDescent="0.25">
      <c r="C10263" s="8"/>
      <c r="G10263" s="11"/>
    </row>
    <row r="10264" spans="3:7" x14ac:dyDescent="0.25">
      <c r="C10264" s="8"/>
      <c r="G10264" s="11"/>
    </row>
    <row r="10265" spans="3:7" x14ac:dyDescent="0.25">
      <c r="C10265" s="8"/>
      <c r="G10265" s="11"/>
    </row>
    <row r="10266" spans="3:7" x14ac:dyDescent="0.25">
      <c r="C10266" s="8"/>
      <c r="G10266" s="11"/>
    </row>
    <row r="10267" spans="3:7" x14ac:dyDescent="0.25">
      <c r="C10267" s="8"/>
      <c r="G10267" s="11"/>
    </row>
    <row r="10268" spans="3:7" x14ac:dyDescent="0.25">
      <c r="C10268" s="8"/>
      <c r="G10268" s="11"/>
    </row>
    <row r="10269" spans="3:7" x14ac:dyDescent="0.25">
      <c r="C10269" s="8"/>
      <c r="G10269" s="11"/>
    </row>
    <row r="10270" spans="3:7" x14ac:dyDescent="0.25">
      <c r="C10270" s="8"/>
      <c r="G10270" s="11"/>
    </row>
    <row r="10271" spans="3:7" x14ac:dyDescent="0.25">
      <c r="C10271" s="8"/>
      <c r="G10271" s="11"/>
    </row>
    <row r="10272" spans="3:7" x14ac:dyDescent="0.25">
      <c r="C10272" s="8"/>
      <c r="G10272" s="11"/>
    </row>
    <row r="10273" spans="3:7" x14ac:dyDescent="0.25">
      <c r="C10273" s="8"/>
      <c r="G10273" s="11"/>
    </row>
    <row r="10274" spans="3:7" x14ac:dyDescent="0.25">
      <c r="C10274" s="8"/>
      <c r="G10274" s="11"/>
    </row>
    <row r="10275" spans="3:7" x14ac:dyDescent="0.25">
      <c r="C10275" s="8"/>
      <c r="G10275" s="11"/>
    </row>
    <row r="10276" spans="3:7" x14ac:dyDescent="0.25">
      <c r="C10276" s="8"/>
      <c r="G10276" s="11"/>
    </row>
    <row r="10277" spans="3:7" x14ac:dyDescent="0.25">
      <c r="C10277" s="8"/>
      <c r="G10277" s="11"/>
    </row>
    <row r="10278" spans="3:7" x14ac:dyDescent="0.25">
      <c r="C10278" s="8"/>
      <c r="G10278" s="11"/>
    </row>
    <row r="10279" spans="3:7" x14ac:dyDescent="0.25">
      <c r="C10279" s="8"/>
      <c r="G10279" s="11"/>
    </row>
    <row r="10280" spans="3:7" x14ac:dyDescent="0.25">
      <c r="C10280" s="8"/>
      <c r="G10280" s="11"/>
    </row>
    <row r="10281" spans="3:7" x14ac:dyDescent="0.25">
      <c r="C10281" s="8"/>
      <c r="G10281" s="11"/>
    </row>
    <row r="10282" spans="3:7" x14ac:dyDescent="0.25">
      <c r="C10282" s="8"/>
      <c r="G10282" s="11"/>
    </row>
    <row r="10283" spans="3:7" x14ac:dyDescent="0.25">
      <c r="C10283" s="8"/>
      <c r="G10283" s="11"/>
    </row>
    <row r="10284" spans="3:7" x14ac:dyDescent="0.25">
      <c r="C10284" s="8"/>
      <c r="G10284" s="11"/>
    </row>
    <row r="10285" spans="3:7" x14ac:dyDescent="0.25">
      <c r="C10285" s="8"/>
      <c r="G10285" s="11"/>
    </row>
    <row r="10286" spans="3:7" x14ac:dyDescent="0.25">
      <c r="C10286" s="8"/>
      <c r="G10286" s="11"/>
    </row>
    <row r="10287" spans="3:7" x14ac:dyDescent="0.25">
      <c r="C10287" s="8"/>
      <c r="G10287" s="11"/>
    </row>
    <row r="10288" spans="3:7" x14ac:dyDescent="0.25">
      <c r="C10288" s="8"/>
      <c r="G10288" s="11"/>
    </row>
    <row r="10289" spans="3:7" x14ac:dyDescent="0.25">
      <c r="C10289" s="8"/>
      <c r="G10289" s="11"/>
    </row>
    <row r="10290" spans="3:7" x14ac:dyDescent="0.25">
      <c r="C10290" s="8"/>
      <c r="G10290" s="11"/>
    </row>
    <row r="10291" spans="3:7" x14ac:dyDescent="0.25">
      <c r="C10291" s="8"/>
      <c r="G10291" s="11"/>
    </row>
    <row r="10292" spans="3:7" x14ac:dyDescent="0.25">
      <c r="C10292" s="8"/>
      <c r="G10292" s="11"/>
    </row>
    <row r="10293" spans="3:7" x14ac:dyDescent="0.25">
      <c r="C10293" s="8"/>
      <c r="G10293" s="11"/>
    </row>
    <row r="10294" spans="3:7" x14ac:dyDescent="0.25">
      <c r="C10294" s="8"/>
      <c r="G10294" s="11"/>
    </row>
    <row r="10295" spans="3:7" x14ac:dyDescent="0.25">
      <c r="C10295" s="8"/>
      <c r="G10295" s="11"/>
    </row>
    <row r="10296" spans="3:7" x14ac:dyDescent="0.25">
      <c r="C10296" s="8"/>
      <c r="G10296" s="11"/>
    </row>
    <row r="10297" spans="3:7" x14ac:dyDescent="0.25">
      <c r="C10297" s="8"/>
      <c r="G10297" s="11"/>
    </row>
    <row r="10298" spans="3:7" x14ac:dyDescent="0.25">
      <c r="C10298" s="8"/>
      <c r="G10298" s="11"/>
    </row>
    <row r="10299" spans="3:7" x14ac:dyDescent="0.25">
      <c r="C10299" s="8"/>
      <c r="G10299" s="11"/>
    </row>
    <row r="10300" spans="3:7" x14ac:dyDescent="0.25">
      <c r="C10300" s="8"/>
      <c r="G10300" s="11"/>
    </row>
    <row r="10301" spans="3:7" x14ac:dyDescent="0.25">
      <c r="C10301" s="8"/>
      <c r="G10301" s="11"/>
    </row>
    <row r="10302" spans="3:7" x14ac:dyDescent="0.25">
      <c r="C10302" s="8"/>
      <c r="G10302" s="11"/>
    </row>
    <row r="10303" spans="3:7" x14ac:dyDescent="0.25">
      <c r="C10303" s="8"/>
      <c r="G10303" s="11"/>
    </row>
    <row r="10304" spans="3:7" x14ac:dyDescent="0.25">
      <c r="C10304" s="8"/>
      <c r="G10304" s="11"/>
    </row>
    <row r="10305" spans="3:7" x14ac:dyDescent="0.25">
      <c r="C10305" s="8"/>
      <c r="G10305" s="11"/>
    </row>
    <row r="10306" spans="3:7" x14ac:dyDescent="0.25">
      <c r="C10306" s="8"/>
      <c r="G10306" s="11"/>
    </row>
    <row r="10307" spans="3:7" x14ac:dyDescent="0.25">
      <c r="C10307" s="8"/>
      <c r="G10307" s="11"/>
    </row>
    <row r="10308" spans="3:7" x14ac:dyDescent="0.25">
      <c r="C10308" s="8"/>
      <c r="G10308" s="11"/>
    </row>
    <row r="10309" spans="3:7" x14ac:dyDescent="0.25">
      <c r="C10309" s="8"/>
      <c r="G10309" s="11"/>
    </row>
    <row r="10310" spans="3:7" x14ac:dyDescent="0.25">
      <c r="C10310" s="8"/>
      <c r="G10310" s="11"/>
    </row>
    <row r="10311" spans="3:7" x14ac:dyDescent="0.25">
      <c r="C10311" s="8"/>
      <c r="G10311" s="11"/>
    </row>
    <row r="10312" spans="3:7" x14ac:dyDescent="0.25">
      <c r="C10312" s="8"/>
      <c r="G10312" s="11"/>
    </row>
    <row r="10313" spans="3:7" x14ac:dyDescent="0.25">
      <c r="C10313" s="8"/>
      <c r="G10313" s="11"/>
    </row>
    <row r="10314" spans="3:7" x14ac:dyDescent="0.25">
      <c r="C10314" s="8"/>
      <c r="G10314" s="11"/>
    </row>
    <row r="10315" spans="3:7" x14ac:dyDescent="0.25">
      <c r="C10315" s="8"/>
      <c r="G10315" s="11"/>
    </row>
    <row r="10316" spans="3:7" x14ac:dyDescent="0.25">
      <c r="C10316" s="8"/>
      <c r="G10316" s="11"/>
    </row>
    <row r="10317" spans="3:7" x14ac:dyDescent="0.25">
      <c r="C10317" s="8"/>
      <c r="G10317" s="11"/>
    </row>
    <row r="10318" spans="3:7" x14ac:dyDescent="0.25">
      <c r="C10318" s="8"/>
      <c r="G10318" s="11"/>
    </row>
    <row r="10319" spans="3:7" x14ac:dyDescent="0.25">
      <c r="C10319" s="8"/>
      <c r="G10319" s="11"/>
    </row>
    <row r="10320" spans="3:7" x14ac:dyDescent="0.25">
      <c r="C10320" s="8"/>
      <c r="G10320" s="11"/>
    </row>
    <row r="10321" spans="3:7" x14ac:dyDescent="0.25">
      <c r="C10321" s="8"/>
      <c r="G10321" s="11"/>
    </row>
    <row r="10322" spans="3:7" x14ac:dyDescent="0.25">
      <c r="C10322" s="8"/>
      <c r="G10322" s="11"/>
    </row>
    <row r="10323" spans="3:7" x14ac:dyDescent="0.25">
      <c r="C10323" s="8"/>
      <c r="G10323" s="11"/>
    </row>
    <row r="10324" spans="3:7" x14ac:dyDescent="0.25">
      <c r="C10324" s="8"/>
      <c r="G10324" s="11"/>
    </row>
    <row r="10325" spans="3:7" x14ac:dyDescent="0.25">
      <c r="C10325" s="8"/>
      <c r="G10325" s="11"/>
    </row>
    <row r="10326" spans="3:7" x14ac:dyDescent="0.25">
      <c r="C10326" s="8"/>
      <c r="G10326" s="11"/>
    </row>
    <row r="10327" spans="3:7" x14ac:dyDescent="0.25">
      <c r="C10327" s="8"/>
      <c r="G10327" s="11"/>
    </row>
    <row r="10328" spans="3:7" x14ac:dyDescent="0.25">
      <c r="C10328" s="8"/>
      <c r="G10328" s="11"/>
    </row>
    <row r="10329" spans="3:7" x14ac:dyDescent="0.25">
      <c r="C10329" s="8"/>
      <c r="G10329" s="11"/>
    </row>
    <row r="10330" spans="3:7" x14ac:dyDescent="0.25">
      <c r="C10330" s="8"/>
      <c r="G10330" s="11"/>
    </row>
    <row r="10331" spans="3:7" x14ac:dyDescent="0.25">
      <c r="C10331" s="8"/>
      <c r="G10331" s="11"/>
    </row>
    <row r="10332" spans="3:7" x14ac:dyDescent="0.25">
      <c r="C10332" s="8"/>
      <c r="G10332" s="11"/>
    </row>
    <row r="10333" spans="3:7" x14ac:dyDescent="0.25">
      <c r="C10333" s="8"/>
      <c r="G10333" s="11"/>
    </row>
    <row r="10334" spans="3:7" x14ac:dyDescent="0.25">
      <c r="C10334" s="8"/>
      <c r="G10334" s="11"/>
    </row>
    <row r="10335" spans="3:7" x14ac:dyDescent="0.25">
      <c r="C10335" s="8"/>
      <c r="G10335" s="11"/>
    </row>
    <row r="10336" spans="3:7" x14ac:dyDescent="0.25">
      <c r="C10336" s="8"/>
      <c r="G10336" s="11"/>
    </row>
    <row r="10337" spans="3:7" x14ac:dyDescent="0.25">
      <c r="C10337" s="8"/>
      <c r="G10337" s="11"/>
    </row>
    <row r="10338" spans="3:7" x14ac:dyDescent="0.25">
      <c r="C10338" s="8"/>
      <c r="G10338" s="11"/>
    </row>
    <row r="10339" spans="3:7" x14ac:dyDescent="0.25">
      <c r="C10339" s="8"/>
      <c r="G10339" s="11"/>
    </row>
    <row r="10340" spans="3:7" x14ac:dyDescent="0.25">
      <c r="C10340" s="8"/>
      <c r="G10340" s="11"/>
    </row>
    <row r="10341" spans="3:7" x14ac:dyDescent="0.25">
      <c r="C10341" s="8"/>
      <c r="G10341" s="11"/>
    </row>
    <row r="10342" spans="3:7" x14ac:dyDescent="0.25">
      <c r="C10342" s="8"/>
      <c r="G10342" s="11"/>
    </row>
    <row r="10343" spans="3:7" x14ac:dyDescent="0.25">
      <c r="C10343" s="8"/>
      <c r="G10343" s="11"/>
    </row>
    <row r="10344" spans="3:7" x14ac:dyDescent="0.25">
      <c r="C10344" s="8"/>
      <c r="G10344" s="11"/>
    </row>
    <row r="10345" spans="3:7" x14ac:dyDescent="0.25">
      <c r="C10345" s="8"/>
      <c r="G10345" s="11"/>
    </row>
    <row r="10346" spans="3:7" x14ac:dyDescent="0.25">
      <c r="C10346" s="8"/>
      <c r="G10346" s="11"/>
    </row>
    <row r="10347" spans="3:7" x14ac:dyDescent="0.25">
      <c r="C10347" s="8"/>
      <c r="G10347" s="11"/>
    </row>
    <row r="10348" spans="3:7" x14ac:dyDescent="0.25">
      <c r="C10348" s="8"/>
      <c r="G10348" s="11"/>
    </row>
    <row r="10349" spans="3:7" x14ac:dyDescent="0.25">
      <c r="C10349" s="8"/>
      <c r="G10349" s="11"/>
    </row>
    <row r="10350" spans="3:7" x14ac:dyDescent="0.25">
      <c r="C10350" s="8"/>
      <c r="G10350" s="11"/>
    </row>
    <row r="10351" spans="3:7" x14ac:dyDescent="0.25">
      <c r="C10351" s="8"/>
      <c r="G10351" s="11"/>
    </row>
    <row r="10352" spans="3:7" x14ac:dyDescent="0.25">
      <c r="C10352" s="8"/>
      <c r="G10352" s="11"/>
    </row>
    <row r="10353" spans="3:7" x14ac:dyDescent="0.25">
      <c r="C10353" s="8"/>
      <c r="G10353" s="11"/>
    </row>
    <row r="10354" spans="3:7" x14ac:dyDescent="0.25">
      <c r="C10354" s="8"/>
      <c r="G10354" s="11"/>
    </row>
    <row r="10355" spans="3:7" x14ac:dyDescent="0.25">
      <c r="C10355" s="8"/>
      <c r="G10355" s="11"/>
    </row>
    <row r="10356" spans="3:7" x14ac:dyDescent="0.25">
      <c r="C10356" s="8"/>
      <c r="G10356" s="11"/>
    </row>
    <row r="10357" spans="3:7" x14ac:dyDescent="0.25">
      <c r="C10357" s="8"/>
      <c r="G10357" s="11"/>
    </row>
    <row r="10358" spans="3:7" x14ac:dyDescent="0.25">
      <c r="C10358" s="8"/>
      <c r="G10358" s="11"/>
    </row>
    <row r="10359" spans="3:7" x14ac:dyDescent="0.25">
      <c r="C10359" s="8"/>
      <c r="G10359" s="11"/>
    </row>
    <row r="10360" spans="3:7" x14ac:dyDescent="0.25">
      <c r="C10360" s="8"/>
      <c r="G10360" s="11"/>
    </row>
    <row r="10361" spans="3:7" x14ac:dyDescent="0.25">
      <c r="C10361" s="8"/>
      <c r="G10361" s="11"/>
    </row>
    <row r="10362" spans="3:7" x14ac:dyDescent="0.25">
      <c r="C10362" s="8"/>
      <c r="G10362" s="11"/>
    </row>
    <row r="10363" spans="3:7" x14ac:dyDescent="0.25">
      <c r="C10363" s="8"/>
      <c r="G10363" s="11"/>
    </row>
    <row r="10364" spans="3:7" x14ac:dyDescent="0.25">
      <c r="C10364" s="8"/>
      <c r="G10364" s="11"/>
    </row>
    <row r="10365" spans="3:7" x14ac:dyDescent="0.25">
      <c r="C10365" s="8"/>
      <c r="G10365" s="11"/>
    </row>
    <row r="10366" spans="3:7" x14ac:dyDescent="0.25">
      <c r="C10366" s="8"/>
      <c r="G10366" s="11"/>
    </row>
    <row r="10367" spans="3:7" x14ac:dyDescent="0.25">
      <c r="C10367" s="8"/>
      <c r="G10367" s="11"/>
    </row>
    <row r="10368" spans="3:7" x14ac:dyDescent="0.25">
      <c r="C10368" s="8"/>
      <c r="G10368" s="11"/>
    </row>
    <row r="10369" spans="3:7" x14ac:dyDescent="0.25">
      <c r="C10369" s="8"/>
      <c r="G10369" s="11"/>
    </row>
    <row r="10370" spans="3:7" x14ac:dyDescent="0.25">
      <c r="C10370" s="8"/>
      <c r="G10370" s="11"/>
    </row>
    <row r="10371" spans="3:7" x14ac:dyDescent="0.25">
      <c r="C10371" s="8"/>
      <c r="G10371" s="11"/>
    </row>
    <row r="10372" spans="3:7" x14ac:dyDescent="0.25">
      <c r="C10372" s="8"/>
      <c r="G10372" s="11"/>
    </row>
    <row r="10373" spans="3:7" x14ac:dyDescent="0.25">
      <c r="C10373" s="8"/>
      <c r="G10373" s="11"/>
    </row>
    <row r="10374" spans="3:7" x14ac:dyDescent="0.25">
      <c r="C10374" s="8"/>
      <c r="G10374" s="11"/>
    </row>
    <row r="10375" spans="3:7" x14ac:dyDescent="0.25">
      <c r="C10375" s="8"/>
      <c r="G10375" s="11"/>
    </row>
    <row r="10376" spans="3:7" x14ac:dyDescent="0.25">
      <c r="C10376" s="8"/>
      <c r="G10376" s="11"/>
    </row>
    <row r="10377" spans="3:7" x14ac:dyDescent="0.25">
      <c r="C10377" s="8"/>
      <c r="G10377" s="11"/>
    </row>
    <row r="10378" spans="3:7" x14ac:dyDescent="0.25">
      <c r="C10378" s="8"/>
      <c r="G10378" s="11"/>
    </row>
    <row r="10379" spans="3:7" x14ac:dyDescent="0.25">
      <c r="C10379" s="8"/>
      <c r="G10379" s="11"/>
    </row>
    <row r="10380" spans="3:7" x14ac:dyDescent="0.25">
      <c r="C10380" s="8"/>
      <c r="G10380" s="11"/>
    </row>
    <row r="10381" spans="3:7" x14ac:dyDescent="0.25">
      <c r="C10381" s="8"/>
      <c r="G10381" s="11"/>
    </row>
    <row r="10382" spans="3:7" x14ac:dyDescent="0.25">
      <c r="C10382" s="8"/>
      <c r="G10382" s="11"/>
    </row>
    <row r="10383" spans="3:7" x14ac:dyDescent="0.25">
      <c r="C10383" s="8"/>
      <c r="G10383" s="11"/>
    </row>
    <row r="10384" spans="3:7" x14ac:dyDescent="0.25">
      <c r="C10384" s="8"/>
      <c r="G10384" s="11"/>
    </row>
    <row r="10385" spans="3:7" x14ac:dyDescent="0.25">
      <c r="C10385" s="8"/>
      <c r="G10385" s="11"/>
    </row>
    <row r="10386" spans="3:7" x14ac:dyDescent="0.25">
      <c r="C10386" s="8"/>
      <c r="G10386" s="11"/>
    </row>
    <row r="10387" spans="3:7" x14ac:dyDescent="0.25">
      <c r="C10387" s="8"/>
      <c r="G10387" s="11"/>
    </row>
    <row r="10388" spans="3:7" x14ac:dyDescent="0.25">
      <c r="C10388" s="8"/>
      <c r="G10388" s="11"/>
    </row>
    <row r="10389" spans="3:7" x14ac:dyDescent="0.25">
      <c r="C10389" s="8"/>
      <c r="G10389" s="11"/>
    </row>
    <row r="10390" spans="3:7" x14ac:dyDescent="0.25">
      <c r="C10390" s="8"/>
      <c r="G10390" s="11"/>
    </row>
    <row r="10391" spans="3:7" x14ac:dyDescent="0.25">
      <c r="C10391" s="8"/>
      <c r="G10391" s="11"/>
    </row>
    <row r="10392" spans="3:7" x14ac:dyDescent="0.25">
      <c r="C10392" s="8"/>
      <c r="G10392" s="11"/>
    </row>
    <row r="10393" spans="3:7" x14ac:dyDescent="0.25">
      <c r="C10393" s="8"/>
      <c r="G10393" s="11"/>
    </row>
    <row r="10394" spans="3:7" x14ac:dyDescent="0.25">
      <c r="C10394" s="8"/>
      <c r="G10394" s="11"/>
    </row>
    <row r="10395" spans="3:7" x14ac:dyDescent="0.25">
      <c r="C10395" s="8"/>
      <c r="G10395" s="11"/>
    </row>
    <row r="10396" spans="3:7" x14ac:dyDescent="0.25">
      <c r="C10396" s="8"/>
      <c r="G10396" s="11"/>
    </row>
    <row r="10397" spans="3:7" x14ac:dyDescent="0.25">
      <c r="C10397" s="8"/>
      <c r="G10397" s="11"/>
    </row>
    <row r="10398" spans="3:7" x14ac:dyDescent="0.25">
      <c r="C10398" s="8"/>
      <c r="G10398" s="11"/>
    </row>
    <row r="10399" spans="3:7" x14ac:dyDescent="0.25">
      <c r="C10399" s="8"/>
      <c r="G10399" s="11"/>
    </row>
    <row r="10400" spans="3:7" x14ac:dyDescent="0.25">
      <c r="C10400" s="8"/>
      <c r="G10400" s="11"/>
    </row>
    <row r="10401" spans="3:7" x14ac:dyDescent="0.25">
      <c r="C10401" s="8"/>
      <c r="G10401" s="11"/>
    </row>
    <row r="10402" spans="3:7" x14ac:dyDescent="0.25">
      <c r="C10402" s="8"/>
      <c r="G10402" s="11"/>
    </row>
    <row r="10403" spans="3:7" x14ac:dyDescent="0.25">
      <c r="C10403" s="8"/>
      <c r="G10403" s="11"/>
    </row>
    <row r="10404" spans="3:7" x14ac:dyDescent="0.25">
      <c r="C10404" s="8"/>
      <c r="G10404" s="11"/>
    </row>
    <row r="10405" spans="3:7" x14ac:dyDescent="0.25">
      <c r="C10405" s="8"/>
      <c r="G10405" s="11"/>
    </row>
    <row r="10406" spans="3:7" x14ac:dyDescent="0.25">
      <c r="C10406" s="8"/>
      <c r="G10406" s="11"/>
    </row>
    <row r="10407" spans="3:7" x14ac:dyDescent="0.25">
      <c r="C10407" s="8"/>
      <c r="G10407" s="11"/>
    </row>
    <row r="10408" spans="3:7" x14ac:dyDescent="0.25">
      <c r="C10408" s="8"/>
      <c r="G10408" s="11"/>
    </row>
    <row r="10409" spans="3:7" x14ac:dyDescent="0.25">
      <c r="C10409" s="8"/>
      <c r="G10409" s="11"/>
    </row>
    <row r="10410" spans="3:7" x14ac:dyDescent="0.25">
      <c r="C10410" s="8"/>
      <c r="G10410" s="11"/>
    </row>
    <row r="10411" spans="3:7" x14ac:dyDescent="0.25">
      <c r="C10411" s="8"/>
      <c r="G10411" s="11"/>
    </row>
    <row r="10412" spans="3:7" x14ac:dyDescent="0.25">
      <c r="C10412" s="8"/>
      <c r="G10412" s="11"/>
    </row>
    <row r="10413" spans="3:7" x14ac:dyDescent="0.25">
      <c r="C10413" s="8"/>
      <c r="G10413" s="11"/>
    </row>
    <row r="10414" spans="3:7" x14ac:dyDescent="0.25">
      <c r="C10414" s="8"/>
      <c r="G10414" s="11"/>
    </row>
    <row r="10415" spans="3:7" x14ac:dyDescent="0.25">
      <c r="C10415" s="8"/>
      <c r="G10415" s="11"/>
    </row>
    <row r="10416" spans="3:7" x14ac:dyDescent="0.25">
      <c r="C10416" s="8"/>
      <c r="G10416" s="11"/>
    </row>
    <row r="10417" spans="3:7" x14ac:dyDescent="0.25">
      <c r="C10417" s="8"/>
      <c r="G10417" s="11"/>
    </row>
    <row r="10418" spans="3:7" x14ac:dyDescent="0.25">
      <c r="C10418" s="8"/>
      <c r="G10418" s="11"/>
    </row>
    <row r="10419" spans="3:7" x14ac:dyDescent="0.25">
      <c r="C10419" s="8"/>
      <c r="G10419" s="11"/>
    </row>
    <row r="10420" spans="3:7" x14ac:dyDescent="0.25">
      <c r="C10420" s="8"/>
      <c r="G10420" s="11"/>
    </row>
    <row r="10421" spans="3:7" x14ac:dyDescent="0.25">
      <c r="C10421" s="8"/>
      <c r="G10421" s="11"/>
    </row>
    <row r="10422" spans="3:7" x14ac:dyDescent="0.25">
      <c r="C10422" s="8"/>
      <c r="G10422" s="11"/>
    </row>
    <row r="10423" spans="3:7" x14ac:dyDescent="0.25">
      <c r="C10423" s="8"/>
      <c r="G10423" s="11"/>
    </row>
    <row r="10424" spans="3:7" x14ac:dyDescent="0.25">
      <c r="C10424" s="8"/>
      <c r="G10424" s="11"/>
    </row>
    <row r="10425" spans="3:7" x14ac:dyDescent="0.25">
      <c r="C10425" s="8"/>
      <c r="G10425" s="11"/>
    </row>
    <row r="10426" spans="3:7" x14ac:dyDescent="0.25">
      <c r="C10426" s="8"/>
      <c r="G10426" s="11"/>
    </row>
    <row r="10427" spans="3:7" x14ac:dyDescent="0.25">
      <c r="C10427" s="8"/>
      <c r="G10427" s="11"/>
    </row>
    <row r="10428" spans="3:7" x14ac:dyDescent="0.25">
      <c r="C10428" s="8"/>
      <c r="G10428" s="11"/>
    </row>
    <row r="10429" spans="3:7" x14ac:dyDescent="0.25">
      <c r="C10429" s="8"/>
      <c r="G10429" s="11"/>
    </row>
    <row r="10430" spans="3:7" x14ac:dyDescent="0.25">
      <c r="C10430" s="8"/>
      <c r="G10430" s="11"/>
    </row>
    <row r="10431" spans="3:7" x14ac:dyDescent="0.25">
      <c r="C10431" s="8"/>
      <c r="G10431" s="11"/>
    </row>
    <row r="10432" spans="3:7" x14ac:dyDescent="0.25">
      <c r="C10432" s="8"/>
      <c r="G10432" s="11"/>
    </row>
    <row r="10433" spans="3:7" x14ac:dyDescent="0.25">
      <c r="C10433" s="8"/>
      <c r="G10433" s="11"/>
    </row>
    <row r="10434" spans="3:7" x14ac:dyDescent="0.25">
      <c r="C10434" s="8"/>
      <c r="G10434" s="11"/>
    </row>
    <row r="10435" spans="3:7" x14ac:dyDescent="0.25">
      <c r="C10435" s="8"/>
      <c r="G10435" s="11"/>
    </row>
    <row r="10436" spans="3:7" x14ac:dyDescent="0.25">
      <c r="C10436" s="8"/>
      <c r="G10436" s="11"/>
    </row>
    <row r="10437" spans="3:7" x14ac:dyDescent="0.25">
      <c r="C10437" s="8"/>
      <c r="G10437" s="11"/>
    </row>
    <row r="10438" spans="3:7" x14ac:dyDescent="0.25">
      <c r="C10438" s="8"/>
      <c r="G10438" s="11"/>
    </row>
    <row r="10439" spans="3:7" x14ac:dyDescent="0.25">
      <c r="C10439" s="8"/>
      <c r="G10439" s="11"/>
    </row>
    <row r="10440" spans="3:7" x14ac:dyDescent="0.25">
      <c r="C10440" s="8"/>
      <c r="G10440" s="11"/>
    </row>
    <row r="10441" spans="3:7" x14ac:dyDescent="0.25">
      <c r="C10441" s="8"/>
      <c r="G10441" s="11"/>
    </row>
    <row r="10442" spans="3:7" x14ac:dyDescent="0.25">
      <c r="C10442" s="8"/>
      <c r="G10442" s="11"/>
    </row>
    <row r="10443" spans="3:7" x14ac:dyDescent="0.25">
      <c r="C10443" s="8"/>
      <c r="G10443" s="11"/>
    </row>
    <row r="10444" spans="3:7" x14ac:dyDescent="0.25">
      <c r="C10444" s="8"/>
      <c r="G10444" s="11"/>
    </row>
    <row r="10445" spans="3:7" x14ac:dyDescent="0.25">
      <c r="C10445" s="8"/>
      <c r="G10445" s="11"/>
    </row>
    <row r="10446" spans="3:7" x14ac:dyDescent="0.25">
      <c r="C10446" s="8"/>
      <c r="G10446" s="11"/>
    </row>
    <row r="10447" spans="3:7" x14ac:dyDescent="0.25">
      <c r="C10447" s="8"/>
      <c r="G10447" s="11"/>
    </row>
    <row r="10448" spans="3:7" x14ac:dyDescent="0.25">
      <c r="C10448" s="8"/>
      <c r="G10448" s="11"/>
    </row>
    <row r="10449" spans="3:7" x14ac:dyDescent="0.25">
      <c r="C10449" s="8"/>
      <c r="G10449" s="11"/>
    </row>
    <row r="10450" spans="3:7" x14ac:dyDescent="0.25">
      <c r="C10450" s="8"/>
      <c r="G10450" s="11"/>
    </row>
    <row r="10451" spans="3:7" x14ac:dyDescent="0.25">
      <c r="C10451" s="8"/>
      <c r="G10451" s="11"/>
    </row>
    <row r="10452" spans="3:7" x14ac:dyDescent="0.25">
      <c r="C10452" s="8"/>
      <c r="G10452" s="11"/>
    </row>
    <row r="10453" spans="3:7" x14ac:dyDescent="0.25">
      <c r="C10453" s="8"/>
      <c r="G10453" s="11"/>
    </row>
    <row r="10454" spans="3:7" x14ac:dyDescent="0.25">
      <c r="C10454" s="8"/>
      <c r="G10454" s="11"/>
    </row>
    <row r="10455" spans="3:7" x14ac:dyDescent="0.25">
      <c r="C10455" s="8"/>
      <c r="G10455" s="11"/>
    </row>
    <row r="10456" spans="3:7" x14ac:dyDescent="0.25">
      <c r="C10456" s="8"/>
      <c r="G10456" s="11"/>
    </row>
    <row r="10457" spans="3:7" x14ac:dyDescent="0.25">
      <c r="C10457" s="8"/>
      <c r="G10457" s="11"/>
    </row>
    <row r="10458" spans="3:7" x14ac:dyDescent="0.25">
      <c r="C10458" s="8"/>
      <c r="G10458" s="11"/>
    </row>
    <row r="10459" spans="3:7" x14ac:dyDescent="0.25">
      <c r="C10459" s="8"/>
      <c r="G10459" s="11"/>
    </row>
    <row r="10460" spans="3:7" x14ac:dyDescent="0.25">
      <c r="C10460" s="8"/>
      <c r="G10460" s="11"/>
    </row>
    <row r="10461" spans="3:7" x14ac:dyDescent="0.25">
      <c r="C10461" s="8"/>
      <c r="G10461" s="11"/>
    </row>
    <row r="10462" spans="3:7" x14ac:dyDescent="0.25">
      <c r="C10462" s="8"/>
      <c r="G10462" s="11"/>
    </row>
    <row r="10463" spans="3:7" x14ac:dyDescent="0.25">
      <c r="C10463" s="8"/>
      <c r="G10463" s="11"/>
    </row>
    <row r="10464" spans="3:7" x14ac:dyDescent="0.25">
      <c r="C10464" s="8"/>
      <c r="G10464" s="11"/>
    </row>
    <row r="10465" spans="3:7" x14ac:dyDescent="0.25">
      <c r="C10465" s="8"/>
      <c r="G10465" s="11"/>
    </row>
    <row r="10466" spans="3:7" x14ac:dyDescent="0.25">
      <c r="C10466" s="8"/>
      <c r="G10466" s="11"/>
    </row>
    <row r="10467" spans="3:7" x14ac:dyDescent="0.25">
      <c r="C10467" s="8"/>
      <c r="G10467" s="11"/>
    </row>
    <row r="10468" spans="3:7" x14ac:dyDescent="0.25">
      <c r="C10468" s="8"/>
      <c r="G10468" s="11"/>
    </row>
    <row r="10469" spans="3:7" x14ac:dyDescent="0.25">
      <c r="C10469" s="8"/>
      <c r="G10469" s="11"/>
    </row>
    <row r="10470" spans="3:7" x14ac:dyDescent="0.25">
      <c r="C10470" s="8"/>
      <c r="G10470" s="11"/>
    </row>
    <row r="10471" spans="3:7" x14ac:dyDescent="0.25">
      <c r="C10471" s="8"/>
      <c r="G10471" s="11"/>
    </row>
    <row r="10472" spans="3:7" x14ac:dyDescent="0.25">
      <c r="C10472" s="8"/>
      <c r="G10472" s="11"/>
    </row>
    <row r="10473" spans="3:7" x14ac:dyDescent="0.25">
      <c r="C10473" s="8"/>
      <c r="G10473" s="11"/>
    </row>
    <row r="10474" spans="3:7" x14ac:dyDescent="0.25">
      <c r="C10474" s="8"/>
      <c r="G10474" s="11"/>
    </row>
    <row r="10475" spans="3:7" x14ac:dyDescent="0.25">
      <c r="C10475" s="8"/>
      <c r="G10475" s="11"/>
    </row>
    <row r="10476" spans="3:7" x14ac:dyDescent="0.25">
      <c r="C10476" s="8"/>
      <c r="G10476" s="11"/>
    </row>
    <row r="10477" spans="3:7" x14ac:dyDescent="0.25">
      <c r="C10477" s="8"/>
      <c r="G10477" s="11"/>
    </row>
    <row r="10478" spans="3:7" x14ac:dyDescent="0.25">
      <c r="C10478" s="8"/>
      <c r="G10478" s="11"/>
    </row>
    <row r="10479" spans="3:7" x14ac:dyDescent="0.25">
      <c r="C10479" s="8"/>
      <c r="G10479" s="11"/>
    </row>
    <row r="10480" spans="3:7" x14ac:dyDescent="0.25">
      <c r="C10480" s="8"/>
      <c r="G10480" s="11"/>
    </row>
    <row r="10481" spans="3:7" x14ac:dyDescent="0.25">
      <c r="C10481" s="8"/>
      <c r="G10481" s="11"/>
    </row>
    <row r="10482" spans="3:7" x14ac:dyDescent="0.25">
      <c r="C10482" s="8"/>
      <c r="G10482" s="11"/>
    </row>
    <row r="10483" spans="3:7" x14ac:dyDescent="0.25">
      <c r="C10483" s="8"/>
      <c r="G10483" s="11"/>
    </row>
    <row r="10484" spans="3:7" x14ac:dyDescent="0.25">
      <c r="C10484" s="8"/>
      <c r="G10484" s="11"/>
    </row>
    <row r="10485" spans="3:7" x14ac:dyDescent="0.25">
      <c r="C10485" s="8"/>
      <c r="G10485" s="11"/>
    </row>
    <row r="10486" spans="3:7" x14ac:dyDescent="0.25">
      <c r="C10486" s="8"/>
      <c r="G10486" s="11"/>
    </row>
    <row r="10487" spans="3:7" x14ac:dyDescent="0.25">
      <c r="C10487" s="8"/>
      <c r="G10487" s="11"/>
    </row>
    <row r="10488" spans="3:7" x14ac:dyDescent="0.25">
      <c r="C10488" s="8"/>
      <c r="G10488" s="11"/>
    </row>
    <row r="10489" spans="3:7" x14ac:dyDescent="0.25">
      <c r="C10489" s="8"/>
      <c r="G10489" s="11"/>
    </row>
    <row r="10490" spans="3:7" x14ac:dyDescent="0.25">
      <c r="C10490" s="8"/>
      <c r="G10490" s="11"/>
    </row>
    <row r="10491" spans="3:7" x14ac:dyDescent="0.25">
      <c r="C10491" s="8"/>
      <c r="G10491" s="11"/>
    </row>
    <row r="10492" spans="3:7" x14ac:dyDescent="0.25">
      <c r="C10492" s="8"/>
      <c r="G10492" s="11"/>
    </row>
    <row r="10493" spans="3:7" x14ac:dyDescent="0.25">
      <c r="C10493" s="8"/>
      <c r="G10493" s="11"/>
    </row>
    <row r="10494" spans="3:7" x14ac:dyDescent="0.25">
      <c r="C10494" s="8"/>
      <c r="G10494" s="11"/>
    </row>
    <row r="10495" spans="3:7" x14ac:dyDescent="0.25">
      <c r="C10495" s="8"/>
      <c r="G10495" s="11"/>
    </row>
    <row r="10496" spans="3:7" x14ac:dyDescent="0.25">
      <c r="C10496" s="8"/>
      <c r="G10496" s="11"/>
    </row>
    <row r="10497" spans="3:7" x14ac:dyDescent="0.25">
      <c r="C10497" s="8"/>
      <c r="G10497" s="11"/>
    </row>
    <row r="10498" spans="3:7" x14ac:dyDescent="0.25">
      <c r="C10498" s="8"/>
      <c r="G10498" s="11"/>
    </row>
    <row r="10499" spans="3:7" x14ac:dyDescent="0.25">
      <c r="C10499" s="8"/>
      <c r="G10499" s="11"/>
    </row>
    <row r="10500" spans="3:7" x14ac:dyDescent="0.25">
      <c r="C10500" s="8"/>
      <c r="G10500" s="11"/>
    </row>
    <row r="10501" spans="3:7" x14ac:dyDescent="0.25">
      <c r="C10501" s="8"/>
      <c r="G10501" s="11"/>
    </row>
    <row r="10502" spans="3:7" x14ac:dyDescent="0.25">
      <c r="C10502" s="8"/>
      <c r="G10502" s="11"/>
    </row>
    <row r="10503" spans="3:7" x14ac:dyDescent="0.25">
      <c r="C10503" s="8"/>
      <c r="G10503" s="11"/>
    </row>
    <row r="10504" spans="3:7" x14ac:dyDescent="0.25">
      <c r="C10504" s="8"/>
      <c r="G10504" s="11"/>
    </row>
    <row r="10505" spans="3:7" x14ac:dyDescent="0.25">
      <c r="C10505" s="8"/>
      <c r="G10505" s="11"/>
    </row>
    <row r="10506" spans="3:7" x14ac:dyDescent="0.25">
      <c r="C10506" s="8"/>
      <c r="G10506" s="11"/>
    </row>
    <row r="10507" spans="3:7" x14ac:dyDescent="0.25">
      <c r="C10507" s="8"/>
      <c r="G10507" s="11"/>
    </row>
    <row r="10508" spans="3:7" x14ac:dyDescent="0.25">
      <c r="C10508" s="8"/>
      <c r="G10508" s="11"/>
    </row>
    <row r="10509" spans="3:7" x14ac:dyDescent="0.25">
      <c r="C10509" s="8"/>
      <c r="G10509" s="11"/>
    </row>
    <row r="10510" spans="3:7" x14ac:dyDescent="0.25">
      <c r="C10510" s="8"/>
      <c r="G10510" s="11"/>
    </row>
    <row r="10511" spans="3:7" x14ac:dyDescent="0.25">
      <c r="C10511" s="8"/>
      <c r="G10511" s="11"/>
    </row>
    <row r="10512" spans="3:7" x14ac:dyDescent="0.25">
      <c r="C10512" s="8"/>
      <c r="G10512" s="11"/>
    </row>
    <row r="10513" spans="3:7" x14ac:dyDescent="0.25">
      <c r="C10513" s="8"/>
      <c r="G10513" s="11"/>
    </row>
    <row r="10514" spans="3:7" x14ac:dyDescent="0.25">
      <c r="C10514" s="8"/>
      <c r="G10514" s="11"/>
    </row>
    <row r="10515" spans="3:7" x14ac:dyDescent="0.25">
      <c r="C10515" s="8"/>
      <c r="G10515" s="11"/>
    </row>
    <row r="10516" spans="3:7" x14ac:dyDescent="0.25">
      <c r="C10516" s="8"/>
      <c r="G10516" s="11"/>
    </row>
    <row r="10517" spans="3:7" x14ac:dyDescent="0.25">
      <c r="C10517" s="8"/>
      <c r="G10517" s="11"/>
    </row>
    <row r="10518" spans="3:7" x14ac:dyDescent="0.25">
      <c r="C10518" s="8"/>
      <c r="G10518" s="11"/>
    </row>
    <row r="10519" spans="3:7" x14ac:dyDescent="0.25">
      <c r="C10519" s="8"/>
      <c r="G10519" s="11"/>
    </row>
    <row r="10520" spans="3:7" x14ac:dyDescent="0.25">
      <c r="C10520" s="8"/>
      <c r="G10520" s="11"/>
    </row>
    <row r="10521" spans="3:7" x14ac:dyDescent="0.25">
      <c r="C10521" s="8"/>
      <c r="G10521" s="11"/>
    </row>
    <row r="10522" spans="3:7" x14ac:dyDescent="0.25">
      <c r="C10522" s="8"/>
      <c r="G10522" s="11"/>
    </row>
    <row r="10523" spans="3:7" x14ac:dyDescent="0.25">
      <c r="C10523" s="8"/>
      <c r="G10523" s="11"/>
    </row>
    <row r="10524" spans="3:7" x14ac:dyDescent="0.25">
      <c r="C10524" s="8"/>
      <c r="G10524" s="11"/>
    </row>
    <row r="10525" spans="3:7" x14ac:dyDescent="0.25">
      <c r="C10525" s="8"/>
      <c r="G10525" s="11"/>
    </row>
    <row r="10526" spans="3:7" x14ac:dyDescent="0.25">
      <c r="C10526" s="8"/>
      <c r="G10526" s="11"/>
    </row>
    <row r="10527" spans="3:7" x14ac:dyDescent="0.25">
      <c r="C10527" s="8"/>
      <c r="G10527" s="11"/>
    </row>
    <row r="10528" spans="3:7" x14ac:dyDescent="0.25">
      <c r="C10528" s="8"/>
      <c r="G10528" s="11"/>
    </row>
    <row r="10529" spans="3:7" x14ac:dyDescent="0.25">
      <c r="C10529" s="8"/>
      <c r="G10529" s="11"/>
    </row>
    <row r="10530" spans="3:7" x14ac:dyDescent="0.25">
      <c r="C10530" s="8"/>
      <c r="G10530" s="11"/>
    </row>
    <row r="10531" spans="3:7" x14ac:dyDescent="0.25">
      <c r="C10531" s="8"/>
      <c r="G10531" s="11"/>
    </row>
    <row r="10532" spans="3:7" x14ac:dyDescent="0.25">
      <c r="C10532" s="8"/>
      <c r="G10532" s="11"/>
    </row>
    <row r="10533" spans="3:7" x14ac:dyDescent="0.25">
      <c r="C10533" s="8"/>
      <c r="G10533" s="11"/>
    </row>
    <row r="10534" spans="3:7" x14ac:dyDescent="0.25">
      <c r="C10534" s="8"/>
      <c r="G10534" s="11"/>
    </row>
    <row r="10535" spans="3:7" x14ac:dyDescent="0.25">
      <c r="C10535" s="8"/>
      <c r="G10535" s="11"/>
    </row>
    <row r="10536" spans="3:7" x14ac:dyDescent="0.25">
      <c r="C10536" s="8"/>
      <c r="G10536" s="11"/>
    </row>
    <row r="10537" spans="3:7" x14ac:dyDescent="0.25">
      <c r="C10537" s="8"/>
      <c r="G10537" s="11"/>
    </row>
    <row r="10538" spans="3:7" x14ac:dyDescent="0.25">
      <c r="C10538" s="8"/>
      <c r="G10538" s="11"/>
    </row>
    <row r="10539" spans="3:7" x14ac:dyDescent="0.25">
      <c r="C10539" s="8"/>
      <c r="G10539" s="11"/>
    </row>
    <row r="10540" spans="3:7" x14ac:dyDescent="0.25">
      <c r="C10540" s="8"/>
      <c r="G10540" s="11"/>
    </row>
    <row r="10541" spans="3:7" x14ac:dyDescent="0.25">
      <c r="C10541" s="8"/>
      <c r="G10541" s="11"/>
    </row>
    <row r="10542" spans="3:7" x14ac:dyDescent="0.25">
      <c r="C10542" s="8"/>
      <c r="G10542" s="11"/>
    </row>
    <row r="10543" spans="3:7" x14ac:dyDescent="0.25">
      <c r="C10543" s="8"/>
      <c r="G10543" s="11"/>
    </row>
    <row r="10544" spans="3:7" x14ac:dyDescent="0.25">
      <c r="C10544" s="8"/>
      <c r="G10544" s="11"/>
    </row>
    <row r="10545" spans="3:7" x14ac:dyDescent="0.25">
      <c r="C10545" s="8"/>
      <c r="G10545" s="11"/>
    </row>
    <row r="10546" spans="3:7" x14ac:dyDescent="0.25">
      <c r="C10546" s="8"/>
      <c r="G10546" s="11"/>
    </row>
    <row r="10547" spans="3:7" x14ac:dyDescent="0.25">
      <c r="C10547" s="8"/>
      <c r="G10547" s="11"/>
    </row>
    <row r="10548" spans="3:7" x14ac:dyDescent="0.25">
      <c r="C10548" s="8"/>
      <c r="G10548" s="11"/>
    </row>
    <row r="10549" spans="3:7" x14ac:dyDescent="0.25">
      <c r="C10549" s="8"/>
      <c r="G10549" s="11"/>
    </row>
    <row r="10550" spans="3:7" x14ac:dyDescent="0.25">
      <c r="C10550" s="8"/>
      <c r="G10550" s="11"/>
    </row>
    <row r="10551" spans="3:7" x14ac:dyDescent="0.25">
      <c r="C10551" s="8"/>
      <c r="G10551" s="11"/>
    </row>
    <row r="10552" spans="3:7" x14ac:dyDescent="0.25">
      <c r="C10552" s="8"/>
      <c r="G10552" s="11"/>
    </row>
    <row r="10553" spans="3:7" x14ac:dyDescent="0.25">
      <c r="C10553" s="8"/>
      <c r="G10553" s="11"/>
    </row>
    <row r="10554" spans="3:7" x14ac:dyDescent="0.25">
      <c r="C10554" s="8"/>
      <c r="G10554" s="11"/>
    </row>
    <row r="10555" spans="3:7" x14ac:dyDescent="0.25">
      <c r="C10555" s="8"/>
      <c r="G10555" s="11"/>
    </row>
    <row r="10556" spans="3:7" x14ac:dyDescent="0.25">
      <c r="C10556" s="8"/>
      <c r="G10556" s="11"/>
    </row>
    <row r="10557" spans="3:7" x14ac:dyDescent="0.25">
      <c r="C10557" s="8"/>
      <c r="G10557" s="11"/>
    </row>
    <row r="10558" spans="3:7" x14ac:dyDescent="0.25">
      <c r="C10558" s="8"/>
      <c r="G10558" s="11"/>
    </row>
    <row r="10559" spans="3:7" x14ac:dyDescent="0.25">
      <c r="C10559" s="8"/>
      <c r="G10559" s="11"/>
    </row>
    <row r="10560" spans="3:7" x14ac:dyDescent="0.25">
      <c r="C10560" s="8"/>
      <c r="G10560" s="11"/>
    </row>
    <row r="10561" spans="3:7" x14ac:dyDescent="0.25">
      <c r="C10561" s="8"/>
      <c r="G10561" s="11"/>
    </row>
    <row r="10562" spans="3:7" x14ac:dyDescent="0.25">
      <c r="C10562" s="8"/>
      <c r="G10562" s="11"/>
    </row>
    <row r="10563" spans="3:7" x14ac:dyDescent="0.25">
      <c r="C10563" s="8"/>
      <c r="G10563" s="11"/>
    </row>
    <row r="10564" spans="3:7" x14ac:dyDescent="0.25">
      <c r="C10564" s="8"/>
      <c r="G10564" s="11"/>
    </row>
    <row r="10565" spans="3:7" x14ac:dyDescent="0.25">
      <c r="C10565" s="8"/>
      <c r="G10565" s="11"/>
    </row>
    <row r="10566" spans="3:7" x14ac:dyDescent="0.25">
      <c r="C10566" s="8"/>
      <c r="G10566" s="11"/>
    </row>
    <row r="10567" spans="3:7" x14ac:dyDescent="0.25">
      <c r="C10567" s="8"/>
      <c r="G10567" s="11"/>
    </row>
    <row r="10568" spans="3:7" x14ac:dyDescent="0.25">
      <c r="C10568" s="8"/>
      <c r="G10568" s="11"/>
    </row>
    <row r="10569" spans="3:7" x14ac:dyDescent="0.25">
      <c r="C10569" s="8"/>
      <c r="G10569" s="11"/>
    </row>
    <row r="10570" spans="3:7" x14ac:dyDescent="0.25">
      <c r="C10570" s="8"/>
      <c r="G10570" s="11"/>
    </row>
    <row r="10571" spans="3:7" x14ac:dyDescent="0.25">
      <c r="C10571" s="8"/>
      <c r="G10571" s="11"/>
    </row>
    <row r="10572" spans="3:7" x14ac:dyDescent="0.25">
      <c r="C10572" s="8"/>
      <c r="G10572" s="11"/>
    </row>
    <row r="10573" spans="3:7" x14ac:dyDescent="0.25">
      <c r="C10573" s="8"/>
      <c r="G10573" s="11"/>
    </row>
    <row r="10574" spans="3:7" x14ac:dyDescent="0.25">
      <c r="C10574" s="8"/>
      <c r="G10574" s="11"/>
    </row>
    <row r="10575" spans="3:7" x14ac:dyDescent="0.25">
      <c r="C10575" s="8"/>
      <c r="G10575" s="11"/>
    </row>
    <row r="10576" spans="3:7" x14ac:dyDescent="0.25">
      <c r="C10576" s="8"/>
      <c r="G10576" s="11"/>
    </row>
    <row r="10577" spans="3:7" x14ac:dyDescent="0.25">
      <c r="C10577" s="8"/>
      <c r="G10577" s="11"/>
    </row>
    <row r="10578" spans="3:7" x14ac:dyDescent="0.25">
      <c r="C10578" s="8"/>
      <c r="G10578" s="11"/>
    </row>
    <row r="10579" spans="3:7" x14ac:dyDescent="0.25">
      <c r="C10579" s="8"/>
      <c r="G10579" s="11"/>
    </row>
    <row r="10580" spans="3:7" x14ac:dyDescent="0.25">
      <c r="C10580" s="8"/>
      <c r="G10580" s="11"/>
    </row>
    <row r="10581" spans="3:7" x14ac:dyDescent="0.25">
      <c r="C10581" s="8"/>
      <c r="G10581" s="11"/>
    </row>
    <row r="10582" spans="3:7" x14ac:dyDescent="0.25">
      <c r="C10582" s="8"/>
      <c r="G10582" s="11"/>
    </row>
    <row r="10583" spans="3:7" x14ac:dyDescent="0.25">
      <c r="C10583" s="8"/>
      <c r="G10583" s="11"/>
    </row>
    <row r="10584" spans="3:7" x14ac:dyDescent="0.25">
      <c r="C10584" s="8"/>
      <c r="G10584" s="11"/>
    </row>
    <row r="10585" spans="3:7" x14ac:dyDescent="0.25">
      <c r="C10585" s="8"/>
      <c r="G10585" s="11"/>
    </row>
    <row r="10586" spans="3:7" x14ac:dyDescent="0.25">
      <c r="C10586" s="8"/>
      <c r="G10586" s="11"/>
    </row>
    <row r="10587" spans="3:7" x14ac:dyDescent="0.25">
      <c r="C10587" s="8"/>
      <c r="G10587" s="11"/>
    </row>
    <row r="10588" spans="3:7" x14ac:dyDescent="0.25">
      <c r="C10588" s="8"/>
      <c r="G10588" s="11"/>
    </row>
    <row r="10589" spans="3:7" x14ac:dyDescent="0.25">
      <c r="C10589" s="8"/>
      <c r="G10589" s="11"/>
    </row>
    <row r="10590" spans="3:7" x14ac:dyDescent="0.25">
      <c r="C10590" s="8"/>
      <c r="G10590" s="11"/>
    </row>
    <row r="10591" spans="3:7" x14ac:dyDescent="0.25">
      <c r="C10591" s="8"/>
      <c r="G10591" s="11"/>
    </row>
    <row r="10592" spans="3:7" x14ac:dyDescent="0.25">
      <c r="C10592" s="8"/>
      <c r="G10592" s="11"/>
    </row>
    <row r="10593" spans="3:7" x14ac:dyDescent="0.25">
      <c r="C10593" s="8"/>
      <c r="G10593" s="11"/>
    </row>
    <row r="10594" spans="3:7" x14ac:dyDescent="0.25">
      <c r="C10594" s="8"/>
      <c r="G10594" s="11"/>
    </row>
    <row r="10595" spans="3:7" x14ac:dyDescent="0.25">
      <c r="C10595" s="8"/>
      <c r="G10595" s="11"/>
    </row>
    <row r="10596" spans="3:7" x14ac:dyDescent="0.25">
      <c r="C10596" s="8"/>
      <c r="G10596" s="11"/>
    </row>
    <row r="10597" spans="3:7" x14ac:dyDescent="0.25">
      <c r="C10597" s="8"/>
      <c r="G10597" s="11"/>
    </row>
    <row r="10598" spans="3:7" x14ac:dyDescent="0.25">
      <c r="C10598" s="8"/>
      <c r="G10598" s="11"/>
    </row>
    <row r="10599" spans="3:7" x14ac:dyDescent="0.25">
      <c r="C10599" s="8"/>
      <c r="G10599" s="11"/>
    </row>
    <row r="10600" spans="3:7" x14ac:dyDescent="0.25">
      <c r="C10600" s="8"/>
      <c r="G10600" s="11"/>
    </row>
    <row r="10601" spans="3:7" x14ac:dyDescent="0.25">
      <c r="C10601" s="8"/>
      <c r="G10601" s="11"/>
    </row>
    <row r="10602" spans="3:7" x14ac:dyDescent="0.25">
      <c r="C10602" s="8"/>
      <c r="G10602" s="11"/>
    </row>
    <row r="10603" spans="3:7" x14ac:dyDescent="0.25">
      <c r="C10603" s="8"/>
      <c r="G10603" s="11"/>
    </row>
    <row r="10604" spans="3:7" x14ac:dyDescent="0.25">
      <c r="C10604" s="8"/>
      <c r="G10604" s="11"/>
    </row>
    <row r="10605" spans="3:7" x14ac:dyDescent="0.25">
      <c r="C10605" s="8"/>
      <c r="G10605" s="11"/>
    </row>
    <row r="10606" spans="3:7" x14ac:dyDescent="0.25">
      <c r="C10606" s="8"/>
      <c r="G10606" s="11"/>
    </row>
    <row r="10607" spans="3:7" x14ac:dyDescent="0.25">
      <c r="C10607" s="8"/>
      <c r="G10607" s="11"/>
    </row>
    <row r="10608" spans="3:7" x14ac:dyDescent="0.25">
      <c r="C10608" s="8"/>
      <c r="G10608" s="11"/>
    </row>
    <row r="10609" spans="3:7" x14ac:dyDescent="0.25">
      <c r="C10609" s="8"/>
      <c r="G10609" s="11"/>
    </row>
    <row r="10610" spans="3:7" x14ac:dyDescent="0.25">
      <c r="C10610" s="8"/>
      <c r="G10610" s="11"/>
    </row>
    <row r="10611" spans="3:7" x14ac:dyDescent="0.25">
      <c r="C10611" s="8"/>
      <c r="G10611" s="11"/>
    </row>
    <row r="10612" spans="3:7" x14ac:dyDescent="0.25">
      <c r="C10612" s="8"/>
      <c r="G10612" s="11"/>
    </row>
    <row r="10613" spans="3:7" x14ac:dyDescent="0.25">
      <c r="C10613" s="8"/>
      <c r="G10613" s="11"/>
    </row>
    <row r="10614" spans="3:7" x14ac:dyDescent="0.25">
      <c r="C10614" s="8"/>
      <c r="G10614" s="11"/>
    </row>
    <row r="10615" spans="3:7" x14ac:dyDescent="0.25">
      <c r="C10615" s="8"/>
      <c r="G10615" s="11"/>
    </row>
    <row r="10616" spans="3:7" x14ac:dyDescent="0.25">
      <c r="C10616" s="8"/>
      <c r="G10616" s="11"/>
    </row>
    <row r="10617" spans="3:7" x14ac:dyDescent="0.25">
      <c r="C10617" s="8"/>
      <c r="G10617" s="11"/>
    </row>
    <row r="10618" spans="3:7" x14ac:dyDescent="0.25">
      <c r="C10618" s="8"/>
      <c r="G10618" s="11"/>
    </row>
    <row r="10619" spans="3:7" x14ac:dyDescent="0.25">
      <c r="C10619" s="8"/>
      <c r="G10619" s="11"/>
    </row>
    <row r="10620" spans="3:7" x14ac:dyDescent="0.25">
      <c r="C10620" s="8"/>
      <c r="G10620" s="11"/>
    </row>
    <row r="10621" spans="3:7" x14ac:dyDescent="0.25">
      <c r="C10621" s="8"/>
      <c r="G10621" s="11"/>
    </row>
    <row r="10622" spans="3:7" x14ac:dyDescent="0.25">
      <c r="C10622" s="8"/>
      <c r="G10622" s="11"/>
    </row>
    <row r="10623" spans="3:7" x14ac:dyDescent="0.25">
      <c r="C10623" s="8"/>
      <c r="G10623" s="11"/>
    </row>
    <row r="10624" spans="3:7" x14ac:dyDescent="0.25">
      <c r="C10624" s="8"/>
      <c r="G10624" s="11"/>
    </row>
    <row r="10625" spans="3:7" x14ac:dyDescent="0.25">
      <c r="C10625" s="8"/>
      <c r="G10625" s="11"/>
    </row>
    <row r="10626" spans="3:7" x14ac:dyDescent="0.25">
      <c r="C10626" s="8"/>
      <c r="G10626" s="11"/>
    </row>
    <row r="10627" spans="3:7" x14ac:dyDescent="0.25">
      <c r="C10627" s="8"/>
      <c r="G10627" s="11"/>
    </row>
    <row r="10628" spans="3:7" x14ac:dyDescent="0.25">
      <c r="C10628" s="8"/>
      <c r="G10628" s="11"/>
    </row>
    <row r="10629" spans="3:7" x14ac:dyDescent="0.25">
      <c r="C10629" s="8"/>
      <c r="G10629" s="11"/>
    </row>
    <row r="10630" spans="3:7" x14ac:dyDescent="0.25">
      <c r="C10630" s="8"/>
      <c r="G10630" s="11"/>
    </row>
    <row r="10631" spans="3:7" x14ac:dyDescent="0.25">
      <c r="C10631" s="8"/>
      <c r="G10631" s="11"/>
    </row>
    <row r="10632" spans="3:7" x14ac:dyDescent="0.25">
      <c r="C10632" s="8"/>
      <c r="G10632" s="11"/>
    </row>
    <row r="10633" spans="3:7" x14ac:dyDescent="0.25">
      <c r="C10633" s="8"/>
      <c r="G10633" s="11"/>
    </row>
    <row r="10634" spans="3:7" x14ac:dyDescent="0.25">
      <c r="C10634" s="8"/>
      <c r="G10634" s="11"/>
    </row>
    <row r="10635" spans="3:7" x14ac:dyDescent="0.25">
      <c r="C10635" s="8"/>
      <c r="G10635" s="11"/>
    </row>
    <row r="10636" spans="3:7" x14ac:dyDescent="0.25">
      <c r="C10636" s="8"/>
      <c r="G10636" s="11"/>
    </row>
    <row r="10637" spans="3:7" x14ac:dyDescent="0.25">
      <c r="C10637" s="8"/>
      <c r="G10637" s="11"/>
    </row>
    <row r="10638" spans="3:7" x14ac:dyDescent="0.25">
      <c r="C10638" s="8"/>
      <c r="G10638" s="11"/>
    </row>
    <row r="10639" spans="3:7" x14ac:dyDescent="0.25">
      <c r="C10639" s="8"/>
      <c r="G10639" s="11"/>
    </row>
    <row r="10640" spans="3:7" x14ac:dyDescent="0.25">
      <c r="C10640" s="8"/>
      <c r="G10640" s="11"/>
    </row>
    <row r="10641" spans="3:7" x14ac:dyDescent="0.25">
      <c r="C10641" s="8"/>
      <c r="G10641" s="11"/>
    </row>
    <row r="10642" spans="3:7" x14ac:dyDescent="0.25">
      <c r="C10642" s="8"/>
      <c r="G10642" s="11"/>
    </row>
    <row r="10643" spans="3:7" x14ac:dyDescent="0.25">
      <c r="C10643" s="8"/>
      <c r="G10643" s="11"/>
    </row>
    <row r="10644" spans="3:7" x14ac:dyDescent="0.25">
      <c r="C10644" s="8"/>
      <c r="G10644" s="11"/>
    </row>
    <row r="10645" spans="3:7" x14ac:dyDescent="0.25">
      <c r="C10645" s="8"/>
      <c r="G10645" s="11"/>
    </row>
    <row r="10646" spans="3:7" x14ac:dyDescent="0.25">
      <c r="C10646" s="8"/>
      <c r="G10646" s="11"/>
    </row>
    <row r="10647" spans="3:7" x14ac:dyDescent="0.25">
      <c r="C10647" s="8"/>
      <c r="G10647" s="11"/>
    </row>
    <row r="10648" spans="3:7" x14ac:dyDescent="0.25">
      <c r="C10648" s="8"/>
      <c r="G10648" s="11"/>
    </row>
    <row r="10649" spans="3:7" x14ac:dyDescent="0.25">
      <c r="C10649" s="8"/>
      <c r="G10649" s="11"/>
    </row>
    <row r="10650" spans="3:7" x14ac:dyDescent="0.25">
      <c r="C10650" s="8"/>
      <c r="G10650" s="11"/>
    </row>
    <row r="10651" spans="3:7" x14ac:dyDescent="0.25">
      <c r="C10651" s="8"/>
      <c r="G10651" s="11"/>
    </row>
    <row r="10652" spans="3:7" x14ac:dyDescent="0.25">
      <c r="C10652" s="8"/>
      <c r="G10652" s="11"/>
    </row>
    <row r="10653" spans="3:7" x14ac:dyDescent="0.25">
      <c r="C10653" s="8"/>
      <c r="G10653" s="11"/>
    </row>
    <row r="10654" spans="3:7" x14ac:dyDescent="0.25">
      <c r="C10654" s="8"/>
      <c r="G10654" s="11"/>
    </row>
    <row r="10655" spans="3:7" x14ac:dyDescent="0.25">
      <c r="C10655" s="8"/>
      <c r="G10655" s="11"/>
    </row>
    <row r="10656" spans="3:7" x14ac:dyDescent="0.25">
      <c r="C10656" s="8"/>
      <c r="G10656" s="11"/>
    </row>
    <row r="10657" spans="3:7" x14ac:dyDescent="0.25">
      <c r="C10657" s="8"/>
      <c r="G10657" s="11"/>
    </row>
    <row r="10658" spans="3:7" x14ac:dyDescent="0.25">
      <c r="C10658" s="8"/>
      <c r="G10658" s="11"/>
    </row>
    <row r="10659" spans="3:7" x14ac:dyDescent="0.25">
      <c r="C10659" s="8"/>
      <c r="G10659" s="11"/>
    </row>
    <row r="10660" spans="3:7" x14ac:dyDescent="0.25">
      <c r="C10660" s="8"/>
      <c r="G10660" s="11"/>
    </row>
    <row r="10661" spans="3:7" x14ac:dyDescent="0.25">
      <c r="C10661" s="8"/>
      <c r="G10661" s="11"/>
    </row>
    <row r="10662" spans="3:7" x14ac:dyDescent="0.25">
      <c r="C10662" s="8"/>
      <c r="G10662" s="11"/>
    </row>
    <row r="10663" spans="3:7" x14ac:dyDescent="0.25">
      <c r="C10663" s="8"/>
      <c r="G10663" s="11"/>
    </row>
    <row r="10664" spans="3:7" x14ac:dyDescent="0.25">
      <c r="C10664" s="8"/>
      <c r="G10664" s="11"/>
    </row>
    <row r="10665" spans="3:7" x14ac:dyDescent="0.25">
      <c r="C10665" s="8"/>
      <c r="G10665" s="11"/>
    </row>
    <row r="10666" spans="3:7" x14ac:dyDescent="0.25">
      <c r="C10666" s="8"/>
      <c r="G10666" s="11"/>
    </row>
    <row r="10667" spans="3:7" x14ac:dyDescent="0.25">
      <c r="C10667" s="8"/>
      <c r="G10667" s="11"/>
    </row>
    <row r="10668" spans="3:7" x14ac:dyDescent="0.25">
      <c r="C10668" s="8"/>
      <c r="G10668" s="11"/>
    </row>
    <row r="10669" spans="3:7" x14ac:dyDescent="0.25">
      <c r="C10669" s="8"/>
      <c r="G10669" s="11"/>
    </row>
    <row r="10670" spans="3:7" x14ac:dyDescent="0.25">
      <c r="C10670" s="8"/>
      <c r="G10670" s="11"/>
    </row>
    <row r="10671" spans="3:7" x14ac:dyDescent="0.25">
      <c r="C10671" s="8"/>
      <c r="G10671" s="11"/>
    </row>
    <row r="10672" spans="3:7" x14ac:dyDescent="0.25">
      <c r="C10672" s="8"/>
      <c r="G10672" s="11"/>
    </row>
    <row r="10673" spans="3:7" x14ac:dyDescent="0.25">
      <c r="C10673" s="8"/>
      <c r="G10673" s="11"/>
    </row>
    <row r="10674" spans="3:7" x14ac:dyDescent="0.25">
      <c r="C10674" s="8"/>
      <c r="G10674" s="11"/>
    </row>
    <row r="10675" spans="3:7" x14ac:dyDescent="0.25">
      <c r="C10675" s="8"/>
      <c r="G10675" s="11"/>
    </row>
    <row r="10676" spans="3:7" x14ac:dyDescent="0.25">
      <c r="C10676" s="8"/>
      <c r="G10676" s="11"/>
    </row>
    <row r="10677" spans="3:7" x14ac:dyDescent="0.25">
      <c r="C10677" s="8"/>
      <c r="G10677" s="11"/>
    </row>
    <row r="10678" spans="3:7" x14ac:dyDescent="0.25">
      <c r="C10678" s="8"/>
      <c r="G10678" s="11"/>
    </row>
    <row r="10679" spans="3:7" x14ac:dyDescent="0.25">
      <c r="C10679" s="8"/>
      <c r="G10679" s="11"/>
    </row>
    <row r="10680" spans="3:7" x14ac:dyDescent="0.25">
      <c r="C10680" s="8"/>
      <c r="G10680" s="11"/>
    </row>
    <row r="10681" spans="3:7" x14ac:dyDescent="0.25">
      <c r="C10681" s="8"/>
      <c r="G10681" s="11"/>
    </row>
    <row r="10682" spans="3:7" x14ac:dyDescent="0.25">
      <c r="C10682" s="8"/>
      <c r="G10682" s="11"/>
    </row>
    <row r="10683" spans="3:7" x14ac:dyDescent="0.25">
      <c r="C10683" s="8"/>
      <c r="G10683" s="11"/>
    </row>
    <row r="10684" spans="3:7" x14ac:dyDescent="0.25">
      <c r="C10684" s="8"/>
      <c r="G10684" s="11"/>
    </row>
    <row r="10685" spans="3:7" x14ac:dyDescent="0.25">
      <c r="C10685" s="8"/>
      <c r="G10685" s="11"/>
    </row>
    <row r="10686" spans="3:7" x14ac:dyDescent="0.25">
      <c r="C10686" s="8"/>
      <c r="G10686" s="11"/>
    </row>
    <row r="10687" spans="3:7" x14ac:dyDescent="0.25">
      <c r="C10687" s="8"/>
      <c r="G10687" s="11"/>
    </row>
    <row r="10688" spans="3:7" x14ac:dyDescent="0.25">
      <c r="C10688" s="8"/>
      <c r="G10688" s="11"/>
    </row>
    <row r="10689" spans="3:7" x14ac:dyDescent="0.25">
      <c r="C10689" s="8"/>
      <c r="G10689" s="11"/>
    </row>
    <row r="10690" spans="3:7" x14ac:dyDescent="0.25">
      <c r="C10690" s="8"/>
      <c r="G10690" s="11"/>
    </row>
    <row r="10691" spans="3:7" x14ac:dyDescent="0.25">
      <c r="C10691" s="8"/>
      <c r="G10691" s="11"/>
    </row>
    <row r="10692" spans="3:7" x14ac:dyDescent="0.25">
      <c r="C10692" s="8"/>
      <c r="G10692" s="11"/>
    </row>
    <row r="10693" spans="3:7" x14ac:dyDescent="0.25">
      <c r="C10693" s="8"/>
      <c r="G10693" s="11"/>
    </row>
    <row r="10694" spans="3:7" x14ac:dyDescent="0.25">
      <c r="C10694" s="8"/>
      <c r="G10694" s="11"/>
    </row>
    <row r="10695" spans="3:7" x14ac:dyDescent="0.25">
      <c r="C10695" s="8"/>
      <c r="G10695" s="11"/>
    </row>
    <row r="10696" spans="3:7" x14ac:dyDescent="0.25">
      <c r="C10696" s="8"/>
      <c r="G10696" s="11"/>
    </row>
    <row r="10697" spans="3:7" x14ac:dyDescent="0.25">
      <c r="C10697" s="8"/>
      <c r="G10697" s="11"/>
    </row>
    <row r="10698" spans="3:7" x14ac:dyDescent="0.25">
      <c r="C10698" s="8"/>
      <c r="G10698" s="11"/>
    </row>
    <row r="10699" spans="3:7" x14ac:dyDescent="0.25">
      <c r="C10699" s="8"/>
      <c r="G10699" s="11"/>
    </row>
    <row r="10700" spans="3:7" x14ac:dyDescent="0.25">
      <c r="C10700" s="8"/>
      <c r="G10700" s="11"/>
    </row>
    <row r="10701" spans="3:7" x14ac:dyDescent="0.25">
      <c r="C10701" s="8"/>
      <c r="G10701" s="11"/>
    </row>
    <row r="10702" spans="3:7" x14ac:dyDescent="0.25">
      <c r="C10702" s="8"/>
      <c r="G10702" s="11"/>
    </row>
    <row r="10703" spans="3:7" x14ac:dyDescent="0.25">
      <c r="C10703" s="8"/>
      <c r="G10703" s="11"/>
    </row>
    <row r="10704" spans="3:7" x14ac:dyDescent="0.25">
      <c r="C10704" s="8"/>
      <c r="G10704" s="11"/>
    </row>
    <row r="10705" spans="3:7" x14ac:dyDescent="0.25">
      <c r="C10705" s="8"/>
      <c r="G10705" s="11"/>
    </row>
    <row r="10706" spans="3:7" x14ac:dyDescent="0.25">
      <c r="C10706" s="8"/>
      <c r="G10706" s="11"/>
    </row>
    <row r="10707" spans="3:7" x14ac:dyDescent="0.25">
      <c r="C10707" s="8"/>
      <c r="G10707" s="11"/>
    </row>
    <row r="10708" spans="3:7" x14ac:dyDescent="0.25">
      <c r="C10708" s="8"/>
      <c r="G10708" s="11"/>
    </row>
    <row r="10709" spans="3:7" x14ac:dyDescent="0.25">
      <c r="C10709" s="8"/>
      <c r="G10709" s="11"/>
    </row>
    <row r="10710" spans="3:7" x14ac:dyDescent="0.25">
      <c r="C10710" s="8"/>
      <c r="G10710" s="11"/>
    </row>
    <row r="10711" spans="3:7" x14ac:dyDescent="0.25">
      <c r="C10711" s="8"/>
      <c r="G10711" s="11"/>
    </row>
    <row r="10712" spans="3:7" x14ac:dyDescent="0.25">
      <c r="C10712" s="8"/>
      <c r="G10712" s="11"/>
    </row>
    <row r="10713" spans="3:7" x14ac:dyDescent="0.25">
      <c r="C10713" s="8"/>
      <c r="G10713" s="11"/>
    </row>
    <row r="10714" spans="3:7" x14ac:dyDescent="0.25">
      <c r="C10714" s="8"/>
      <c r="G10714" s="11"/>
    </row>
    <row r="10715" spans="3:7" x14ac:dyDescent="0.25">
      <c r="C10715" s="8"/>
      <c r="G10715" s="11"/>
    </row>
    <row r="10716" spans="3:7" x14ac:dyDescent="0.25">
      <c r="C10716" s="8"/>
      <c r="G10716" s="11"/>
    </row>
    <row r="10717" spans="3:7" x14ac:dyDescent="0.25">
      <c r="C10717" s="8"/>
      <c r="G10717" s="11"/>
    </row>
    <row r="10718" spans="3:7" x14ac:dyDescent="0.25">
      <c r="C10718" s="8"/>
      <c r="G10718" s="11"/>
    </row>
    <row r="10719" spans="3:7" x14ac:dyDescent="0.25">
      <c r="C10719" s="8"/>
      <c r="G10719" s="11"/>
    </row>
    <row r="10720" spans="3:7" x14ac:dyDescent="0.25">
      <c r="C10720" s="8"/>
      <c r="G10720" s="11"/>
    </row>
    <row r="10721" spans="3:7" x14ac:dyDescent="0.25">
      <c r="C10721" s="8"/>
      <c r="G10721" s="11"/>
    </row>
    <row r="10722" spans="3:7" x14ac:dyDescent="0.25">
      <c r="C10722" s="8"/>
      <c r="G10722" s="11"/>
    </row>
    <row r="10723" spans="3:7" x14ac:dyDescent="0.25">
      <c r="C10723" s="8"/>
      <c r="G10723" s="11"/>
    </row>
    <row r="10724" spans="3:7" x14ac:dyDescent="0.25">
      <c r="C10724" s="8"/>
      <c r="G10724" s="11"/>
    </row>
    <row r="10725" spans="3:7" x14ac:dyDescent="0.25">
      <c r="C10725" s="8"/>
      <c r="G10725" s="11"/>
    </row>
    <row r="10726" spans="3:7" x14ac:dyDescent="0.25">
      <c r="C10726" s="8"/>
      <c r="G10726" s="11"/>
    </row>
    <row r="10727" spans="3:7" x14ac:dyDescent="0.25">
      <c r="C10727" s="8"/>
      <c r="G10727" s="11"/>
    </row>
    <row r="10728" spans="3:7" x14ac:dyDescent="0.25">
      <c r="C10728" s="8"/>
      <c r="G10728" s="11"/>
    </row>
    <row r="10729" spans="3:7" x14ac:dyDescent="0.25">
      <c r="C10729" s="8"/>
      <c r="G10729" s="11"/>
    </row>
    <row r="10730" spans="3:7" x14ac:dyDescent="0.25">
      <c r="C10730" s="8"/>
      <c r="G10730" s="11"/>
    </row>
    <row r="10731" spans="3:7" x14ac:dyDescent="0.25">
      <c r="C10731" s="8"/>
      <c r="G10731" s="11"/>
    </row>
    <row r="10732" spans="3:7" x14ac:dyDescent="0.25">
      <c r="C10732" s="8"/>
      <c r="G10732" s="11"/>
    </row>
    <row r="10733" spans="3:7" x14ac:dyDescent="0.25">
      <c r="C10733" s="8"/>
      <c r="G10733" s="11"/>
    </row>
    <row r="10734" spans="3:7" x14ac:dyDescent="0.25">
      <c r="C10734" s="8"/>
      <c r="G10734" s="11"/>
    </row>
    <row r="10735" spans="3:7" x14ac:dyDescent="0.25">
      <c r="C10735" s="8"/>
      <c r="G10735" s="11"/>
    </row>
    <row r="10736" spans="3:7" x14ac:dyDescent="0.25">
      <c r="C10736" s="8"/>
      <c r="G10736" s="11"/>
    </row>
    <row r="10737" spans="3:7" x14ac:dyDescent="0.25">
      <c r="C10737" s="8"/>
      <c r="G10737" s="11"/>
    </row>
    <row r="10738" spans="3:7" x14ac:dyDescent="0.25">
      <c r="C10738" s="8"/>
      <c r="G10738" s="11"/>
    </row>
    <row r="10739" spans="3:7" x14ac:dyDescent="0.25">
      <c r="C10739" s="8"/>
      <c r="G10739" s="11"/>
    </row>
    <row r="10740" spans="3:7" x14ac:dyDescent="0.25">
      <c r="C10740" s="8"/>
      <c r="G10740" s="11"/>
    </row>
    <row r="10741" spans="3:7" x14ac:dyDescent="0.25">
      <c r="C10741" s="8"/>
      <c r="G10741" s="11"/>
    </row>
    <row r="10742" spans="3:7" x14ac:dyDescent="0.25">
      <c r="C10742" s="8"/>
      <c r="G10742" s="11"/>
    </row>
    <row r="10743" spans="3:7" x14ac:dyDescent="0.25">
      <c r="C10743" s="8"/>
      <c r="G10743" s="11"/>
    </row>
    <row r="10744" spans="3:7" x14ac:dyDescent="0.25">
      <c r="C10744" s="8"/>
      <c r="G10744" s="11"/>
    </row>
    <row r="10745" spans="3:7" x14ac:dyDescent="0.25">
      <c r="C10745" s="8"/>
      <c r="G10745" s="11"/>
    </row>
    <row r="10746" spans="3:7" x14ac:dyDescent="0.25">
      <c r="C10746" s="8"/>
      <c r="G10746" s="11"/>
    </row>
    <row r="10747" spans="3:7" x14ac:dyDescent="0.25">
      <c r="C10747" s="8"/>
      <c r="G10747" s="11"/>
    </row>
    <row r="10748" spans="3:7" x14ac:dyDescent="0.25">
      <c r="C10748" s="8"/>
      <c r="G10748" s="11"/>
    </row>
    <row r="10749" spans="3:7" x14ac:dyDescent="0.25">
      <c r="C10749" s="8"/>
      <c r="G10749" s="11"/>
    </row>
    <row r="10750" spans="3:7" x14ac:dyDescent="0.25">
      <c r="C10750" s="8"/>
      <c r="G10750" s="11"/>
    </row>
    <row r="10751" spans="3:7" x14ac:dyDescent="0.25">
      <c r="C10751" s="8"/>
      <c r="G10751" s="11"/>
    </row>
    <row r="10752" spans="3:7" x14ac:dyDescent="0.25">
      <c r="C10752" s="8"/>
      <c r="G10752" s="11"/>
    </row>
    <row r="10753" spans="3:7" x14ac:dyDescent="0.25">
      <c r="C10753" s="8"/>
      <c r="G10753" s="11"/>
    </row>
    <row r="10754" spans="3:7" x14ac:dyDescent="0.25">
      <c r="C10754" s="8"/>
      <c r="G10754" s="11"/>
    </row>
    <row r="10755" spans="3:7" x14ac:dyDescent="0.25">
      <c r="C10755" s="8"/>
      <c r="G10755" s="11"/>
    </row>
    <row r="10756" spans="3:7" x14ac:dyDescent="0.25">
      <c r="C10756" s="8"/>
      <c r="G10756" s="11"/>
    </row>
    <row r="10757" spans="3:7" x14ac:dyDescent="0.25">
      <c r="C10757" s="8"/>
      <c r="G10757" s="11"/>
    </row>
    <row r="10758" spans="3:7" x14ac:dyDescent="0.25">
      <c r="C10758" s="8"/>
      <c r="G10758" s="11"/>
    </row>
    <row r="10759" spans="3:7" x14ac:dyDescent="0.25">
      <c r="C10759" s="8"/>
      <c r="G10759" s="11"/>
    </row>
    <row r="10760" spans="3:7" x14ac:dyDescent="0.25">
      <c r="C10760" s="8"/>
      <c r="G10760" s="11"/>
    </row>
    <row r="10761" spans="3:7" x14ac:dyDescent="0.25">
      <c r="C10761" s="8"/>
      <c r="G10761" s="11"/>
    </row>
    <row r="10762" spans="3:7" x14ac:dyDescent="0.25">
      <c r="C10762" s="8"/>
      <c r="G10762" s="11"/>
    </row>
    <row r="10763" spans="3:7" x14ac:dyDescent="0.25">
      <c r="C10763" s="8"/>
      <c r="G10763" s="11"/>
    </row>
    <row r="10764" spans="3:7" x14ac:dyDescent="0.25">
      <c r="C10764" s="8"/>
      <c r="G10764" s="11"/>
    </row>
    <row r="10765" spans="3:7" x14ac:dyDescent="0.25">
      <c r="C10765" s="8"/>
      <c r="G10765" s="11"/>
    </row>
    <row r="10766" spans="3:7" x14ac:dyDescent="0.25">
      <c r="C10766" s="8"/>
      <c r="G10766" s="11"/>
    </row>
    <row r="10767" spans="3:7" x14ac:dyDescent="0.25">
      <c r="C10767" s="8"/>
      <c r="G10767" s="11"/>
    </row>
    <row r="10768" spans="3:7" x14ac:dyDescent="0.25">
      <c r="C10768" s="8"/>
      <c r="G10768" s="11"/>
    </row>
    <row r="10769" spans="3:7" x14ac:dyDescent="0.25">
      <c r="C10769" s="8"/>
      <c r="G10769" s="11"/>
    </row>
    <row r="10770" spans="3:7" x14ac:dyDescent="0.25">
      <c r="C10770" s="8"/>
      <c r="G10770" s="11"/>
    </row>
    <row r="10771" spans="3:7" x14ac:dyDescent="0.25">
      <c r="C10771" s="8"/>
      <c r="G10771" s="11"/>
    </row>
    <row r="10772" spans="3:7" x14ac:dyDescent="0.25">
      <c r="C10772" s="8"/>
      <c r="G10772" s="11"/>
    </row>
    <row r="10773" spans="3:7" x14ac:dyDescent="0.25">
      <c r="C10773" s="8"/>
      <c r="G10773" s="11"/>
    </row>
    <row r="10774" spans="3:7" x14ac:dyDescent="0.25">
      <c r="C10774" s="8"/>
      <c r="G10774" s="11"/>
    </row>
    <row r="10775" spans="3:7" x14ac:dyDescent="0.25">
      <c r="C10775" s="8"/>
      <c r="G10775" s="11"/>
    </row>
    <row r="10776" spans="3:7" x14ac:dyDescent="0.25">
      <c r="C10776" s="8"/>
      <c r="G10776" s="11"/>
    </row>
    <row r="10777" spans="3:7" x14ac:dyDescent="0.25">
      <c r="C10777" s="8"/>
      <c r="G10777" s="11"/>
    </row>
    <row r="10778" spans="3:7" x14ac:dyDescent="0.25">
      <c r="C10778" s="8"/>
      <c r="G10778" s="11"/>
    </row>
    <row r="10779" spans="3:7" x14ac:dyDescent="0.25">
      <c r="C10779" s="8"/>
      <c r="G10779" s="11"/>
    </row>
    <row r="10780" spans="3:7" x14ac:dyDescent="0.25">
      <c r="C10780" s="8"/>
      <c r="G10780" s="11"/>
    </row>
    <row r="10781" spans="3:7" x14ac:dyDescent="0.25">
      <c r="C10781" s="8"/>
      <c r="G10781" s="11"/>
    </row>
    <row r="10782" spans="3:7" x14ac:dyDescent="0.25">
      <c r="C10782" s="8"/>
      <c r="G10782" s="11"/>
    </row>
    <row r="10783" spans="3:7" x14ac:dyDescent="0.25">
      <c r="C10783" s="8"/>
      <c r="G10783" s="11"/>
    </row>
    <row r="10784" spans="3:7" x14ac:dyDescent="0.25">
      <c r="C10784" s="8"/>
      <c r="G10784" s="11"/>
    </row>
    <row r="10785" spans="3:7" x14ac:dyDescent="0.25">
      <c r="C10785" s="8"/>
      <c r="G10785" s="11"/>
    </row>
    <row r="10786" spans="3:7" x14ac:dyDescent="0.25">
      <c r="C10786" s="8"/>
      <c r="G10786" s="11"/>
    </row>
    <row r="10787" spans="3:7" x14ac:dyDescent="0.25">
      <c r="C10787" s="8"/>
      <c r="G10787" s="11"/>
    </row>
    <row r="10788" spans="3:7" x14ac:dyDescent="0.25">
      <c r="C10788" s="8"/>
      <c r="G10788" s="11"/>
    </row>
    <row r="10789" spans="3:7" x14ac:dyDescent="0.25">
      <c r="C10789" s="8"/>
      <c r="G10789" s="11"/>
    </row>
    <row r="10790" spans="3:7" x14ac:dyDescent="0.25">
      <c r="C10790" s="8"/>
      <c r="G10790" s="11"/>
    </row>
    <row r="10791" spans="3:7" x14ac:dyDescent="0.25">
      <c r="C10791" s="8"/>
      <c r="G10791" s="11"/>
    </row>
    <row r="10792" spans="3:7" x14ac:dyDescent="0.25">
      <c r="C10792" s="8"/>
      <c r="G10792" s="11"/>
    </row>
    <row r="10793" spans="3:7" x14ac:dyDescent="0.25">
      <c r="C10793" s="8"/>
      <c r="G10793" s="11"/>
    </row>
    <row r="10794" spans="3:7" x14ac:dyDescent="0.25">
      <c r="C10794" s="8"/>
      <c r="G10794" s="11"/>
    </row>
    <row r="10795" spans="3:7" x14ac:dyDescent="0.25">
      <c r="C10795" s="8"/>
      <c r="G10795" s="11"/>
    </row>
    <row r="10796" spans="3:7" x14ac:dyDescent="0.25">
      <c r="C10796" s="8"/>
      <c r="G10796" s="11"/>
    </row>
    <row r="10797" spans="3:7" x14ac:dyDescent="0.25">
      <c r="C10797" s="8"/>
      <c r="G10797" s="11"/>
    </row>
    <row r="10798" spans="3:7" x14ac:dyDescent="0.25">
      <c r="C10798" s="8"/>
      <c r="G10798" s="11"/>
    </row>
    <row r="10799" spans="3:7" x14ac:dyDescent="0.25">
      <c r="C10799" s="8"/>
      <c r="G10799" s="11"/>
    </row>
    <row r="10800" spans="3:7" x14ac:dyDescent="0.25">
      <c r="C10800" s="8"/>
      <c r="G10800" s="11"/>
    </row>
    <row r="10801" spans="3:7" x14ac:dyDescent="0.25">
      <c r="C10801" s="8"/>
      <c r="G10801" s="11"/>
    </row>
    <row r="10802" spans="3:7" x14ac:dyDescent="0.25">
      <c r="C10802" s="8"/>
      <c r="G10802" s="11"/>
    </row>
    <row r="10803" spans="3:7" x14ac:dyDescent="0.25">
      <c r="C10803" s="8"/>
      <c r="G10803" s="11"/>
    </row>
    <row r="10804" spans="3:7" x14ac:dyDescent="0.25">
      <c r="C10804" s="8"/>
      <c r="G10804" s="11"/>
    </row>
    <row r="10805" spans="3:7" x14ac:dyDescent="0.25">
      <c r="C10805" s="8"/>
      <c r="G10805" s="11"/>
    </row>
    <row r="10806" spans="3:7" x14ac:dyDescent="0.25">
      <c r="C10806" s="8"/>
      <c r="G10806" s="11"/>
    </row>
    <row r="10807" spans="3:7" x14ac:dyDescent="0.25">
      <c r="C10807" s="8"/>
      <c r="G10807" s="11"/>
    </row>
    <row r="10808" spans="3:7" x14ac:dyDescent="0.25">
      <c r="C10808" s="8"/>
      <c r="G10808" s="11"/>
    </row>
    <row r="10809" spans="3:7" x14ac:dyDescent="0.25">
      <c r="C10809" s="8"/>
      <c r="G10809" s="11"/>
    </row>
    <row r="10810" spans="3:7" x14ac:dyDescent="0.25">
      <c r="C10810" s="8"/>
      <c r="G10810" s="11"/>
    </row>
    <row r="10811" spans="3:7" x14ac:dyDescent="0.25">
      <c r="C10811" s="8"/>
      <c r="G10811" s="11"/>
    </row>
    <row r="10812" spans="3:7" x14ac:dyDescent="0.25">
      <c r="C10812" s="8"/>
      <c r="G10812" s="11"/>
    </row>
    <row r="10813" spans="3:7" x14ac:dyDescent="0.25">
      <c r="C10813" s="8"/>
      <c r="G10813" s="11"/>
    </row>
    <row r="10814" spans="3:7" x14ac:dyDescent="0.25">
      <c r="C10814" s="8"/>
      <c r="G10814" s="11"/>
    </row>
    <row r="10815" spans="3:7" x14ac:dyDescent="0.25">
      <c r="C10815" s="8"/>
      <c r="G10815" s="11"/>
    </row>
    <row r="10816" spans="3:7" x14ac:dyDescent="0.25">
      <c r="C10816" s="8"/>
      <c r="G10816" s="11"/>
    </row>
    <row r="10817" spans="3:7" x14ac:dyDescent="0.25">
      <c r="C10817" s="8"/>
      <c r="G10817" s="11"/>
    </row>
    <row r="10818" spans="3:7" x14ac:dyDescent="0.25">
      <c r="C10818" s="8"/>
      <c r="G10818" s="11"/>
    </row>
    <row r="10819" spans="3:7" x14ac:dyDescent="0.25">
      <c r="C10819" s="8"/>
      <c r="G10819" s="11"/>
    </row>
    <row r="10820" spans="3:7" x14ac:dyDescent="0.25">
      <c r="C10820" s="8"/>
      <c r="G10820" s="11"/>
    </row>
    <row r="10821" spans="3:7" x14ac:dyDescent="0.25">
      <c r="C10821" s="8"/>
      <c r="G10821" s="11"/>
    </row>
    <row r="10822" spans="3:7" x14ac:dyDescent="0.25">
      <c r="C10822" s="8"/>
      <c r="G10822" s="11"/>
    </row>
    <row r="10823" spans="3:7" x14ac:dyDescent="0.25">
      <c r="C10823" s="8"/>
      <c r="G10823" s="11"/>
    </row>
    <row r="10824" spans="3:7" x14ac:dyDescent="0.25">
      <c r="C10824" s="8"/>
      <c r="G10824" s="11"/>
    </row>
    <row r="10825" spans="3:7" x14ac:dyDescent="0.25">
      <c r="C10825" s="8"/>
      <c r="G10825" s="11"/>
    </row>
    <row r="10826" spans="3:7" x14ac:dyDescent="0.25">
      <c r="C10826" s="8"/>
      <c r="G10826" s="11"/>
    </row>
    <row r="10827" spans="3:7" x14ac:dyDescent="0.25">
      <c r="C10827" s="8"/>
      <c r="G10827" s="11"/>
    </row>
    <row r="10828" spans="3:7" x14ac:dyDescent="0.25">
      <c r="C10828" s="8"/>
      <c r="G10828" s="11"/>
    </row>
    <row r="10829" spans="3:7" x14ac:dyDescent="0.25">
      <c r="C10829" s="8"/>
      <c r="G10829" s="11"/>
    </row>
    <row r="10830" spans="3:7" x14ac:dyDescent="0.25">
      <c r="C10830" s="8"/>
      <c r="G10830" s="11"/>
    </row>
    <row r="10831" spans="3:7" x14ac:dyDescent="0.25">
      <c r="C10831" s="8"/>
      <c r="G10831" s="11"/>
    </row>
    <row r="10832" spans="3:7" x14ac:dyDescent="0.25">
      <c r="C10832" s="8"/>
      <c r="G10832" s="11"/>
    </row>
    <row r="10833" spans="3:7" x14ac:dyDescent="0.25">
      <c r="C10833" s="8"/>
      <c r="G10833" s="11"/>
    </row>
    <row r="10834" spans="3:7" x14ac:dyDescent="0.25">
      <c r="C10834" s="8"/>
      <c r="G10834" s="11"/>
    </row>
    <row r="10835" spans="3:7" x14ac:dyDescent="0.25">
      <c r="C10835" s="8"/>
      <c r="G10835" s="11"/>
    </row>
    <row r="10836" spans="3:7" x14ac:dyDescent="0.25">
      <c r="C10836" s="8"/>
      <c r="G10836" s="11"/>
    </row>
    <row r="10837" spans="3:7" x14ac:dyDescent="0.25">
      <c r="C10837" s="8"/>
      <c r="G10837" s="11"/>
    </row>
    <row r="10838" spans="3:7" x14ac:dyDescent="0.25">
      <c r="C10838" s="8"/>
      <c r="G10838" s="11"/>
    </row>
    <row r="10839" spans="3:7" x14ac:dyDescent="0.25">
      <c r="C10839" s="8"/>
      <c r="G10839" s="11"/>
    </row>
    <row r="10840" spans="3:7" x14ac:dyDescent="0.25">
      <c r="C10840" s="8"/>
      <c r="G10840" s="11"/>
    </row>
    <row r="10841" spans="3:7" x14ac:dyDescent="0.25">
      <c r="C10841" s="8"/>
      <c r="G10841" s="11"/>
    </row>
    <row r="10842" spans="3:7" x14ac:dyDescent="0.25">
      <c r="C10842" s="8"/>
      <c r="G10842" s="11"/>
    </row>
    <row r="10843" spans="3:7" x14ac:dyDescent="0.25">
      <c r="C10843" s="8"/>
      <c r="G10843" s="11"/>
    </row>
    <row r="10844" spans="3:7" x14ac:dyDescent="0.25">
      <c r="C10844" s="8"/>
      <c r="G10844" s="11"/>
    </row>
    <row r="10845" spans="3:7" x14ac:dyDescent="0.25">
      <c r="C10845" s="8"/>
      <c r="G10845" s="11"/>
    </row>
    <row r="10846" spans="3:7" x14ac:dyDescent="0.25">
      <c r="C10846" s="8"/>
      <c r="G10846" s="11"/>
    </row>
    <row r="10847" spans="3:7" x14ac:dyDescent="0.25">
      <c r="C10847" s="8"/>
      <c r="G10847" s="11"/>
    </row>
    <row r="10848" spans="3:7" x14ac:dyDescent="0.25">
      <c r="C10848" s="8"/>
      <c r="G10848" s="11"/>
    </row>
    <row r="10849" spans="3:7" x14ac:dyDescent="0.25">
      <c r="C10849" s="8"/>
      <c r="G10849" s="11"/>
    </row>
    <row r="10850" spans="3:7" x14ac:dyDescent="0.25">
      <c r="C10850" s="8"/>
      <c r="G10850" s="11"/>
    </row>
    <row r="10851" spans="3:7" x14ac:dyDescent="0.25">
      <c r="C10851" s="8"/>
      <c r="G10851" s="11"/>
    </row>
    <row r="10852" spans="3:7" x14ac:dyDescent="0.25">
      <c r="C10852" s="8"/>
      <c r="G10852" s="11"/>
    </row>
    <row r="10853" spans="3:7" x14ac:dyDescent="0.25">
      <c r="C10853" s="8"/>
      <c r="G10853" s="11"/>
    </row>
    <row r="10854" spans="3:7" x14ac:dyDescent="0.25">
      <c r="C10854" s="8"/>
      <c r="G10854" s="11"/>
    </row>
    <row r="10855" spans="3:7" x14ac:dyDescent="0.25">
      <c r="C10855" s="8"/>
      <c r="G10855" s="11"/>
    </row>
    <row r="10856" spans="3:7" x14ac:dyDescent="0.25">
      <c r="C10856" s="8"/>
      <c r="G10856" s="11"/>
    </row>
    <row r="10857" spans="3:7" x14ac:dyDescent="0.25">
      <c r="C10857" s="8"/>
      <c r="G10857" s="11"/>
    </row>
    <row r="10858" spans="3:7" x14ac:dyDescent="0.25">
      <c r="C10858" s="8"/>
      <c r="G10858" s="11"/>
    </row>
    <row r="10859" spans="3:7" x14ac:dyDescent="0.25">
      <c r="C10859" s="8"/>
      <c r="G10859" s="11"/>
    </row>
    <row r="10860" spans="3:7" x14ac:dyDescent="0.25">
      <c r="C10860" s="8"/>
      <c r="G10860" s="11"/>
    </row>
    <row r="10861" spans="3:7" x14ac:dyDescent="0.25">
      <c r="C10861" s="8"/>
      <c r="G10861" s="11"/>
    </row>
    <row r="10862" spans="3:7" x14ac:dyDescent="0.25">
      <c r="C10862" s="8"/>
      <c r="G10862" s="11"/>
    </row>
    <row r="10863" spans="3:7" x14ac:dyDescent="0.25">
      <c r="C10863" s="8"/>
      <c r="G10863" s="11"/>
    </row>
    <row r="10864" spans="3:7" x14ac:dyDescent="0.25">
      <c r="C10864" s="8"/>
      <c r="G10864" s="11"/>
    </row>
    <row r="10865" spans="3:7" x14ac:dyDescent="0.25">
      <c r="C10865" s="8"/>
      <c r="G10865" s="11"/>
    </row>
    <row r="10866" spans="3:7" x14ac:dyDescent="0.25">
      <c r="C10866" s="8"/>
      <c r="G10866" s="11"/>
    </row>
    <row r="10867" spans="3:7" x14ac:dyDescent="0.25">
      <c r="C10867" s="8"/>
      <c r="G10867" s="11"/>
    </row>
    <row r="10868" spans="3:7" x14ac:dyDescent="0.25">
      <c r="C10868" s="8"/>
      <c r="G10868" s="11"/>
    </row>
    <row r="10869" spans="3:7" x14ac:dyDescent="0.25">
      <c r="C10869" s="8"/>
      <c r="G10869" s="11"/>
    </row>
    <row r="10870" spans="3:7" x14ac:dyDescent="0.25">
      <c r="C10870" s="8"/>
      <c r="G10870" s="11"/>
    </row>
    <row r="10871" spans="3:7" x14ac:dyDescent="0.25">
      <c r="C10871" s="8"/>
      <c r="G10871" s="11"/>
    </row>
    <row r="10872" spans="3:7" x14ac:dyDescent="0.25">
      <c r="C10872" s="8"/>
      <c r="G10872" s="11"/>
    </row>
    <row r="10873" spans="3:7" x14ac:dyDescent="0.25">
      <c r="C10873" s="8"/>
      <c r="G10873" s="11"/>
    </row>
    <row r="10874" spans="3:7" x14ac:dyDescent="0.25">
      <c r="C10874" s="8"/>
      <c r="G10874" s="11"/>
    </row>
    <row r="10875" spans="3:7" x14ac:dyDescent="0.25">
      <c r="C10875" s="8"/>
      <c r="G10875" s="11"/>
    </row>
    <row r="10876" spans="3:7" x14ac:dyDescent="0.25">
      <c r="C10876" s="8"/>
      <c r="G10876" s="11"/>
    </row>
    <row r="10877" spans="3:7" x14ac:dyDescent="0.25">
      <c r="C10877" s="8"/>
      <c r="G10877" s="11"/>
    </row>
    <row r="10878" spans="3:7" x14ac:dyDescent="0.25">
      <c r="C10878" s="8"/>
      <c r="G10878" s="11"/>
    </row>
    <row r="10879" spans="3:7" x14ac:dyDescent="0.25">
      <c r="C10879" s="8"/>
      <c r="G10879" s="11"/>
    </row>
    <row r="10880" spans="3:7" x14ac:dyDescent="0.25">
      <c r="C10880" s="8"/>
      <c r="G10880" s="11"/>
    </row>
    <row r="10881" spans="3:7" x14ac:dyDescent="0.25">
      <c r="C10881" s="8"/>
      <c r="G10881" s="11"/>
    </row>
    <row r="10882" spans="3:7" x14ac:dyDescent="0.25">
      <c r="C10882" s="8"/>
      <c r="G10882" s="11"/>
    </row>
    <row r="10883" spans="3:7" x14ac:dyDescent="0.25">
      <c r="C10883" s="8"/>
      <c r="G10883" s="11"/>
    </row>
    <row r="10884" spans="3:7" x14ac:dyDescent="0.25">
      <c r="C10884" s="8"/>
      <c r="G10884" s="11"/>
    </row>
    <row r="10885" spans="3:7" x14ac:dyDescent="0.25">
      <c r="C10885" s="8"/>
      <c r="G10885" s="11"/>
    </row>
    <row r="10886" spans="3:7" x14ac:dyDescent="0.25">
      <c r="C10886" s="8"/>
      <c r="G10886" s="11"/>
    </row>
    <row r="10887" spans="3:7" x14ac:dyDescent="0.25">
      <c r="C10887" s="8"/>
      <c r="G10887" s="11"/>
    </row>
    <row r="10888" spans="3:7" x14ac:dyDescent="0.25">
      <c r="C10888" s="8"/>
      <c r="G10888" s="11"/>
    </row>
    <row r="10889" spans="3:7" x14ac:dyDescent="0.25">
      <c r="C10889" s="8"/>
      <c r="G10889" s="11"/>
    </row>
    <row r="10890" spans="3:7" x14ac:dyDescent="0.25">
      <c r="C10890" s="8"/>
      <c r="G10890" s="11"/>
    </row>
    <row r="10891" spans="3:7" x14ac:dyDescent="0.25">
      <c r="C10891" s="8"/>
      <c r="G10891" s="11"/>
    </row>
    <row r="10892" spans="3:7" x14ac:dyDescent="0.25">
      <c r="C10892" s="8"/>
      <c r="G10892" s="11"/>
    </row>
    <row r="10893" spans="3:7" x14ac:dyDescent="0.25">
      <c r="C10893" s="8"/>
      <c r="G10893" s="11"/>
    </row>
    <row r="10894" spans="3:7" x14ac:dyDescent="0.25">
      <c r="C10894" s="8"/>
      <c r="G10894" s="11"/>
    </row>
    <row r="10895" spans="3:7" x14ac:dyDescent="0.25">
      <c r="C10895" s="8"/>
      <c r="G10895" s="11"/>
    </row>
    <row r="10896" spans="3:7" x14ac:dyDescent="0.25">
      <c r="C10896" s="8"/>
      <c r="G10896" s="11"/>
    </row>
    <row r="10897" spans="3:7" x14ac:dyDescent="0.25">
      <c r="C10897" s="8"/>
      <c r="G10897" s="11"/>
    </row>
    <row r="10898" spans="3:7" x14ac:dyDescent="0.25">
      <c r="C10898" s="8"/>
      <c r="G10898" s="11"/>
    </row>
    <row r="10899" spans="3:7" x14ac:dyDescent="0.25">
      <c r="C10899" s="8"/>
      <c r="G10899" s="11"/>
    </row>
    <row r="10900" spans="3:7" x14ac:dyDescent="0.25">
      <c r="C10900" s="8"/>
      <c r="G10900" s="11"/>
    </row>
    <row r="10901" spans="3:7" x14ac:dyDescent="0.25">
      <c r="C10901" s="8"/>
      <c r="G10901" s="11"/>
    </row>
    <row r="10902" spans="3:7" x14ac:dyDescent="0.25">
      <c r="C10902" s="8"/>
      <c r="G10902" s="11"/>
    </row>
    <row r="10903" spans="3:7" x14ac:dyDescent="0.25">
      <c r="C10903" s="8"/>
      <c r="G10903" s="11"/>
    </row>
    <row r="10904" spans="3:7" x14ac:dyDescent="0.25">
      <c r="C10904" s="8"/>
      <c r="G10904" s="11"/>
    </row>
    <row r="10905" spans="3:7" x14ac:dyDescent="0.25">
      <c r="C10905" s="8"/>
      <c r="G10905" s="11"/>
    </row>
    <row r="10906" spans="3:7" x14ac:dyDescent="0.25">
      <c r="C10906" s="8"/>
      <c r="G10906" s="11"/>
    </row>
    <row r="10907" spans="3:7" x14ac:dyDescent="0.25">
      <c r="C10907" s="8"/>
      <c r="G10907" s="11"/>
    </row>
    <row r="10908" spans="3:7" x14ac:dyDescent="0.25">
      <c r="C10908" s="8"/>
      <c r="G10908" s="11"/>
    </row>
    <row r="10909" spans="3:7" x14ac:dyDescent="0.25">
      <c r="C10909" s="8"/>
      <c r="G10909" s="11"/>
    </row>
    <row r="10910" spans="3:7" x14ac:dyDescent="0.25">
      <c r="C10910" s="8"/>
      <c r="G10910" s="11"/>
    </row>
    <row r="10911" spans="3:7" x14ac:dyDescent="0.25">
      <c r="C10911" s="8"/>
      <c r="G10911" s="11"/>
    </row>
    <row r="10912" spans="3:7" x14ac:dyDescent="0.25">
      <c r="C10912" s="8"/>
      <c r="G10912" s="11"/>
    </row>
    <row r="10913" spans="3:7" x14ac:dyDescent="0.25">
      <c r="C10913" s="8"/>
      <c r="G10913" s="11"/>
    </row>
    <row r="10914" spans="3:7" x14ac:dyDescent="0.25">
      <c r="C10914" s="8"/>
      <c r="G10914" s="11"/>
    </row>
    <row r="10915" spans="3:7" x14ac:dyDescent="0.25">
      <c r="C10915" s="8"/>
      <c r="G10915" s="11"/>
    </row>
    <row r="10916" spans="3:7" x14ac:dyDescent="0.25">
      <c r="C10916" s="8"/>
      <c r="G10916" s="11"/>
    </row>
    <row r="10917" spans="3:7" x14ac:dyDescent="0.25">
      <c r="C10917" s="8"/>
      <c r="G10917" s="11"/>
    </row>
    <row r="10918" spans="3:7" x14ac:dyDescent="0.25">
      <c r="C10918" s="8"/>
      <c r="G10918" s="11"/>
    </row>
    <row r="10919" spans="3:7" x14ac:dyDescent="0.25">
      <c r="C10919" s="8"/>
      <c r="G10919" s="11"/>
    </row>
    <row r="10920" spans="3:7" x14ac:dyDescent="0.25">
      <c r="C10920" s="8"/>
      <c r="G10920" s="11"/>
    </row>
    <row r="10921" spans="3:7" x14ac:dyDescent="0.25">
      <c r="C10921" s="8"/>
      <c r="G10921" s="11"/>
    </row>
    <row r="10922" spans="3:7" x14ac:dyDescent="0.25">
      <c r="C10922" s="8"/>
      <c r="G10922" s="11"/>
    </row>
    <row r="10923" spans="3:7" x14ac:dyDescent="0.25">
      <c r="C10923" s="8"/>
      <c r="G10923" s="11"/>
    </row>
    <row r="10924" spans="3:7" x14ac:dyDescent="0.25">
      <c r="C10924" s="8"/>
      <c r="G10924" s="11"/>
    </row>
    <row r="10925" spans="3:7" x14ac:dyDescent="0.25">
      <c r="C10925" s="8"/>
      <c r="G10925" s="11"/>
    </row>
    <row r="10926" spans="3:7" x14ac:dyDescent="0.25">
      <c r="C10926" s="8"/>
      <c r="G10926" s="11"/>
    </row>
    <row r="10927" spans="3:7" x14ac:dyDescent="0.25">
      <c r="C10927" s="8"/>
      <c r="G10927" s="11"/>
    </row>
    <row r="10928" spans="3:7" x14ac:dyDescent="0.25">
      <c r="C10928" s="8"/>
      <c r="G10928" s="11"/>
    </row>
    <row r="10929" spans="3:7" x14ac:dyDescent="0.25">
      <c r="C10929" s="8"/>
      <c r="G10929" s="11"/>
    </row>
    <row r="10930" spans="3:7" x14ac:dyDescent="0.25">
      <c r="C10930" s="8"/>
      <c r="G10930" s="11"/>
    </row>
    <row r="10931" spans="3:7" x14ac:dyDescent="0.25">
      <c r="C10931" s="8"/>
      <c r="G10931" s="11"/>
    </row>
    <row r="10932" spans="3:7" x14ac:dyDescent="0.25">
      <c r="C10932" s="8"/>
      <c r="G10932" s="11"/>
    </row>
    <row r="10933" spans="3:7" x14ac:dyDescent="0.25">
      <c r="C10933" s="8"/>
      <c r="G10933" s="11"/>
    </row>
    <row r="10934" spans="3:7" x14ac:dyDescent="0.25">
      <c r="C10934" s="8"/>
      <c r="G10934" s="11"/>
    </row>
    <row r="10935" spans="3:7" x14ac:dyDescent="0.25">
      <c r="C10935" s="8"/>
      <c r="G10935" s="11"/>
    </row>
    <row r="10936" spans="3:7" x14ac:dyDescent="0.25">
      <c r="C10936" s="8"/>
      <c r="G10936" s="11"/>
    </row>
    <row r="10937" spans="3:7" x14ac:dyDescent="0.25">
      <c r="C10937" s="8"/>
      <c r="G10937" s="11"/>
    </row>
    <row r="10938" spans="3:7" x14ac:dyDescent="0.25">
      <c r="C10938" s="8"/>
      <c r="G10938" s="11"/>
    </row>
    <row r="10939" spans="3:7" x14ac:dyDescent="0.25">
      <c r="C10939" s="8"/>
      <c r="G10939" s="11"/>
    </row>
    <row r="10940" spans="3:7" x14ac:dyDescent="0.25">
      <c r="C10940" s="8"/>
      <c r="G10940" s="11"/>
    </row>
    <row r="10941" spans="3:7" x14ac:dyDescent="0.25">
      <c r="C10941" s="8"/>
      <c r="G10941" s="11"/>
    </row>
    <row r="10942" spans="3:7" x14ac:dyDescent="0.25">
      <c r="C10942" s="8"/>
      <c r="G10942" s="11"/>
    </row>
    <row r="10943" spans="3:7" x14ac:dyDescent="0.25">
      <c r="C10943" s="8"/>
      <c r="G10943" s="11"/>
    </row>
    <row r="10944" spans="3:7" x14ac:dyDescent="0.25">
      <c r="C10944" s="8"/>
      <c r="G10944" s="11"/>
    </row>
    <row r="10945" spans="3:7" x14ac:dyDescent="0.25">
      <c r="C10945" s="8"/>
      <c r="G10945" s="11"/>
    </row>
    <row r="10946" spans="3:7" x14ac:dyDescent="0.25">
      <c r="C10946" s="8"/>
      <c r="G10946" s="11"/>
    </row>
    <row r="10947" spans="3:7" x14ac:dyDescent="0.25">
      <c r="C10947" s="8"/>
      <c r="G10947" s="11"/>
    </row>
    <row r="10948" spans="3:7" x14ac:dyDescent="0.25">
      <c r="C10948" s="8"/>
      <c r="G10948" s="11"/>
    </row>
    <row r="10949" spans="3:7" x14ac:dyDescent="0.25">
      <c r="C10949" s="8"/>
      <c r="G10949" s="11"/>
    </row>
    <row r="10950" spans="3:7" x14ac:dyDescent="0.25">
      <c r="C10950" s="8"/>
      <c r="G10950" s="11"/>
    </row>
    <row r="10951" spans="3:7" x14ac:dyDescent="0.25">
      <c r="C10951" s="8"/>
      <c r="G10951" s="11"/>
    </row>
    <row r="10952" spans="3:7" x14ac:dyDescent="0.25">
      <c r="C10952" s="8"/>
      <c r="G10952" s="11"/>
    </row>
    <row r="10953" spans="3:7" x14ac:dyDescent="0.25">
      <c r="C10953" s="8"/>
      <c r="G10953" s="11"/>
    </row>
    <row r="10954" spans="3:7" x14ac:dyDescent="0.25">
      <c r="C10954" s="8"/>
      <c r="G10954" s="11"/>
    </row>
    <row r="10955" spans="3:7" x14ac:dyDescent="0.25">
      <c r="C10955" s="8"/>
      <c r="G10955" s="11"/>
    </row>
    <row r="10956" spans="3:7" x14ac:dyDescent="0.25">
      <c r="C10956" s="8"/>
      <c r="G10956" s="11"/>
    </row>
    <row r="10957" spans="3:7" x14ac:dyDescent="0.25">
      <c r="C10957" s="8"/>
      <c r="G10957" s="11"/>
    </row>
    <row r="10958" spans="3:7" x14ac:dyDescent="0.25">
      <c r="C10958" s="8"/>
      <c r="G10958" s="11"/>
    </row>
    <row r="10959" spans="3:7" x14ac:dyDescent="0.25">
      <c r="C10959" s="8"/>
      <c r="G10959" s="11"/>
    </row>
    <row r="10960" spans="3:7" x14ac:dyDescent="0.25">
      <c r="C10960" s="8"/>
      <c r="G10960" s="11"/>
    </row>
    <row r="10961" spans="3:7" x14ac:dyDescent="0.25">
      <c r="C10961" s="8"/>
      <c r="G10961" s="11"/>
    </row>
    <row r="10962" spans="3:7" x14ac:dyDescent="0.25">
      <c r="C10962" s="8"/>
      <c r="G10962" s="11"/>
    </row>
    <row r="10963" spans="3:7" x14ac:dyDescent="0.25">
      <c r="C10963" s="8"/>
      <c r="G10963" s="11"/>
    </row>
    <row r="10964" spans="3:7" x14ac:dyDescent="0.25">
      <c r="C10964" s="8"/>
      <c r="G10964" s="11"/>
    </row>
    <row r="10965" spans="3:7" x14ac:dyDescent="0.25">
      <c r="C10965" s="8"/>
      <c r="G10965" s="11"/>
    </row>
    <row r="10966" spans="3:7" x14ac:dyDescent="0.25">
      <c r="C10966" s="8"/>
      <c r="G10966" s="11"/>
    </row>
    <row r="10967" spans="3:7" x14ac:dyDescent="0.25">
      <c r="C10967" s="8"/>
      <c r="G10967" s="11"/>
    </row>
    <row r="10968" spans="3:7" x14ac:dyDescent="0.25">
      <c r="C10968" s="8"/>
      <c r="G10968" s="11"/>
    </row>
    <row r="10969" spans="3:7" x14ac:dyDescent="0.25">
      <c r="C10969" s="8"/>
      <c r="G10969" s="11"/>
    </row>
    <row r="10970" spans="3:7" x14ac:dyDescent="0.25">
      <c r="C10970" s="8"/>
      <c r="G10970" s="11"/>
    </row>
    <row r="10971" spans="3:7" x14ac:dyDescent="0.25">
      <c r="C10971" s="8"/>
      <c r="G10971" s="11"/>
    </row>
    <row r="10972" spans="3:7" x14ac:dyDescent="0.25">
      <c r="C10972" s="8"/>
      <c r="G10972" s="11"/>
    </row>
    <row r="10973" spans="3:7" x14ac:dyDescent="0.25">
      <c r="C10973" s="8"/>
      <c r="G10973" s="11"/>
    </row>
    <row r="10974" spans="3:7" x14ac:dyDescent="0.25">
      <c r="C10974" s="8"/>
      <c r="G10974" s="11"/>
    </row>
    <row r="10975" spans="3:7" x14ac:dyDescent="0.25">
      <c r="C10975" s="8"/>
      <c r="G10975" s="11"/>
    </row>
    <row r="10976" spans="3:7" x14ac:dyDescent="0.25">
      <c r="C10976" s="8"/>
      <c r="G10976" s="11"/>
    </row>
    <row r="10977" spans="3:7" x14ac:dyDescent="0.25">
      <c r="C10977" s="8"/>
      <c r="G10977" s="11"/>
    </row>
    <row r="10978" spans="3:7" x14ac:dyDescent="0.25">
      <c r="C10978" s="8"/>
      <c r="G10978" s="11"/>
    </row>
    <row r="10979" spans="3:7" x14ac:dyDescent="0.25">
      <c r="C10979" s="8"/>
      <c r="G10979" s="11"/>
    </row>
    <row r="10980" spans="3:7" x14ac:dyDescent="0.25">
      <c r="C10980" s="8"/>
      <c r="G10980" s="11"/>
    </row>
    <row r="10981" spans="3:7" x14ac:dyDescent="0.25">
      <c r="C10981" s="8"/>
      <c r="G10981" s="11"/>
    </row>
    <row r="10982" spans="3:7" x14ac:dyDescent="0.25">
      <c r="C10982" s="8"/>
      <c r="G10982" s="11"/>
    </row>
    <row r="10983" spans="3:7" x14ac:dyDescent="0.25">
      <c r="C10983" s="8"/>
      <c r="G10983" s="11"/>
    </row>
    <row r="10984" spans="3:7" x14ac:dyDescent="0.25">
      <c r="C10984" s="8"/>
      <c r="G10984" s="11"/>
    </row>
    <row r="10985" spans="3:7" x14ac:dyDescent="0.25">
      <c r="C10985" s="8"/>
      <c r="G10985" s="11"/>
    </row>
    <row r="10986" spans="3:7" x14ac:dyDescent="0.25">
      <c r="C10986" s="8"/>
      <c r="G10986" s="11"/>
    </row>
    <row r="10987" spans="3:7" x14ac:dyDescent="0.25">
      <c r="C10987" s="8"/>
      <c r="G10987" s="11"/>
    </row>
    <row r="10988" spans="3:7" x14ac:dyDescent="0.25">
      <c r="C10988" s="8"/>
      <c r="G10988" s="11"/>
    </row>
    <row r="10989" spans="3:7" x14ac:dyDescent="0.25">
      <c r="C10989" s="8"/>
      <c r="G10989" s="11"/>
    </row>
    <row r="10990" spans="3:7" x14ac:dyDescent="0.25">
      <c r="C10990" s="8"/>
      <c r="G10990" s="11"/>
    </row>
    <row r="10991" spans="3:7" x14ac:dyDescent="0.25">
      <c r="C10991" s="8"/>
      <c r="G10991" s="11"/>
    </row>
    <row r="10992" spans="3:7" x14ac:dyDescent="0.25">
      <c r="C10992" s="8"/>
      <c r="G10992" s="11"/>
    </row>
    <row r="10993" spans="3:7" x14ac:dyDescent="0.25">
      <c r="C10993" s="8"/>
      <c r="G10993" s="11"/>
    </row>
    <row r="10994" spans="3:7" x14ac:dyDescent="0.25">
      <c r="C10994" s="8"/>
      <c r="G10994" s="11"/>
    </row>
    <row r="10995" spans="3:7" x14ac:dyDescent="0.25">
      <c r="C10995" s="8"/>
      <c r="G10995" s="11"/>
    </row>
    <row r="10996" spans="3:7" x14ac:dyDescent="0.25">
      <c r="C10996" s="8"/>
      <c r="G10996" s="11"/>
    </row>
    <row r="10997" spans="3:7" x14ac:dyDescent="0.25">
      <c r="C10997" s="8"/>
      <c r="G10997" s="11"/>
    </row>
    <row r="10998" spans="3:7" x14ac:dyDescent="0.25">
      <c r="C10998" s="8"/>
      <c r="G10998" s="11"/>
    </row>
    <row r="10999" spans="3:7" x14ac:dyDescent="0.25">
      <c r="C10999" s="8"/>
      <c r="G10999" s="11"/>
    </row>
    <row r="11000" spans="3:7" x14ac:dyDescent="0.25">
      <c r="C11000" s="8"/>
      <c r="G11000" s="11"/>
    </row>
    <row r="11001" spans="3:7" x14ac:dyDescent="0.25">
      <c r="C11001" s="8"/>
      <c r="G11001" s="11"/>
    </row>
    <row r="11002" spans="3:7" x14ac:dyDescent="0.25">
      <c r="C11002" s="8"/>
      <c r="G11002" s="11"/>
    </row>
    <row r="11003" spans="3:7" x14ac:dyDescent="0.25">
      <c r="C11003" s="8"/>
      <c r="G11003" s="11"/>
    </row>
    <row r="11004" spans="3:7" x14ac:dyDescent="0.25">
      <c r="C11004" s="8"/>
      <c r="G11004" s="11"/>
    </row>
    <row r="11005" spans="3:7" x14ac:dyDescent="0.25">
      <c r="C11005" s="8"/>
      <c r="G11005" s="11"/>
    </row>
    <row r="11006" spans="3:7" x14ac:dyDescent="0.25">
      <c r="C11006" s="8"/>
      <c r="G11006" s="11"/>
    </row>
    <row r="11007" spans="3:7" x14ac:dyDescent="0.25">
      <c r="C11007" s="8"/>
      <c r="G11007" s="11"/>
    </row>
    <row r="11008" spans="3:7" x14ac:dyDescent="0.25">
      <c r="C11008" s="8"/>
      <c r="G11008" s="11"/>
    </row>
    <row r="11009" spans="3:7" x14ac:dyDescent="0.25">
      <c r="C11009" s="8"/>
      <c r="G11009" s="11"/>
    </row>
    <row r="11010" spans="3:7" x14ac:dyDescent="0.25">
      <c r="C11010" s="8"/>
      <c r="G11010" s="11"/>
    </row>
    <row r="11011" spans="3:7" x14ac:dyDescent="0.25">
      <c r="C11011" s="8"/>
      <c r="G11011" s="11"/>
    </row>
    <row r="11012" spans="3:7" x14ac:dyDescent="0.25">
      <c r="C11012" s="8"/>
      <c r="G11012" s="11"/>
    </row>
    <row r="11013" spans="3:7" x14ac:dyDescent="0.25">
      <c r="C11013" s="8"/>
      <c r="G11013" s="11"/>
    </row>
    <row r="11014" spans="3:7" x14ac:dyDescent="0.25">
      <c r="C11014" s="8"/>
      <c r="G11014" s="11"/>
    </row>
    <row r="11015" spans="3:7" x14ac:dyDescent="0.25">
      <c r="C11015" s="8"/>
      <c r="G11015" s="11"/>
    </row>
    <row r="11016" spans="3:7" x14ac:dyDescent="0.25">
      <c r="C11016" s="8"/>
      <c r="G11016" s="11"/>
    </row>
    <row r="11017" spans="3:7" x14ac:dyDescent="0.25">
      <c r="C11017" s="8"/>
      <c r="G11017" s="11"/>
    </row>
    <row r="11018" spans="3:7" x14ac:dyDescent="0.25">
      <c r="C11018" s="8"/>
      <c r="G11018" s="11"/>
    </row>
    <row r="11019" spans="3:7" x14ac:dyDescent="0.25">
      <c r="C11019" s="8"/>
      <c r="G11019" s="11"/>
    </row>
    <row r="11020" spans="3:7" x14ac:dyDescent="0.25">
      <c r="C11020" s="8"/>
      <c r="G11020" s="11"/>
    </row>
    <row r="11021" spans="3:7" x14ac:dyDescent="0.25">
      <c r="C11021" s="8"/>
      <c r="G11021" s="11"/>
    </row>
    <row r="11022" spans="3:7" x14ac:dyDescent="0.25">
      <c r="C11022" s="8"/>
      <c r="G11022" s="11"/>
    </row>
    <row r="11023" spans="3:7" x14ac:dyDescent="0.25">
      <c r="C11023" s="8"/>
      <c r="G11023" s="11"/>
    </row>
    <row r="11024" spans="3:7" x14ac:dyDescent="0.25">
      <c r="C11024" s="8"/>
      <c r="G11024" s="11"/>
    </row>
    <row r="11025" spans="3:7" x14ac:dyDescent="0.25">
      <c r="C11025" s="8"/>
      <c r="G11025" s="11"/>
    </row>
    <row r="11026" spans="3:7" x14ac:dyDescent="0.25">
      <c r="C11026" s="8"/>
      <c r="G11026" s="11"/>
    </row>
    <row r="11027" spans="3:7" x14ac:dyDescent="0.25">
      <c r="C11027" s="8"/>
      <c r="G11027" s="11"/>
    </row>
    <row r="11028" spans="3:7" x14ac:dyDescent="0.25">
      <c r="C11028" s="8"/>
      <c r="G11028" s="11"/>
    </row>
    <row r="11029" spans="3:7" x14ac:dyDescent="0.25">
      <c r="C11029" s="8"/>
      <c r="G11029" s="11"/>
    </row>
    <row r="11030" spans="3:7" x14ac:dyDescent="0.25">
      <c r="C11030" s="8"/>
      <c r="G11030" s="11"/>
    </row>
    <row r="11031" spans="3:7" x14ac:dyDescent="0.25">
      <c r="C11031" s="8"/>
      <c r="G11031" s="11"/>
    </row>
    <row r="11032" spans="3:7" x14ac:dyDescent="0.25">
      <c r="C11032" s="8"/>
      <c r="G11032" s="11"/>
    </row>
    <row r="11033" spans="3:7" x14ac:dyDescent="0.25">
      <c r="C11033" s="8"/>
      <c r="G11033" s="11"/>
    </row>
    <row r="11034" spans="3:7" x14ac:dyDescent="0.25">
      <c r="C11034" s="8"/>
      <c r="G11034" s="11"/>
    </row>
    <row r="11035" spans="3:7" x14ac:dyDescent="0.25">
      <c r="C11035" s="8"/>
      <c r="G11035" s="11"/>
    </row>
    <row r="11036" spans="3:7" x14ac:dyDescent="0.25">
      <c r="C11036" s="8"/>
      <c r="G11036" s="11"/>
    </row>
    <row r="11037" spans="3:7" x14ac:dyDescent="0.25">
      <c r="C11037" s="8"/>
      <c r="G11037" s="11"/>
    </row>
    <row r="11038" spans="3:7" x14ac:dyDescent="0.25">
      <c r="C11038" s="8"/>
      <c r="G11038" s="11"/>
    </row>
    <row r="11039" spans="3:7" x14ac:dyDescent="0.25">
      <c r="C11039" s="8"/>
      <c r="G11039" s="11"/>
    </row>
    <row r="11040" spans="3:7" x14ac:dyDescent="0.25">
      <c r="C11040" s="8"/>
      <c r="G11040" s="11"/>
    </row>
    <row r="11041" spans="3:7" x14ac:dyDescent="0.25">
      <c r="C11041" s="8"/>
      <c r="G11041" s="11"/>
    </row>
    <row r="11042" spans="3:7" x14ac:dyDescent="0.25">
      <c r="C11042" s="8"/>
      <c r="G11042" s="11"/>
    </row>
    <row r="11043" spans="3:7" x14ac:dyDescent="0.25">
      <c r="C11043" s="8"/>
      <c r="G11043" s="11"/>
    </row>
    <row r="11044" spans="3:7" x14ac:dyDescent="0.25">
      <c r="C11044" s="8"/>
      <c r="G11044" s="11"/>
    </row>
    <row r="11045" spans="3:7" x14ac:dyDescent="0.25">
      <c r="C11045" s="8"/>
      <c r="G11045" s="11"/>
    </row>
    <row r="11046" spans="3:7" x14ac:dyDescent="0.25">
      <c r="C11046" s="8"/>
      <c r="G11046" s="11"/>
    </row>
    <row r="11047" spans="3:7" x14ac:dyDescent="0.25">
      <c r="C11047" s="8"/>
      <c r="G11047" s="11"/>
    </row>
    <row r="11048" spans="3:7" x14ac:dyDescent="0.25">
      <c r="C11048" s="8"/>
      <c r="G11048" s="11"/>
    </row>
    <row r="11049" spans="3:7" x14ac:dyDescent="0.25">
      <c r="C11049" s="8"/>
      <c r="G11049" s="11"/>
    </row>
    <row r="11050" spans="3:7" x14ac:dyDescent="0.25">
      <c r="C11050" s="8"/>
      <c r="G11050" s="11"/>
    </row>
    <row r="11051" spans="3:7" x14ac:dyDescent="0.25">
      <c r="C11051" s="8"/>
      <c r="G11051" s="11"/>
    </row>
    <row r="11052" spans="3:7" x14ac:dyDescent="0.25">
      <c r="C11052" s="8"/>
      <c r="G11052" s="11"/>
    </row>
    <row r="11053" spans="3:7" x14ac:dyDescent="0.25">
      <c r="C11053" s="8"/>
      <c r="G11053" s="11"/>
    </row>
    <row r="11054" spans="3:7" x14ac:dyDescent="0.25">
      <c r="C11054" s="8"/>
      <c r="G11054" s="11"/>
    </row>
    <row r="11055" spans="3:7" x14ac:dyDescent="0.25">
      <c r="C11055" s="8"/>
      <c r="G11055" s="11"/>
    </row>
    <row r="11056" spans="3:7" x14ac:dyDescent="0.25">
      <c r="C11056" s="8"/>
      <c r="G11056" s="11"/>
    </row>
    <row r="11057" spans="3:7" x14ac:dyDescent="0.25">
      <c r="C11057" s="8"/>
      <c r="G11057" s="11"/>
    </row>
    <row r="11058" spans="3:7" x14ac:dyDescent="0.25">
      <c r="C11058" s="8"/>
      <c r="G11058" s="11"/>
    </row>
    <row r="11059" spans="3:7" x14ac:dyDescent="0.25">
      <c r="C11059" s="8"/>
      <c r="G11059" s="11"/>
    </row>
    <row r="11060" spans="3:7" x14ac:dyDescent="0.25">
      <c r="C11060" s="8"/>
      <c r="G11060" s="11"/>
    </row>
    <row r="11061" spans="3:7" x14ac:dyDescent="0.25">
      <c r="C11061" s="8"/>
      <c r="G11061" s="11"/>
    </row>
    <row r="11062" spans="3:7" x14ac:dyDescent="0.25">
      <c r="C11062" s="8"/>
      <c r="G11062" s="11"/>
    </row>
    <row r="11063" spans="3:7" x14ac:dyDescent="0.25">
      <c r="C11063" s="8"/>
      <c r="G11063" s="11"/>
    </row>
    <row r="11064" spans="3:7" x14ac:dyDescent="0.25">
      <c r="C11064" s="8"/>
      <c r="G11064" s="11"/>
    </row>
    <row r="11065" spans="3:7" x14ac:dyDescent="0.25">
      <c r="C11065" s="8"/>
      <c r="G11065" s="11"/>
    </row>
    <row r="11066" spans="3:7" x14ac:dyDescent="0.25">
      <c r="C11066" s="8"/>
      <c r="G11066" s="11"/>
    </row>
    <row r="11067" spans="3:7" x14ac:dyDescent="0.25">
      <c r="C11067" s="8"/>
      <c r="G11067" s="11"/>
    </row>
    <row r="11068" spans="3:7" x14ac:dyDescent="0.25">
      <c r="C11068" s="8"/>
      <c r="G11068" s="11"/>
    </row>
    <row r="11069" spans="3:7" x14ac:dyDescent="0.25">
      <c r="C11069" s="8"/>
      <c r="G11069" s="11"/>
    </row>
    <row r="11070" spans="3:7" x14ac:dyDescent="0.25">
      <c r="C11070" s="8"/>
      <c r="G11070" s="11"/>
    </row>
    <row r="11071" spans="3:7" x14ac:dyDescent="0.25">
      <c r="C11071" s="8"/>
      <c r="G11071" s="11"/>
    </row>
    <row r="11072" spans="3:7" x14ac:dyDescent="0.25">
      <c r="C11072" s="8"/>
      <c r="G11072" s="11"/>
    </row>
    <row r="11073" spans="3:7" x14ac:dyDescent="0.25">
      <c r="C11073" s="8"/>
      <c r="G11073" s="11"/>
    </row>
    <row r="11074" spans="3:7" x14ac:dyDescent="0.25">
      <c r="C11074" s="8"/>
      <c r="G11074" s="11"/>
    </row>
    <row r="11075" spans="3:7" x14ac:dyDescent="0.25">
      <c r="C11075" s="8"/>
      <c r="G11075" s="11"/>
    </row>
    <row r="11076" spans="3:7" x14ac:dyDescent="0.25">
      <c r="C11076" s="8"/>
      <c r="G11076" s="11"/>
    </row>
    <row r="11077" spans="3:7" x14ac:dyDescent="0.25">
      <c r="C11077" s="8"/>
      <c r="G11077" s="11"/>
    </row>
    <row r="11078" spans="3:7" x14ac:dyDescent="0.25">
      <c r="C11078" s="8"/>
      <c r="G11078" s="11"/>
    </row>
    <row r="11079" spans="3:7" x14ac:dyDescent="0.25">
      <c r="C11079" s="8"/>
      <c r="G11079" s="11"/>
    </row>
    <row r="11080" spans="3:7" x14ac:dyDescent="0.25">
      <c r="C11080" s="8"/>
      <c r="G11080" s="11"/>
    </row>
    <row r="11081" spans="3:7" x14ac:dyDescent="0.25">
      <c r="C11081" s="8"/>
      <c r="G11081" s="11"/>
    </row>
    <row r="11082" spans="3:7" x14ac:dyDescent="0.25">
      <c r="C11082" s="8"/>
      <c r="G11082" s="11"/>
    </row>
    <row r="11083" spans="3:7" x14ac:dyDescent="0.25">
      <c r="C11083" s="8"/>
      <c r="G11083" s="11"/>
    </row>
    <row r="11084" spans="3:7" x14ac:dyDescent="0.25">
      <c r="C11084" s="8"/>
      <c r="G11084" s="11"/>
    </row>
    <row r="11085" spans="3:7" x14ac:dyDescent="0.25">
      <c r="C11085" s="8"/>
      <c r="G11085" s="11"/>
    </row>
    <row r="11086" spans="3:7" x14ac:dyDescent="0.25">
      <c r="C11086" s="8"/>
      <c r="G11086" s="11"/>
    </row>
    <row r="11087" spans="3:7" x14ac:dyDescent="0.25">
      <c r="C11087" s="8"/>
      <c r="G11087" s="11"/>
    </row>
    <row r="11088" spans="3:7" x14ac:dyDescent="0.25">
      <c r="C11088" s="8"/>
      <c r="G11088" s="11"/>
    </row>
    <row r="11089" spans="3:7" x14ac:dyDescent="0.25">
      <c r="C11089" s="8"/>
      <c r="G11089" s="11"/>
    </row>
    <row r="11090" spans="3:7" x14ac:dyDescent="0.25">
      <c r="C11090" s="8"/>
      <c r="G11090" s="11"/>
    </row>
    <row r="11091" spans="3:7" x14ac:dyDescent="0.25">
      <c r="C11091" s="8"/>
      <c r="G11091" s="11"/>
    </row>
    <row r="11092" spans="3:7" x14ac:dyDescent="0.25">
      <c r="C11092" s="8"/>
      <c r="G11092" s="11"/>
    </row>
    <row r="11093" spans="3:7" x14ac:dyDescent="0.25">
      <c r="C11093" s="8"/>
      <c r="G11093" s="11"/>
    </row>
    <row r="11094" spans="3:7" x14ac:dyDescent="0.25">
      <c r="C11094" s="8"/>
      <c r="G11094" s="11"/>
    </row>
    <row r="11095" spans="3:7" x14ac:dyDescent="0.25">
      <c r="C11095" s="8"/>
      <c r="G11095" s="11"/>
    </row>
    <row r="11096" spans="3:7" x14ac:dyDescent="0.25">
      <c r="C11096" s="8"/>
      <c r="G11096" s="11"/>
    </row>
    <row r="11097" spans="3:7" x14ac:dyDescent="0.25">
      <c r="C11097" s="8"/>
      <c r="G11097" s="11"/>
    </row>
    <row r="11098" spans="3:7" x14ac:dyDescent="0.25">
      <c r="C11098" s="8"/>
      <c r="G11098" s="11"/>
    </row>
    <row r="11099" spans="3:7" x14ac:dyDescent="0.25">
      <c r="C11099" s="8"/>
      <c r="G11099" s="11"/>
    </row>
    <row r="11100" spans="3:7" x14ac:dyDescent="0.25">
      <c r="C11100" s="8"/>
      <c r="G11100" s="11"/>
    </row>
    <row r="11101" spans="3:7" x14ac:dyDescent="0.25">
      <c r="C11101" s="8"/>
      <c r="G11101" s="11"/>
    </row>
    <row r="11102" spans="3:7" x14ac:dyDescent="0.25">
      <c r="C11102" s="8"/>
      <c r="G11102" s="11"/>
    </row>
    <row r="11103" spans="3:7" x14ac:dyDescent="0.25">
      <c r="C11103" s="8"/>
      <c r="G11103" s="11"/>
    </row>
    <row r="11104" spans="3:7" x14ac:dyDescent="0.25">
      <c r="C11104" s="8"/>
      <c r="G11104" s="11"/>
    </row>
    <row r="11105" spans="3:7" x14ac:dyDescent="0.25">
      <c r="C11105" s="8"/>
      <c r="G11105" s="11"/>
    </row>
    <row r="11106" spans="3:7" x14ac:dyDescent="0.25">
      <c r="C11106" s="8"/>
      <c r="G11106" s="11"/>
    </row>
    <row r="11107" spans="3:7" x14ac:dyDescent="0.25">
      <c r="C11107" s="8"/>
      <c r="G11107" s="11"/>
    </row>
    <row r="11108" spans="3:7" x14ac:dyDescent="0.25">
      <c r="C11108" s="8"/>
      <c r="G11108" s="11"/>
    </row>
    <row r="11109" spans="3:7" x14ac:dyDescent="0.25">
      <c r="C11109" s="8"/>
      <c r="G11109" s="11"/>
    </row>
    <row r="11110" spans="3:7" x14ac:dyDescent="0.25">
      <c r="C11110" s="8"/>
      <c r="G11110" s="11"/>
    </row>
    <row r="11111" spans="3:7" x14ac:dyDescent="0.25">
      <c r="C11111" s="8"/>
      <c r="G11111" s="11"/>
    </row>
    <row r="11112" spans="3:7" x14ac:dyDescent="0.25">
      <c r="C11112" s="8"/>
      <c r="G11112" s="11"/>
    </row>
    <row r="11113" spans="3:7" x14ac:dyDescent="0.25">
      <c r="C11113" s="8"/>
      <c r="G11113" s="11"/>
    </row>
    <row r="11114" spans="3:7" x14ac:dyDescent="0.25">
      <c r="C11114" s="8"/>
      <c r="G11114" s="11"/>
    </row>
    <row r="11115" spans="3:7" x14ac:dyDescent="0.25">
      <c r="C11115" s="8"/>
      <c r="G11115" s="11"/>
    </row>
    <row r="11116" spans="3:7" x14ac:dyDescent="0.25">
      <c r="C11116" s="8"/>
      <c r="G11116" s="11"/>
    </row>
    <row r="11117" spans="3:7" x14ac:dyDescent="0.25">
      <c r="C11117" s="8"/>
      <c r="G11117" s="11"/>
    </row>
    <row r="11118" spans="3:7" x14ac:dyDescent="0.25">
      <c r="C11118" s="8"/>
      <c r="G11118" s="11"/>
    </row>
    <row r="11119" spans="3:7" x14ac:dyDescent="0.25">
      <c r="C11119" s="8"/>
      <c r="G11119" s="11"/>
    </row>
    <row r="11120" spans="3:7" x14ac:dyDescent="0.25">
      <c r="C11120" s="8"/>
      <c r="G11120" s="11"/>
    </row>
    <row r="11121" spans="3:7" x14ac:dyDescent="0.25">
      <c r="C11121" s="8"/>
      <c r="G11121" s="11"/>
    </row>
    <row r="11122" spans="3:7" x14ac:dyDescent="0.25">
      <c r="C11122" s="8"/>
      <c r="G11122" s="11"/>
    </row>
    <row r="11123" spans="3:7" x14ac:dyDescent="0.25">
      <c r="C11123" s="8"/>
      <c r="G11123" s="11"/>
    </row>
    <row r="11124" spans="3:7" x14ac:dyDescent="0.25">
      <c r="C11124" s="8"/>
      <c r="G11124" s="11"/>
    </row>
    <row r="11125" spans="3:7" x14ac:dyDescent="0.25">
      <c r="C11125" s="8"/>
      <c r="G11125" s="11"/>
    </row>
    <row r="11126" spans="3:7" x14ac:dyDescent="0.25">
      <c r="C11126" s="8"/>
      <c r="G11126" s="11"/>
    </row>
    <row r="11127" spans="3:7" x14ac:dyDescent="0.25">
      <c r="C11127" s="8"/>
      <c r="G11127" s="11"/>
    </row>
    <row r="11128" spans="3:7" x14ac:dyDescent="0.25">
      <c r="C11128" s="8"/>
      <c r="G11128" s="11"/>
    </row>
    <row r="11129" spans="3:7" x14ac:dyDescent="0.25">
      <c r="C11129" s="8"/>
      <c r="G11129" s="11"/>
    </row>
    <row r="11130" spans="3:7" x14ac:dyDescent="0.25">
      <c r="C11130" s="8"/>
      <c r="G11130" s="11"/>
    </row>
    <row r="11131" spans="3:7" x14ac:dyDescent="0.25">
      <c r="C11131" s="8"/>
      <c r="G11131" s="11"/>
    </row>
    <row r="11132" spans="3:7" x14ac:dyDescent="0.25">
      <c r="C11132" s="8"/>
      <c r="G11132" s="11"/>
    </row>
    <row r="11133" spans="3:7" x14ac:dyDescent="0.25">
      <c r="C11133" s="8"/>
      <c r="G11133" s="11"/>
    </row>
    <row r="11134" spans="3:7" x14ac:dyDescent="0.25">
      <c r="C11134" s="8"/>
      <c r="G11134" s="11"/>
    </row>
    <row r="11135" spans="3:7" x14ac:dyDescent="0.25">
      <c r="C11135" s="8"/>
      <c r="G11135" s="11"/>
    </row>
    <row r="11136" spans="3:7" x14ac:dyDescent="0.25">
      <c r="C11136" s="8"/>
      <c r="G11136" s="11"/>
    </row>
    <row r="11137" spans="3:7" x14ac:dyDescent="0.25">
      <c r="C11137" s="8"/>
      <c r="G11137" s="11"/>
    </row>
    <row r="11138" spans="3:7" x14ac:dyDescent="0.25">
      <c r="C11138" s="8"/>
      <c r="G11138" s="11"/>
    </row>
    <row r="11139" spans="3:7" x14ac:dyDescent="0.25">
      <c r="C11139" s="8"/>
      <c r="G11139" s="11"/>
    </row>
    <row r="11140" spans="3:7" x14ac:dyDescent="0.25">
      <c r="C11140" s="8"/>
      <c r="G11140" s="11"/>
    </row>
    <row r="11141" spans="3:7" x14ac:dyDescent="0.25">
      <c r="C11141" s="8"/>
      <c r="G11141" s="11"/>
    </row>
    <row r="11142" spans="3:7" x14ac:dyDescent="0.25">
      <c r="C11142" s="8"/>
      <c r="G11142" s="11"/>
    </row>
    <row r="11143" spans="3:7" x14ac:dyDescent="0.25">
      <c r="C11143" s="8"/>
      <c r="G11143" s="11"/>
    </row>
    <row r="11144" spans="3:7" x14ac:dyDescent="0.25">
      <c r="C11144" s="8"/>
      <c r="G11144" s="11"/>
    </row>
    <row r="11145" spans="3:7" x14ac:dyDescent="0.25">
      <c r="C11145" s="8"/>
      <c r="G11145" s="11"/>
    </row>
    <row r="11146" spans="3:7" x14ac:dyDescent="0.25">
      <c r="C11146" s="8"/>
      <c r="G11146" s="11"/>
    </row>
    <row r="11147" spans="3:7" x14ac:dyDescent="0.25">
      <c r="C11147" s="8"/>
      <c r="G11147" s="11"/>
    </row>
    <row r="11148" spans="3:7" x14ac:dyDescent="0.25">
      <c r="C11148" s="8"/>
      <c r="G11148" s="11"/>
    </row>
    <row r="11149" spans="3:7" x14ac:dyDescent="0.25">
      <c r="C11149" s="8"/>
      <c r="G11149" s="11"/>
    </row>
    <row r="11150" spans="3:7" x14ac:dyDescent="0.25">
      <c r="C11150" s="8"/>
      <c r="G11150" s="11"/>
    </row>
    <row r="11151" spans="3:7" x14ac:dyDescent="0.25">
      <c r="C11151" s="8"/>
      <c r="G11151" s="11"/>
    </row>
    <row r="11152" spans="3:7" x14ac:dyDescent="0.25">
      <c r="C11152" s="8"/>
      <c r="G11152" s="11"/>
    </row>
    <row r="11153" spans="3:7" x14ac:dyDescent="0.25">
      <c r="C11153" s="8"/>
      <c r="G11153" s="11"/>
    </row>
    <row r="11154" spans="3:7" x14ac:dyDescent="0.25">
      <c r="C11154" s="8"/>
      <c r="G11154" s="11"/>
    </row>
    <row r="11155" spans="3:7" x14ac:dyDescent="0.25">
      <c r="C11155" s="8"/>
      <c r="G11155" s="11"/>
    </row>
    <row r="11156" spans="3:7" x14ac:dyDescent="0.25">
      <c r="C11156" s="8"/>
      <c r="G11156" s="11"/>
    </row>
    <row r="11157" spans="3:7" x14ac:dyDescent="0.25">
      <c r="C11157" s="8"/>
      <c r="G11157" s="11"/>
    </row>
    <row r="11158" spans="3:7" x14ac:dyDescent="0.25">
      <c r="C11158" s="8"/>
      <c r="G11158" s="11"/>
    </row>
    <row r="11159" spans="3:7" x14ac:dyDescent="0.25">
      <c r="C11159" s="8"/>
      <c r="G11159" s="11"/>
    </row>
    <row r="11160" spans="3:7" x14ac:dyDescent="0.25">
      <c r="C11160" s="8"/>
      <c r="G11160" s="11"/>
    </row>
    <row r="11161" spans="3:7" x14ac:dyDescent="0.25">
      <c r="C11161" s="8"/>
      <c r="G11161" s="11"/>
    </row>
    <row r="11162" spans="3:7" x14ac:dyDescent="0.25">
      <c r="C11162" s="8"/>
      <c r="G11162" s="11"/>
    </row>
    <row r="11163" spans="3:7" x14ac:dyDescent="0.25">
      <c r="C11163" s="8"/>
      <c r="G11163" s="11"/>
    </row>
    <row r="11164" spans="3:7" x14ac:dyDescent="0.25">
      <c r="C11164" s="8"/>
      <c r="G11164" s="11"/>
    </row>
    <row r="11165" spans="3:7" x14ac:dyDescent="0.25">
      <c r="C11165" s="8"/>
      <c r="G11165" s="11"/>
    </row>
    <row r="11166" spans="3:7" x14ac:dyDescent="0.25">
      <c r="C11166" s="8"/>
      <c r="G11166" s="11"/>
    </row>
    <row r="11167" spans="3:7" x14ac:dyDescent="0.25">
      <c r="C11167" s="8"/>
      <c r="G11167" s="11"/>
    </row>
    <row r="11168" spans="3:7" x14ac:dyDescent="0.25">
      <c r="C11168" s="8"/>
      <c r="G11168" s="11"/>
    </row>
    <row r="11169" spans="3:7" x14ac:dyDescent="0.25">
      <c r="C11169" s="8"/>
      <c r="G11169" s="11"/>
    </row>
    <row r="11170" spans="3:7" x14ac:dyDescent="0.25">
      <c r="C11170" s="8"/>
      <c r="G11170" s="11"/>
    </row>
    <row r="11171" spans="3:7" x14ac:dyDescent="0.25">
      <c r="C11171" s="8"/>
      <c r="G11171" s="11"/>
    </row>
    <row r="11172" spans="3:7" x14ac:dyDescent="0.25">
      <c r="C11172" s="8"/>
      <c r="G11172" s="11"/>
    </row>
    <row r="11173" spans="3:7" x14ac:dyDescent="0.25">
      <c r="C11173" s="8"/>
      <c r="G11173" s="11"/>
    </row>
    <row r="11174" spans="3:7" x14ac:dyDescent="0.25">
      <c r="C11174" s="8"/>
      <c r="G11174" s="11"/>
    </row>
    <row r="11175" spans="3:7" x14ac:dyDescent="0.25">
      <c r="C11175" s="8"/>
      <c r="G11175" s="11"/>
    </row>
    <row r="11176" spans="3:7" x14ac:dyDescent="0.25">
      <c r="C11176" s="8"/>
      <c r="G11176" s="11"/>
    </row>
    <row r="11177" spans="3:7" x14ac:dyDescent="0.25">
      <c r="C11177" s="8"/>
      <c r="G11177" s="11"/>
    </row>
    <row r="11178" spans="3:7" x14ac:dyDescent="0.25">
      <c r="C11178" s="8"/>
      <c r="G11178" s="11"/>
    </row>
    <row r="11179" spans="3:7" x14ac:dyDescent="0.25">
      <c r="C11179" s="8"/>
      <c r="G11179" s="11"/>
    </row>
    <row r="11180" spans="3:7" x14ac:dyDescent="0.25">
      <c r="C11180" s="8"/>
      <c r="G11180" s="11"/>
    </row>
    <row r="11181" spans="3:7" x14ac:dyDescent="0.25">
      <c r="C11181" s="8"/>
      <c r="G11181" s="11"/>
    </row>
    <row r="11182" spans="3:7" x14ac:dyDescent="0.25">
      <c r="C11182" s="8"/>
      <c r="G11182" s="11"/>
    </row>
    <row r="11183" spans="3:7" x14ac:dyDescent="0.25">
      <c r="C11183" s="8"/>
      <c r="G11183" s="11"/>
    </row>
    <row r="11184" spans="3:7" x14ac:dyDescent="0.25">
      <c r="C11184" s="8"/>
      <c r="G11184" s="11"/>
    </row>
    <row r="11185" spans="3:7" x14ac:dyDescent="0.25">
      <c r="C11185" s="8"/>
      <c r="G11185" s="11"/>
    </row>
    <row r="11186" spans="3:7" x14ac:dyDescent="0.25">
      <c r="C11186" s="8"/>
      <c r="G11186" s="11"/>
    </row>
    <row r="11187" spans="3:7" x14ac:dyDescent="0.25">
      <c r="C11187" s="8"/>
      <c r="G11187" s="11"/>
    </row>
    <row r="11188" spans="3:7" x14ac:dyDescent="0.25">
      <c r="C11188" s="8"/>
      <c r="G11188" s="11"/>
    </row>
    <row r="11189" spans="3:7" x14ac:dyDescent="0.25">
      <c r="C11189" s="8"/>
      <c r="G11189" s="11"/>
    </row>
    <row r="11190" spans="3:7" x14ac:dyDescent="0.25">
      <c r="C11190" s="8"/>
      <c r="G11190" s="11"/>
    </row>
    <row r="11191" spans="3:7" x14ac:dyDescent="0.25">
      <c r="C11191" s="8"/>
      <c r="G11191" s="11"/>
    </row>
    <row r="11192" spans="3:7" x14ac:dyDescent="0.25">
      <c r="C11192" s="8"/>
      <c r="G11192" s="11"/>
    </row>
    <row r="11193" spans="3:7" x14ac:dyDescent="0.25">
      <c r="C11193" s="8"/>
      <c r="G11193" s="11"/>
    </row>
    <row r="11194" spans="3:7" x14ac:dyDescent="0.25">
      <c r="C11194" s="8"/>
      <c r="G11194" s="11"/>
    </row>
    <row r="11195" spans="3:7" x14ac:dyDescent="0.25">
      <c r="C11195" s="8"/>
      <c r="G11195" s="11"/>
    </row>
    <row r="11196" spans="3:7" x14ac:dyDescent="0.25">
      <c r="C11196" s="8"/>
      <c r="G11196" s="11"/>
    </row>
    <row r="11197" spans="3:7" x14ac:dyDescent="0.25">
      <c r="C11197" s="8"/>
      <c r="G11197" s="11"/>
    </row>
    <row r="11198" spans="3:7" x14ac:dyDescent="0.25">
      <c r="C11198" s="8"/>
      <c r="G11198" s="11"/>
    </row>
    <row r="11199" spans="3:7" x14ac:dyDescent="0.25">
      <c r="C11199" s="8"/>
      <c r="G11199" s="11"/>
    </row>
    <row r="11200" spans="3:7" x14ac:dyDescent="0.25">
      <c r="C11200" s="8"/>
      <c r="G11200" s="11"/>
    </row>
    <row r="11201" spans="3:7" x14ac:dyDescent="0.25">
      <c r="C11201" s="8"/>
      <c r="G11201" s="11"/>
    </row>
    <row r="11202" spans="3:7" x14ac:dyDescent="0.25">
      <c r="C11202" s="8"/>
      <c r="G11202" s="11"/>
    </row>
    <row r="11203" spans="3:7" x14ac:dyDescent="0.25">
      <c r="C11203" s="8"/>
      <c r="G11203" s="11"/>
    </row>
    <row r="11204" spans="3:7" x14ac:dyDescent="0.25">
      <c r="C11204" s="8"/>
      <c r="G11204" s="11"/>
    </row>
    <row r="11205" spans="3:7" x14ac:dyDescent="0.25">
      <c r="C11205" s="8"/>
      <c r="G11205" s="11"/>
    </row>
    <row r="11206" spans="3:7" x14ac:dyDescent="0.25">
      <c r="C11206" s="8"/>
      <c r="G11206" s="11"/>
    </row>
    <row r="11207" spans="3:7" x14ac:dyDescent="0.25">
      <c r="C11207" s="8"/>
      <c r="G11207" s="11"/>
    </row>
    <row r="11208" spans="3:7" x14ac:dyDescent="0.25">
      <c r="C11208" s="8"/>
      <c r="G11208" s="11"/>
    </row>
    <row r="11209" spans="3:7" x14ac:dyDescent="0.25">
      <c r="C11209" s="8"/>
      <c r="G11209" s="11"/>
    </row>
    <row r="11210" spans="3:7" x14ac:dyDescent="0.25">
      <c r="C11210" s="8"/>
      <c r="G11210" s="11"/>
    </row>
    <row r="11211" spans="3:7" x14ac:dyDescent="0.25">
      <c r="C11211" s="8"/>
      <c r="G11211" s="11"/>
    </row>
    <row r="11212" spans="3:7" x14ac:dyDescent="0.25">
      <c r="C11212" s="8"/>
      <c r="G11212" s="11"/>
    </row>
    <row r="11213" spans="3:7" x14ac:dyDescent="0.25">
      <c r="C11213" s="8"/>
      <c r="G11213" s="11"/>
    </row>
    <row r="11214" spans="3:7" x14ac:dyDescent="0.25">
      <c r="C11214" s="8"/>
      <c r="G11214" s="11"/>
    </row>
    <row r="11215" spans="3:7" x14ac:dyDescent="0.25">
      <c r="C11215" s="8"/>
      <c r="G11215" s="11"/>
    </row>
    <row r="11216" spans="3:7" x14ac:dyDescent="0.25">
      <c r="C11216" s="8"/>
      <c r="G11216" s="11"/>
    </row>
    <row r="11217" spans="3:7" x14ac:dyDescent="0.25">
      <c r="C11217" s="8"/>
      <c r="G11217" s="11"/>
    </row>
    <row r="11218" spans="3:7" x14ac:dyDescent="0.25">
      <c r="C11218" s="8"/>
      <c r="G11218" s="11"/>
    </row>
    <row r="11219" spans="3:7" x14ac:dyDescent="0.25">
      <c r="C11219" s="8"/>
      <c r="G11219" s="11"/>
    </row>
    <row r="11220" spans="3:7" x14ac:dyDescent="0.25">
      <c r="C11220" s="8"/>
      <c r="G11220" s="11"/>
    </row>
    <row r="11221" spans="3:7" x14ac:dyDescent="0.25">
      <c r="C11221" s="8"/>
      <c r="G11221" s="11"/>
    </row>
    <row r="11222" spans="3:7" x14ac:dyDescent="0.25">
      <c r="C11222" s="8"/>
      <c r="G11222" s="11"/>
    </row>
    <row r="11223" spans="3:7" x14ac:dyDescent="0.25">
      <c r="C11223" s="8"/>
      <c r="G11223" s="11"/>
    </row>
    <row r="11224" spans="3:7" x14ac:dyDescent="0.25">
      <c r="C11224" s="8"/>
      <c r="G11224" s="11"/>
    </row>
    <row r="11225" spans="3:7" x14ac:dyDescent="0.25">
      <c r="C11225" s="8"/>
      <c r="G11225" s="11"/>
    </row>
    <row r="11226" spans="3:7" x14ac:dyDescent="0.25">
      <c r="C11226" s="8"/>
      <c r="G11226" s="11"/>
    </row>
    <row r="11227" spans="3:7" x14ac:dyDescent="0.25">
      <c r="C11227" s="8"/>
      <c r="G11227" s="11"/>
    </row>
    <row r="11228" spans="3:7" x14ac:dyDescent="0.25">
      <c r="C11228" s="8"/>
      <c r="G11228" s="11"/>
    </row>
    <row r="11229" spans="3:7" x14ac:dyDescent="0.25">
      <c r="C11229" s="8"/>
      <c r="G11229" s="11"/>
    </row>
    <row r="11230" spans="3:7" x14ac:dyDescent="0.25">
      <c r="C11230" s="8"/>
      <c r="G11230" s="11"/>
    </row>
    <row r="11231" spans="3:7" x14ac:dyDescent="0.25">
      <c r="C11231" s="8"/>
      <c r="G11231" s="11"/>
    </row>
    <row r="11232" spans="3:7" x14ac:dyDescent="0.25">
      <c r="C11232" s="8"/>
      <c r="G11232" s="11"/>
    </row>
    <row r="11233" spans="3:7" x14ac:dyDescent="0.25">
      <c r="C11233" s="8"/>
      <c r="G11233" s="11"/>
    </row>
    <row r="11234" spans="3:7" x14ac:dyDescent="0.25">
      <c r="C11234" s="8"/>
      <c r="G11234" s="11"/>
    </row>
    <row r="11235" spans="3:7" x14ac:dyDescent="0.25">
      <c r="C11235" s="8"/>
      <c r="G11235" s="11"/>
    </row>
    <row r="11236" spans="3:7" x14ac:dyDescent="0.25">
      <c r="C11236" s="8"/>
      <c r="G11236" s="11"/>
    </row>
    <row r="11237" spans="3:7" x14ac:dyDescent="0.25">
      <c r="C11237" s="8"/>
      <c r="G11237" s="11"/>
    </row>
    <row r="11238" spans="3:7" x14ac:dyDescent="0.25">
      <c r="C11238" s="8"/>
      <c r="G11238" s="11"/>
    </row>
    <row r="11239" spans="3:7" x14ac:dyDescent="0.25">
      <c r="C11239" s="8"/>
      <c r="G11239" s="11"/>
    </row>
    <row r="11240" spans="3:7" x14ac:dyDescent="0.25">
      <c r="C11240" s="8"/>
      <c r="G11240" s="11"/>
    </row>
    <row r="11241" spans="3:7" x14ac:dyDescent="0.25">
      <c r="C11241" s="8"/>
      <c r="G11241" s="11"/>
    </row>
    <row r="11242" spans="3:7" x14ac:dyDescent="0.25">
      <c r="C11242" s="8"/>
      <c r="G11242" s="11"/>
    </row>
    <row r="11243" spans="3:7" x14ac:dyDescent="0.25">
      <c r="C11243" s="8"/>
      <c r="G11243" s="11"/>
    </row>
    <row r="11244" spans="3:7" x14ac:dyDescent="0.25">
      <c r="C11244" s="8"/>
      <c r="G11244" s="11"/>
    </row>
    <row r="11245" spans="3:7" x14ac:dyDescent="0.25">
      <c r="C11245" s="8"/>
      <c r="G11245" s="11"/>
    </row>
    <row r="11246" spans="3:7" x14ac:dyDescent="0.25">
      <c r="C11246" s="8"/>
      <c r="G11246" s="11"/>
    </row>
    <row r="11247" spans="3:7" x14ac:dyDescent="0.25">
      <c r="C11247" s="8"/>
      <c r="G11247" s="11"/>
    </row>
    <row r="11248" spans="3:7" x14ac:dyDescent="0.25">
      <c r="C11248" s="8"/>
      <c r="G11248" s="11"/>
    </row>
    <row r="11249" spans="3:7" x14ac:dyDescent="0.25">
      <c r="C11249" s="8"/>
      <c r="G11249" s="11"/>
    </row>
    <row r="11250" spans="3:7" x14ac:dyDescent="0.25">
      <c r="C11250" s="8"/>
      <c r="G11250" s="11"/>
    </row>
    <row r="11251" spans="3:7" x14ac:dyDescent="0.25">
      <c r="C11251" s="8"/>
      <c r="G11251" s="11"/>
    </row>
    <row r="11252" spans="3:7" x14ac:dyDescent="0.25">
      <c r="C11252" s="8"/>
      <c r="G11252" s="11"/>
    </row>
    <row r="11253" spans="3:7" x14ac:dyDescent="0.25">
      <c r="C11253" s="8"/>
      <c r="G11253" s="11"/>
    </row>
    <row r="11254" spans="3:7" x14ac:dyDescent="0.25">
      <c r="C11254" s="8"/>
      <c r="G11254" s="11"/>
    </row>
    <row r="11255" spans="3:7" x14ac:dyDescent="0.25">
      <c r="C11255" s="8"/>
      <c r="G11255" s="11"/>
    </row>
    <row r="11256" spans="3:7" x14ac:dyDescent="0.25">
      <c r="C11256" s="8"/>
      <c r="G11256" s="11"/>
    </row>
    <row r="11257" spans="3:7" x14ac:dyDescent="0.25">
      <c r="C11257" s="8"/>
      <c r="G11257" s="11"/>
    </row>
    <row r="11258" spans="3:7" x14ac:dyDescent="0.25">
      <c r="C11258" s="8"/>
      <c r="G11258" s="11"/>
    </row>
    <row r="11259" spans="3:7" x14ac:dyDescent="0.25">
      <c r="C11259" s="8"/>
      <c r="G11259" s="11"/>
    </row>
    <row r="11260" spans="3:7" x14ac:dyDescent="0.25">
      <c r="C11260" s="8"/>
      <c r="G11260" s="11"/>
    </row>
    <row r="11261" spans="3:7" x14ac:dyDescent="0.25">
      <c r="C11261" s="8"/>
      <c r="G11261" s="11"/>
    </row>
    <row r="11262" spans="3:7" x14ac:dyDescent="0.25">
      <c r="C11262" s="8"/>
      <c r="G11262" s="11"/>
    </row>
    <row r="11263" spans="3:7" x14ac:dyDescent="0.25">
      <c r="C11263" s="8"/>
      <c r="G11263" s="11"/>
    </row>
    <row r="11264" spans="3:7" x14ac:dyDescent="0.25">
      <c r="C11264" s="8"/>
      <c r="G11264" s="11"/>
    </row>
    <row r="11265" spans="3:7" x14ac:dyDescent="0.25">
      <c r="C11265" s="8"/>
      <c r="G11265" s="11"/>
    </row>
    <row r="11266" spans="3:7" x14ac:dyDescent="0.25">
      <c r="C11266" s="8"/>
      <c r="G11266" s="11"/>
    </row>
    <row r="11267" spans="3:7" x14ac:dyDescent="0.25">
      <c r="C11267" s="8"/>
      <c r="G11267" s="11"/>
    </row>
    <row r="11268" spans="3:7" x14ac:dyDescent="0.25">
      <c r="C11268" s="8"/>
      <c r="G11268" s="11"/>
    </row>
    <row r="11269" spans="3:7" x14ac:dyDescent="0.25">
      <c r="C11269" s="8"/>
      <c r="G11269" s="11"/>
    </row>
    <row r="11270" spans="3:7" x14ac:dyDescent="0.25">
      <c r="C11270" s="8"/>
      <c r="G11270" s="11"/>
    </row>
    <row r="11271" spans="3:7" x14ac:dyDescent="0.25">
      <c r="C11271" s="8"/>
      <c r="G11271" s="11"/>
    </row>
    <row r="11272" spans="3:7" x14ac:dyDescent="0.25">
      <c r="C11272" s="8"/>
      <c r="G11272" s="11"/>
    </row>
    <row r="11273" spans="3:7" x14ac:dyDescent="0.25">
      <c r="C11273" s="8"/>
      <c r="G11273" s="11"/>
    </row>
    <row r="11274" spans="3:7" x14ac:dyDescent="0.25">
      <c r="C11274" s="8"/>
      <c r="G11274" s="11"/>
    </row>
    <row r="11275" spans="3:7" x14ac:dyDescent="0.25">
      <c r="C11275" s="8"/>
      <c r="G11275" s="11"/>
    </row>
    <row r="11276" spans="3:7" x14ac:dyDescent="0.25">
      <c r="C11276" s="8"/>
      <c r="G11276" s="11"/>
    </row>
    <row r="11277" spans="3:7" x14ac:dyDescent="0.25">
      <c r="C11277" s="8"/>
      <c r="G11277" s="11"/>
    </row>
    <row r="11278" spans="3:7" x14ac:dyDescent="0.25">
      <c r="C11278" s="8"/>
      <c r="G11278" s="11"/>
    </row>
    <row r="11279" spans="3:7" x14ac:dyDescent="0.25">
      <c r="C11279" s="8"/>
      <c r="G11279" s="11"/>
    </row>
    <row r="11280" spans="3:7" x14ac:dyDescent="0.25">
      <c r="C11280" s="8"/>
      <c r="G11280" s="11"/>
    </row>
    <row r="11281" spans="3:7" x14ac:dyDescent="0.25">
      <c r="C11281" s="8"/>
      <c r="G11281" s="11"/>
    </row>
    <row r="11282" spans="3:7" x14ac:dyDescent="0.25">
      <c r="C11282" s="8"/>
      <c r="G11282" s="11"/>
    </row>
    <row r="11283" spans="3:7" x14ac:dyDescent="0.25">
      <c r="C11283" s="8"/>
      <c r="G11283" s="11"/>
    </row>
    <row r="11284" spans="3:7" x14ac:dyDescent="0.25">
      <c r="C11284" s="8"/>
      <c r="G11284" s="11"/>
    </row>
    <row r="11285" spans="3:7" x14ac:dyDescent="0.25">
      <c r="C11285" s="8"/>
      <c r="G11285" s="11"/>
    </row>
    <row r="11286" spans="3:7" x14ac:dyDescent="0.25">
      <c r="C11286" s="8"/>
      <c r="G11286" s="11"/>
    </row>
    <row r="11287" spans="3:7" x14ac:dyDescent="0.25">
      <c r="C11287" s="8"/>
      <c r="G11287" s="11"/>
    </row>
    <row r="11288" spans="3:7" x14ac:dyDescent="0.25">
      <c r="C11288" s="8"/>
      <c r="G11288" s="11"/>
    </row>
    <row r="11289" spans="3:7" x14ac:dyDescent="0.25">
      <c r="C11289" s="8"/>
      <c r="G11289" s="11"/>
    </row>
    <row r="11290" spans="3:7" x14ac:dyDescent="0.25">
      <c r="C11290" s="8"/>
      <c r="G11290" s="11"/>
    </row>
    <row r="11291" spans="3:7" x14ac:dyDescent="0.25">
      <c r="C11291" s="8"/>
      <c r="G11291" s="11"/>
    </row>
    <row r="11292" spans="3:7" x14ac:dyDescent="0.25">
      <c r="C11292" s="8"/>
      <c r="G11292" s="11"/>
    </row>
    <row r="11293" spans="3:7" x14ac:dyDescent="0.25">
      <c r="C11293" s="8"/>
      <c r="G11293" s="11"/>
    </row>
    <row r="11294" spans="3:7" x14ac:dyDescent="0.25">
      <c r="C11294" s="8"/>
      <c r="G11294" s="11"/>
    </row>
    <row r="11295" spans="3:7" x14ac:dyDescent="0.25">
      <c r="C11295" s="8"/>
      <c r="G11295" s="11"/>
    </row>
    <row r="11296" spans="3:7" x14ac:dyDescent="0.25">
      <c r="C11296" s="8"/>
      <c r="G11296" s="11"/>
    </row>
    <row r="11297" spans="3:7" x14ac:dyDescent="0.25">
      <c r="C11297" s="8"/>
      <c r="G11297" s="11"/>
    </row>
    <row r="11298" spans="3:7" x14ac:dyDescent="0.25">
      <c r="C11298" s="8"/>
      <c r="G11298" s="11"/>
    </row>
    <row r="11299" spans="3:7" x14ac:dyDescent="0.25">
      <c r="C11299" s="8"/>
      <c r="G11299" s="11"/>
    </row>
    <row r="11300" spans="3:7" x14ac:dyDescent="0.25">
      <c r="C11300" s="8"/>
      <c r="G11300" s="11"/>
    </row>
    <row r="11301" spans="3:7" x14ac:dyDescent="0.25">
      <c r="C11301" s="8"/>
      <c r="G11301" s="11"/>
    </row>
    <row r="11302" spans="3:7" x14ac:dyDescent="0.25">
      <c r="C11302" s="8"/>
      <c r="G11302" s="11"/>
    </row>
    <row r="11303" spans="3:7" x14ac:dyDescent="0.25">
      <c r="C11303" s="8"/>
      <c r="G11303" s="11"/>
    </row>
    <row r="11304" spans="3:7" x14ac:dyDescent="0.25">
      <c r="C11304" s="8"/>
      <c r="G11304" s="11"/>
    </row>
    <row r="11305" spans="3:7" x14ac:dyDescent="0.25">
      <c r="C11305" s="8"/>
      <c r="G11305" s="11"/>
    </row>
    <row r="11306" spans="3:7" x14ac:dyDescent="0.25">
      <c r="C11306" s="8"/>
      <c r="G11306" s="11"/>
    </row>
    <row r="11307" spans="3:7" x14ac:dyDescent="0.25">
      <c r="C11307" s="8"/>
      <c r="G11307" s="11"/>
    </row>
    <row r="11308" spans="3:7" x14ac:dyDescent="0.25">
      <c r="C11308" s="8"/>
      <c r="G11308" s="11"/>
    </row>
    <row r="11309" spans="3:7" x14ac:dyDescent="0.25">
      <c r="C11309" s="8"/>
      <c r="G11309" s="11"/>
    </row>
    <row r="11310" spans="3:7" x14ac:dyDescent="0.25">
      <c r="C11310" s="8"/>
      <c r="G11310" s="11"/>
    </row>
    <row r="11311" spans="3:7" x14ac:dyDescent="0.25">
      <c r="C11311" s="8"/>
      <c r="G11311" s="11"/>
    </row>
    <row r="11312" spans="3:7" x14ac:dyDescent="0.25">
      <c r="C11312" s="8"/>
      <c r="G11312" s="11"/>
    </row>
    <row r="11313" spans="3:7" x14ac:dyDescent="0.25">
      <c r="C11313" s="8"/>
      <c r="G11313" s="11"/>
    </row>
    <row r="11314" spans="3:7" x14ac:dyDescent="0.25">
      <c r="C11314" s="8"/>
      <c r="G11314" s="11"/>
    </row>
    <row r="11315" spans="3:7" x14ac:dyDescent="0.25">
      <c r="C11315" s="8"/>
      <c r="G11315" s="11"/>
    </row>
    <row r="11316" spans="3:7" x14ac:dyDescent="0.25">
      <c r="C11316" s="8"/>
      <c r="G11316" s="11"/>
    </row>
    <row r="11317" spans="3:7" x14ac:dyDescent="0.25">
      <c r="C11317" s="8"/>
      <c r="G11317" s="11"/>
    </row>
    <row r="11318" spans="3:7" x14ac:dyDescent="0.25">
      <c r="C11318" s="8"/>
      <c r="G11318" s="11"/>
    </row>
    <row r="11319" spans="3:7" x14ac:dyDescent="0.25">
      <c r="C11319" s="8"/>
      <c r="G11319" s="11"/>
    </row>
    <row r="11320" spans="3:7" x14ac:dyDescent="0.25">
      <c r="C11320" s="8"/>
      <c r="G11320" s="11"/>
    </row>
    <row r="11321" spans="3:7" x14ac:dyDescent="0.25">
      <c r="C11321" s="8"/>
      <c r="G11321" s="11"/>
    </row>
    <row r="11322" spans="3:7" x14ac:dyDescent="0.25">
      <c r="C11322" s="8"/>
      <c r="G11322" s="11"/>
    </row>
    <row r="11323" spans="3:7" x14ac:dyDescent="0.25">
      <c r="C11323" s="8"/>
      <c r="G11323" s="11"/>
    </row>
    <row r="11324" spans="3:7" x14ac:dyDescent="0.25">
      <c r="C11324" s="8"/>
      <c r="G11324" s="11"/>
    </row>
    <row r="11325" spans="3:7" x14ac:dyDescent="0.25">
      <c r="C11325" s="8"/>
      <c r="G11325" s="11"/>
    </row>
    <row r="11326" spans="3:7" x14ac:dyDescent="0.25">
      <c r="C11326" s="8"/>
      <c r="G11326" s="11"/>
    </row>
    <row r="11327" spans="3:7" x14ac:dyDescent="0.25">
      <c r="C11327" s="8"/>
      <c r="G11327" s="11"/>
    </row>
    <row r="11328" spans="3:7" x14ac:dyDescent="0.25">
      <c r="C11328" s="8"/>
      <c r="G11328" s="11"/>
    </row>
    <row r="11329" spans="3:7" x14ac:dyDescent="0.25">
      <c r="C11329" s="8"/>
      <c r="G11329" s="11"/>
    </row>
    <row r="11330" spans="3:7" x14ac:dyDescent="0.25">
      <c r="C11330" s="8"/>
      <c r="G11330" s="11"/>
    </row>
    <row r="11331" spans="3:7" x14ac:dyDescent="0.25">
      <c r="C11331" s="8"/>
      <c r="G11331" s="11"/>
    </row>
    <row r="11332" spans="3:7" x14ac:dyDescent="0.25">
      <c r="C11332" s="8"/>
      <c r="G11332" s="11"/>
    </row>
    <row r="11333" spans="3:7" x14ac:dyDescent="0.25">
      <c r="C11333" s="8"/>
      <c r="G11333" s="11"/>
    </row>
    <row r="11334" spans="3:7" x14ac:dyDescent="0.25">
      <c r="C11334" s="8"/>
      <c r="G11334" s="11"/>
    </row>
    <row r="11335" spans="3:7" x14ac:dyDescent="0.25">
      <c r="C11335" s="8"/>
      <c r="G11335" s="11"/>
    </row>
    <row r="11336" spans="3:7" x14ac:dyDescent="0.25">
      <c r="C11336" s="8"/>
      <c r="G11336" s="11"/>
    </row>
    <row r="11337" spans="3:7" x14ac:dyDescent="0.25">
      <c r="C11337" s="8"/>
      <c r="G11337" s="11"/>
    </row>
    <row r="11338" spans="3:7" x14ac:dyDescent="0.25">
      <c r="C11338" s="8"/>
      <c r="G11338" s="11"/>
    </row>
    <row r="11339" spans="3:7" x14ac:dyDescent="0.25">
      <c r="C11339" s="8"/>
      <c r="G11339" s="11"/>
    </row>
    <row r="11340" spans="3:7" x14ac:dyDescent="0.25">
      <c r="C11340" s="8"/>
      <c r="G11340" s="11"/>
    </row>
    <row r="11341" spans="3:7" x14ac:dyDescent="0.25">
      <c r="C11341" s="8"/>
      <c r="G11341" s="11"/>
    </row>
    <row r="11342" spans="3:7" x14ac:dyDescent="0.25">
      <c r="C11342" s="8"/>
      <c r="G11342" s="11"/>
    </row>
    <row r="11343" spans="3:7" x14ac:dyDescent="0.25">
      <c r="C11343" s="8"/>
      <c r="G11343" s="11"/>
    </row>
    <row r="11344" spans="3:7" x14ac:dyDescent="0.25">
      <c r="C11344" s="8"/>
      <c r="G11344" s="11"/>
    </row>
    <row r="11345" spans="3:7" x14ac:dyDescent="0.25">
      <c r="C11345" s="8"/>
      <c r="G11345" s="11"/>
    </row>
    <row r="11346" spans="3:7" x14ac:dyDescent="0.25">
      <c r="C11346" s="8"/>
      <c r="G11346" s="11"/>
    </row>
    <row r="11347" spans="3:7" x14ac:dyDescent="0.25">
      <c r="C11347" s="8"/>
      <c r="G11347" s="11"/>
    </row>
    <row r="11348" spans="3:7" x14ac:dyDescent="0.25">
      <c r="C11348" s="8"/>
      <c r="G11348" s="11"/>
    </row>
    <row r="11349" spans="3:7" x14ac:dyDescent="0.25">
      <c r="C11349" s="8"/>
      <c r="G11349" s="11"/>
    </row>
    <row r="11350" spans="3:7" x14ac:dyDescent="0.25">
      <c r="C11350" s="8"/>
      <c r="G11350" s="11"/>
    </row>
    <row r="11351" spans="3:7" x14ac:dyDescent="0.25">
      <c r="C11351" s="8"/>
      <c r="G11351" s="11"/>
    </row>
    <row r="11352" spans="3:7" x14ac:dyDescent="0.25">
      <c r="C11352" s="8"/>
      <c r="G11352" s="11"/>
    </row>
    <row r="11353" spans="3:7" x14ac:dyDescent="0.25">
      <c r="C11353" s="8"/>
      <c r="G11353" s="11"/>
    </row>
    <row r="11354" spans="3:7" x14ac:dyDescent="0.25">
      <c r="C11354" s="8"/>
      <c r="G11354" s="11"/>
    </row>
    <row r="11355" spans="3:7" x14ac:dyDescent="0.25">
      <c r="C11355" s="8"/>
      <c r="G11355" s="11"/>
    </row>
    <row r="11356" spans="3:7" x14ac:dyDescent="0.25">
      <c r="C11356" s="8"/>
      <c r="G11356" s="11"/>
    </row>
    <row r="11357" spans="3:7" x14ac:dyDescent="0.25">
      <c r="C11357" s="8"/>
      <c r="G11357" s="11"/>
    </row>
    <row r="11358" spans="3:7" x14ac:dyDescent="0.25">
      <c r="C11358" s="8"/>
      <c r="G11358" s="11"/>
    </row>
    <row r="11359" spans="3:7" x14ac:dyDescent="0.25">
      <c r="C11359" s="8"/>
      <c r="G11359" s="11"/>
    </row>
    <row r="11360" spans="3:7" x14ac:dyDescent="0.25">
      <c r="C11360" s="8"/>
      <c r="G11360" s="11"/>
    </row>
    <row r="11361" spans="3:7" x14ac:dyDescent="0.25">
      <c r="C11361" s="8"/>
      <c r="G11361" s="11"/>
    </row>
    <row r="11362" spans="3:7" x14ac:dyDescent="0.25">
      <c r="C11362" s="8"/>
      <c r="G11362" s="11"/>
    </row>
    <row r="11363" spans="3:7" x14ac:dyDescent="0.25">
      <c r="C11363" s="8"/>
      <c r="G11363" s="11"/>
    </row>
    <row r="11364" spans="3:7" x14ac:dyDescent="0.25">
      <c r="C11364" s="8"/>
      <c r="G11364" s="11"/>
    </row>
    <row r="11365" spans="3:7" x14ac:dyDescent="0.25">
      <c r="C11365" s="8"/>
      <c r="G11365" s="11"/>
    </row>
    <row r="11366" spans="3:7" x14ac:dyDescent="0.25">
      <c r="C11366" s="8"/>
      <c r="G11366" s="11"/>
    </row>
    <row r="11367" spans="3:7" x14ac:dyDescent="0.25">
      <c r="C11367" s="8"/>
      <c r="G11367" s="11"/>
    </row>
    <row r="11368" spans="3:7" x14ac:dyDescent="0.25">
      <c r="C11368" s="8"/>
      <c r="G11368" s="11"/>
    </row>
    <row r="11369" spans="3:7" x14ac:dyDescent="0.25">
      <c r="C11369" s="8"/>
      <c r="G11369" s="11"/>
    </row>
    <row r="11370" spans="3:7" x14ac:dyDescent="0.25">
      <c r="C11370" s="8"/>
      <c r="G11370" s="11"/>
    </row>
    <row r="11371" spans="3:7" x14ac:dyDescent="0.25">
      <c r="C11371" s="8"/>
      <c r="G11371" s="11"/>
    </row>
    <row r="11372" spans="3:7" x14ac:dyDescent="0.25">
      <c r="C11372" s="8"/>
      <c r="G11372" s="11"/>
    </row>
    <row r="11373" spans="3:7" x14ac:dyDescent="0.25">
      <c r="C11373" s="8"/>
      <c r="G11373" s="11"/>
    </row>
    <row r="11374" spans="3:7" x14ac:dyDescent="0.25">
      <c r="C11374" s="8"/>
      <c r="G11374" s="11"/>
    </row>
    <row r="11375" spans="3:7" x14ac:dyDescent="0.25">
      <c r="C11375" s="8"/>
      <c r="G11375" s="11"/>
    </row>
    <row r="11376" spans="3:7" x14ac:dyDescent="0.25">
      <c r="C11376" s="8"/>
      <c r="G11376" s="11"/>
    </row>
    <row r="11377" spans="3:7" x14ac:dyDescent="0.25">
      <c r="C11377" s="8"/>
      <c r="G11377" s="11"/>
    </row>
    <row r="11378" spans="3:7" x14ac:dyDescent="0.25">
      <c r="C11378" s="8"/>
      <c r="G11378" s="11"/>
    </row>
    <row r="11379" spans="3:7" x14ac:dyDescent="0.25">
      <c r="C11379" s="8"/>
      <c r="G11379" s="11"/>
    </row>
    <row r="11380" spans="3:7" x14ac:dyDescent="0.25">
      <c r="C11380" s="8"/>
      <c r="G11380" s="11"/>
    </row>
    <row r="11381" spans="3:7" x14ac:dyDescent="0.25">
      <c r="C11381" s="8"/>
      <c r="G11381" s="11"/>
    </row>
    <row r="11382" spans="3:7" x14ac:dyDescent="0.25">
      <c r="C11382" s="8"/>
      <c r="G11382" s="11"/>
    </row>
    <row r="11383" spans="3:7" x14ac:dyDescent="0.25">
      <c r="C11383" s="8"/>
      <c r="G11383" s="11"/>
    </row>
    <row r="11384" spans="3:7" x14ac:dyDescent="0.25">
      <c r="C11384" s="8"/>
      <c r="G11384" s="11"/>
    </row>
    <row r="11385" spans="3:7" x14ac:dyDescent="0.25">
      <c r="C11385" s="8"/>
      <c r="G11385" s="11"/>
    </row>
    <row r="11386" spans="3:7" x14ac:dyDescent="0.25">
      <c r="C11386" s="8"/>
      <c r="G11386" s="11"/>
    </row>
    <row r="11387" spans="3:7" x14ac:dyDescent="0.25">
      <c r="C11387" s="8"/>
      <c r="G11387" s="11"/>
    </row>
    <row r="11388" spans="3:7" x14ac:dyDescent="0.25">
      <c r="C11388" s="8"/>
      <c r="G11388" s="11"/>
    </row>
    <row r="11389" spans="3:7" x14ac:dyDescent="0.25">
      <c r="C11389" s="8"/>
      <c r="G11389" s="11"/>
    </row>
    <row r="11390" spans="3:7" x14ac:dyDescent="0.25">
      <c r="C11390" s="8"/>
      <c r="G11390" s="11"/>
    </row>
    <row r="11391" spans="3:7" x14ac:dyDescent="0.25">
      <c r="C11391" s="8"/>
      <c r="G11391" s="11"/>
    </row>
    <row r="11392" spans="3:7" x14ac:dyDescent="0.25">
      <c r="C11392" s="8"/>
      <c r="G11392" s="11"/>
    </row>
    <row r="11393" spans="3:7" x14ac:dyDescent="0.25">
      <c r="C11393" s="8"/>
      <c r="G11393" s="11"/>
    </row>
    <row r="11394" spans="3:7" x14ac:dyDescent="0.25">
      <c r="C11394" s="8"/>
      <c r="G11394" s="11"/>
    </row>
    <row r="11395" spans="3:7" x14ac:dyDescent="0.25">
      <c r="C11395" s="8"/>
      <c r="G11395" s="11"/>
    </row>
    <row r="11396" spans="3:7" x14ac:dyDescent="0.25">
      <c r="C11396" s="8"/>
      <c r="G11396" s="11"/>
    </row>
    <row r="11397" spans="3:7" x14ac:dyDescent="0.25">
      <c r="C11397" s="8"/>
      <c r="G11397" s="11"/>
    </row>
    <row r="11398" spans="3:7" x14ac:dyDescent="0.25">
      <c r="C11398" s="8"/>
      <c r="G11398" s="11"/>
    </row>
    <row r="11399" spans="3:7" x14ac:dyDescent="0.25">
      <c r="C11399" s="8"/>
      <c r="G11399" s="11"/>
    </row>
    <row r="11400" spans="3:7" x14ac:dyDescent="0.25">
      <c r="C11400" s="8"/>
      <c r="G11400" s="11"/>
    </row>
    <row r="11401" spans="3:7" x14ac:dyDescent="0.25">
      <c r="C11401" s="8"/>
      <c r="G11401" s="11"/>
    </row>
    <row r="11402" spans="3:7" x14ac:dyDescent="0.25">
      <c r="C11402" s="8"/>
      <c r="G11402" s="11"/>
    </row>
    <row r="11403" spans="3:7" x14ac:dyDescent="0.25">
      <c r="C11403" s="8"/>
      <c r="G11403" s="11"/>
    </row>
    <row r="11404" spans="3:7" x14ac:dyDescent="0.25">
      <c r="C11404" s="8"/>
      <c r="G11404" s="11"/>
    </row>
    <row r="11405" spans="3:7" x14ac:dyDescent="0.25">
      <c r="C11405" s="8"/>
      <c r="G11405" s="11"/>
    </row>
    <row r="11406" spans="3:7" x14ac:dyDescent="0.25">
      <c r="C11406" s="8"/>
      <c r="G11406" s="11"/>
    </row>
    <row r="11407" spans="3:7" x14ac:dyDescent="0.25">
      <c r="C11407" s="8"/>
      <c r="G11407" s="11"/>
    </row>
    <row r="11408" spans="3:7" x14ac:dyDescent="0.25">
      <c r="C11408" s="8"/>
      <c r="G11408" s="11"/>
    </row>
    <row r="11409" spans="3:7" x14ac:dyDescent="0.25">
      <c r="C11409" s="8"/>
      <c r="G11409" s="11"/>
    </row>
    <row r="11410" spans="3:7" x14ac:dyDescent="0.25">
      <c r="C11410" s="8"/>
      <c r="G11410" s="11"/>
    </row>
    <row r="11411" spans="3:7" x14ac:dyDescent="0.25">
      <c r="C11411" s="8"/>
      <c r="G11411" s="11"/>
    </row>
    <row r="11412" spans="3:7" x14ac:dyDescent="0.25">
      <c r="C11412" s="8"/>
      <c r="G11412" s="11"/>
    </row>
    <row r="11413" spans="3:7" x14ac:dyDescent="0.25">
      <c r="C11413" s="8"/>
      <c r="G11413" s="11"/>
    </row>
    <row r="11414" spans="3:7" x14ac:dyDescent="0.25">
      <c r="C11414" s="8"/>
      <c r="G11414" s="11"/>
    </row>
    <row r="11415" spans="3:7" x14ac:dyDescent="0.25">
      <c r="C11415" s="8"/>
      <c r="G11415" s="11"/>
    </row>
    <row r="11416" spans="3:7" x14ac:dyDescent="0.25">
      <c r="C11416" s="8"/>
      <c r="G11416" s="11"/>
    </row>
    <row r="11417" spans="3:7" x14ac:dyDescent="0.25">
      <c r="C11417" s="8"/>
      <c r="G11417" s="11"/>
    </row>
    <row r="11418" spans="3:7" x14ac:dyDescent="0.25">
      <c r="C11418" s="8"/>
      <c r="G11418" s="11"/>
    </row>
    <row r="11419" spans="3:7" x14ac:dyDescent="0.25">
      <c r="C11419" s="8"/>
      <c r="G11419" s="11"/>
    </row>
    <row r="11420" spans="3:7" x14ac:dyDescent="0.25">
      <c r="C11420" s="8"/>
      <c r="G11420" s="11"/>
    </row>
    <row r="11421" spans="3:7" x14ac:dyDescent="0.25">
      <c r="C11421" s="8"/>
      <c r="G11421" s="11"/>
    </row>
    <row r="11422" spans="3:7" x14ac:dyDescent="0.25">
      <c r="C11422" s="8"/>
      <c r="G11422" s="11"/>
    </row>
    <row r="11423" spans="3:7" x14ac:dyDescent="0.25">
      <c r="C11423" s="8"/>
      <c r="G11423" s="11"/>
    </row>
    <row r="11424" spans="3:7" x14ac:dyDescent="0.25">
      <c r="C11424" s="8"/>
      <c r="G11424" s="11"/>
    </row>
    <row r="11425" spans="3:7" x14ac:dyDescent="0.25">
      <c r="C11425" s="8"/>
      <c r="G11425" s="11"/>
    </row>
    <row r="11426" spans="3:7" x14ac:dyDescent="0.25">
      <c r="C11426" s="8"/>
      <c r="G11426" s="11"/>
    </row>
    <row r="11427" spans="3:7" x14ac:dyDescent="0.25">
      <c r="C11427" s="8"/>
      <c r="G11427" s="11"/>
    </row>
    <row r="11428" spans="3:7" x14ac:dyDescent="0.25">
      <c r="C11428" s="8"/>
      <c r="G11428" s="11"/>
    </row>
    <row r="11429" spans="3:7" x14ac:dyDescent="0.25">
      <c r="C11429" s="8"/>
      <c r="G11429" s="11"/>
    </row>
    <row r="11430" spans="3:7" x14ac:dyDescent="0.25">
      <c r="C11430" s="8"/>
      <c r="G11430" s="11"/>
    </row>
    <row r="11431" spans="3:7" x14ac:dyDescent="0.25">
      <c r="C11431" s="8"/>
      <c r="G11431" s="11"/>
    </row>
    <row r="11432" spans="3:7" x14ac:dyDescent="0.25">
      <c r="C11432" s="8"/>
      <c r="G11432" s="11"/>
    </row>
    <row r="11433" spans="3:7" x14ac:dyDescent="0.25">
      <c r="C11433" s="8"/>
      <c r="G11433" s="11"/>
    </row>
    <row r="11434" spans="3:7" x14ac:dyDescent="0.25">
      <c r="C11434" s="8"/>
      <c r="G11434" s="11"/>
    </row>
    <row r="11435" spans="3:7" x14ac:dyDescent="0.25">
      <c r="C11435" s="8"/>
      <c r="G11435" s="11"/>
    </row>
    <row r="11436" spans="3:7" x14ac:dyDescent="0.25">
      <c r="C11436" s="8"/>
      <c r="G11436" s="11"/>
    </row>
    <row r="11437" spans="3:7" x14ac:dyDescent="0.25">
      <c r="C11437" s="8"/>
      <c r="G11437" s="11"/>
    </row>
    <row r="11438" spans="3:7" x14ac:dyDescent="0.25">
      <c r="C11438" s="8"/>
      <c r="G11438" s="11"/>
    </row>
    <row r="11439" spans="3:7" x14ac:dyDescent="0.25">
      <c r="C11439" s="8"/>
      <c r="G11439" s="11"/>
    </row>
    <row r="11440" spans="3:7" x14ac:dyDescent="0.25">
      <c r="C11440" s="8"/>
      <c r="G11440" s="11"/>
    </row>
    <row r="11441" spans="3:7" x14ac:dyDescent="0.25">
      <c r="C11441" s="8"/>
      <c r="G11441" s="11"/>
    </row>
    <row r="11442" spans="3:7" x14ac:dyDescent="0.25">
      <c r="C11442" s="8"/>
      <c r="G11442" s="11"/>
    </row>
    <row r="11443" spans="3:7" x14ac:dyDescent="0.25">
      <c r="C11443" s="8"/>
      <c r="G11443" s="11"/>
    </row>
    <row r="11444" spans="3:7" x14ac:dyDescent="0.25">
      <c r="C11444" s="8"/>
      <c r="G11444" s="11"/>
    </row>
    <row r="11445" spans="3:7" x14ac:dyDescent="0.25">
      <c r="C11445" s="8"/>
      <c r="G11445" s="11"/>
    </row>
    <row r="11446" spans="3:7" x14ac:dyDescent="0.25">
      <c r="C11446" s="8"/>
      <c r="G11446" s="11"/>
    </row>
    <row r="11447" spans="3:7" x14ac:dyDescent="0.25">
      <c r="C11447" s="8"/>
      <c r="G11447" s="11"/>
    </row>
    <row r="11448" spans="3:7" x14ac:dyDescent="0.25">
      <c r="C11448" s="8"/>
      <c r="G11448" s="11"/>
    </row>
    <row r="11449" spans="3:7" x14ac:dyDescent="0.25">
      <c r="C11449" s="8"/>
      <c r="G11449" s="11"/>
    </row>
    <row r="11450" spans="3:7" x14ac:dyDescent="0.25">
      <c r="C11450" s="8"/>
      <c r="G11450" s="11"/>
    </row>
    <row r="11451" spans="3:7" x14ac:dyDescent="0.25">
      <c r="C11451" s="8"/>
      <c r="G11451" s="11"/>
    </row>
    <row r="11452" spans="3:7" x14ac:dyDescent="0.25">
      <c r="C11452" s="8"/>
      <c r="G11452" s="11"/>
    </row>
    <row r="11453" spans="3:7" x14ac:dyDescent="0.25">
      <c r="C11453" s="8"/>
      <c r="G11453" s="11"/>
    </row>
    <row r="11454" spans="3:7" x14ac:dyDescent="0.25">
      <c r="C11454" s="8"/>
      <c r="G11454" s="11"/>
    </row>
    <row r="11455" spans="3:7" x14ac:dyDescent="0.25">
      <c r="C11455" s="8"/>
      <c r="G11455" s="11"/>
    </row>
    <row r="11456" spans="3:7" x14ac:dyDescent="0.25">
      <c r="C11456" s="8"/>
      <c r="G11456" s="11"/>
    </row>
    <row r="11457" spans="3:7" x14ac:dyDescent="0.25">
      <c r="C11457" s="8"/>
      <c r="G11457" s="11"/>
    </row>
    <row r="11458" spans="3:7" x14ac:dyDescent="0.25">
      <c r="C11458" s="8"/>
      <c r="G11458" s="11"/>
    </row>
    <row r="11459" spans="3:7" x14ac:dyDescent="0.25">
      <c r="C11459" s="8"/>
      <c r="G11459" s="11"/>
    </row>
    <row r="11460" spans="3:7" x14ac:dyDescent="0.25">
      <c r="C11460" s="8"/>
      <c r="G11460" s="11"/>
    </row>
    <row r="11461" spans="3:7" x14ac:dyDescent="0.25">
      <c r="C11461" s="8"/>
      <c r="G11461" s="11"/>
    </row>
    <row r="11462" spans="3:7" x14ac:dyDescent="0.25">
      <c r="C11462" s="8"/>
      <c r="G11462" s="11"/>
    </row>
    <row r="11463" spans="3:7" x14ac:dyDescent="0.25">
      <c r="C11463" s="8"/>
      <c r="G11463" s="11"/>
    </row>
    <row r="11464" spans="3:7" x14ac:dyDescent="0.25">
      <c r="C11464" s="8"/>
      <c r="G11464" s="11"/>
    </row>
    <row r="11465" spans="3:7" x14ac:dyDescent="0.25">
      <c r="C11465" s="8"/>
      <c r="G11465" s="11"/>
    </row>
    <row r="11466" spans="3:7" x14ac:dyDescent="0.25">
      <c r="C11466" s="8"/>
      <c r="G11466" s="11"/>
    </row>
    <row r="11467" spans="3:7" x14ac:dyDescent="0.25">
      <c r="C11467" s="8"/>
      <c r="G11467" s="11"/>
    </row>
    <row r="11468" spans="3:7" x14ac:dyDescent="0.25">
      <c r="C11468" s="8"/>
      <c r="G11468" s="11"/>
    </row>
    <row r="11469" spans="3:7" x14ac:dyDescent="0.25">
      <c r="C11469" s="8"/>
      <c r="G11469" s="11"/>
    </row>
    <row r="11470" spans="3:7" x14ac:dyDescent="0.25">
      <c r="C11470" s="8"/>
      <c r="G11470" s="11"/>
    </row>
    <row r="11471" spans="3:7" x14ac:dyDescent="0.25">
      <c r="C11471" s="8"/>
      <c r="G11471" s="11"/>
    </row>
    <row r="11472" spans="3:7" x14ac:dyDescent="0.25">
      <c r="C11472" s="8"/>
      <c r="G11472" s="11"/>
    </row>
    <row r="11473" spans="3:7" x14ac:dyDescent="0.25">
      <c r="C11473" s="8"/>
      <c r="G11473" s="11"/>
    </row>
    <row r="11474" spans="3:7" x14ac:dyDescent="0.25">
      <c r="C11474" s="8"/>
      <c r="G11474" s="11"/>
    </row>
    <row r="11475" spans="3:7" x14ac:dyDescent="0.25">
      <c r="C11475" s="8"/>
      <c r="G11475" s="11"/>
    </row>
    <row r="11476" spans="3:7" x14ac:dyDescent="0.25">
      <c r="C11476" s="8"/>
      <c r="G11476" s="11"/>
    </row>
    <row r="11477" spans="3:7" x14ac:dyDescent="0.25">
      <c r="C11477" s="8"/>
      <c r="G11477" s="11"/>
    </row>
    <row r="11478" spans="3:7" x14ac:dyDescent="0.25">
      <c r="C11478" s="8"/>
      <c r="G11478" s="11"/>
    </row>
    <row r="11479" spans="3:7" x14ac:dyDescent="0.25">
      <c r="C11479" s="8"/>
      <c r="G11479" s="11"/>
    </row>
    <row r="11480" spans="3:7" x14ac:dyDescent="0.25">
      <c r="C11480" s="8"/>
      <c r="G11480" s="11"/>
    </row>
    <row r="11481" spans="3:7" x14ac:dyDescent="0.25">
      <c r="C11481" s="8"/>
      <c r="G11481" s="11"/>
    </row>
    <row r="11482" spans="3:7" x14ac:dyDescent="0.25">
      <c r="C11482" s="8"/>
      <c r="G11482" s="11"/>
    </row>
    <row r="11483" spans="3:7" x14ac:dyDescent="0.25">
      <c r="C11483" s="8"/>
      <c r="G11483" s="11"/>
    </row>
    <row r="11484" spans="3:7" x14ac:dyDescent="0.25">
      <c r="C11484" s="8"/>
      <c r="G11484" s="11"/>
    </row>
    <row r="11485" spans="3:7" x14ac:dyDescent="0.25">
      <c r="C11485" s="8"/>
      <c r="G11485" s="11"/>
    </row>
    <row r="11486" spans="3:7" x14ac:dyDescent="0.25">
      <c r="C11486" s="8"/>
      <c r="G11486" s="11"/>
    </row>
    <row r="11487" spans="3:7" x14ac:dyDescent="0.25">
      <c r="C11487" s="8"/>
      <c r="G11487" s="11"/>
    </row>
    <row r="11488" spans="3:7" x14ac:dyDescent="0.25">
      <c r="C11488" s="8"/>
      <c r="G11488" s="11"/>
    </row>
    <row r="11489" spans="3:7" x14ac:dyDescent="0.25">
      <c r="C11489" s="8"/>
      <c r="G11489" s="11"/>
    </row>
    <row r="11490" spans="3:7" x14ac:dyDescent="0.25">
      <c r="C11490" s="8"/>
      <c r="G11490" s="11"/>
    </row>
    <row r="11491" spans="3:7" x14ac:dyDescent="0.25">
      <c r="C11491" s="8"/>
      <c r="G11491" s="11"/>
    </row>
    <row r="11492" spans="3:7" x14ac:dyDescent="0.25">
      <c r="C11492" s="8"/>
      <c r="G11492" s="11"/>
    </row>
    <row r="11493" spans="3:7" x14ac:dyDescent="0.25">
      <c r="C11493" s="8"/>
      <c r="G11493" s="11"/>
    </row>
    <row r="11494" spans="3:7" x14ac:dyDescent="0.25">
      <c r="C11494" s="8"/>
      <c r="G11494" s="11"/>
    </row>
    <row r="11495" spans="3:7" x14ac:dyDescent="0.25">
      <c r="C11495" s="8"/>
      <c r="G11495" s="11"/>
    </row>
    <row r="11496" spans="3:7" x14ac:dyDescent="0.25">
      <c r="C11496" s="8"/>
      <c r="G11496" s="11"/>
    </row>
    <row r="11497" spans="3:7" x14ac:dyDescent="0.25">
      <c r="C11497" s="8"/>
      <c r="G11497" s="11"/>
    </row>
    <row r="11498" spans="3:7" x14ac:dyDescent="0.25">
      <c r="C11498" s="8"/>
      <c r="G11498" s="11"/>
    </row>
    <row r="11499" spans="3:7" x14ac:dyDescent="0.25">
      <c r="C11499" s="8"/>
      <c r="G11499" s="11"/>
    </row>
    <row r="11500" spans="3:7" x14ac:dyDescent="0.25">
      <c r="C11500" s="8"/>
      <c r="G11500" s="11"/>
    </row>
    <row r="11501" spans="3:7" x14ac:dyDescent="0.25">
      <c r="C11501" s="8"/>
      <c r="G11501" s="11"/>
    </row>
    <row r="11502" spans="3:7" x14ac:dyDescent="0.25">
      <c r="C11502" s="8"/>
      <c r="G11502" s="11"/>
    </row>
    <row r="11503" spans="3:7" x14ac:dyDescent="0.25">
      <c r="C11503" s="8"/>
      <c r="G11503" s="11"/>
    </row>
    <row r="11504" spans="3:7" x14ac:dyDescent="0.25">
      <c r="C11504" s="8"/>
      <c r="G11504" s="11"/>
    </row>
    <row r="11505" spans="3:7" x14ac:dyDescent="0.25">
      <c r="C11505" s="8"/>
      <c r="G11505" s="11"/>
    </row>
    <row r="11506" spans="3:7" x14ac:dyDescent="0.25">
      <c r="C11506" s="8"/>
      <c r="G11506" s="11"/>
    </row>
    <row r="11507" spans="3:7" x14ac:dyDescent="0.25">
      <c r="C11507" s="8"/>
      <c r="G11507" s="11"/>
    </row>
    <row r="11508" spans="3:7" x14ac:dyDescent="0.25">
      <c r="C11508" s="8"/>
      <c r="G11508" s="11"/>
    </row>
    <row r="11509" spans="3:7" x14ac:dyDescent="0.25">
      <c r="C11509" s="8"/>
      <c r="G11509" s="11"/>
    </row>
    <row r="11510" spans="3:7" x14ac:dyDescent="0.25">
      <c r="C11510" s="8"/>
      <c r="G11510" s="11"/>
    </row>
    <row r="11511" spans="3:7" x14ac:dyDescent="0.25">
      <c r="C11511" s="8"/>
      <c r="G11511" s="11"/>
    </row>
    <row r="11512" spans="3:7" x14ac:dyDescent="0.25">
      <c r="C11512" s="8"/>
      <c r="G11512" s="11"/>
    </row>
    <row r="11513" spans="3:7" x14ac:dyDescent="0.25">
      <c r="C11513" s="8"/>
      <c r="G11513" s="11"/>
    </row>
    <row r="11514" spans="3:7" x14ac:dyDescent="0.25">
      <c r="C11514" s="8"/>
      <c r="G11514" s="11"/>
    </row>
    <row r="11515" spans="3:7" x14ac:dyDescent="0.25">
      <c r="C11515" s="8"/>
      <c r="G11515" s="11"/>
    </row>
    <row r="11516" spans="3:7" x14ac:dyDescent="0.25">
      <c r="C11516" s="8"/>
      <c r="G11516" s="11"/>
    </row>
    <row r="11517" spans="3:7" x14ac:dyDescent="0.25">
      <c r="C11517" s="8"/>
      <c r="G11517" s="11"/>
    </row>
    <row r="11518" spans="3:7" x14ac:dyDescent="0.25">
      <c r="C11518" s="8"/>
      <c r="G11518" s="11"/>
    </row>
    <row r="11519" spans="3:7" x14ac:dyDescent="0.25">
      <c r="C11519" s="8"/>
      <c r="G11519" s="11"/>
    </row>
    <row r="11520" spans="3:7" x14ac:dyDescent="0.25">
      <c r="C11520" s="8"/>
      <c r="G11520" s="11"/>
    </row>
    <row r="11521" spans="3:7" x14ac:dyDescent="0.25">
      <c r="C11521" s="8"/>
      <c r="G11521" s="11"/>
    </row>
    <row r="11522" spans="3:7" x14ac:dyDescent="0.25">
      <c r="C11522" s="8"/>
      <c r="G11522" s="11"/>
    </row>
    <row r="11523" spans="3:7" x14ac:dyDescent="0.25">
      <c r="C11523" s="8"/>
      <c r="G11523" s="11"/>
    </row>
    <row r="11524" spans="3:7" x14ac:dyDescent="0.25">
      <c r="C11524" s="8"/>
      <c r="G11524" s="11"/>
    </row>
    <row r="11525" spans="3:7" x14ac:dyDescent="0.25">
      <c r="C11525" s="8"/>
      <c r="G11525" s="11"/>
    </row>
    <row r="11526" spans="3:7" x14ac:dyDescent="0.25">
      <c r="C11526" s="8"/>
      <c r="G11526" s="11"/>
    </row>
    <row r="11527" spans="3:7" x14ac:dyDescent="0.25">
      <c r="C11527" s="8"/>
      <c r="G11527" s="11"/>
    </row>
    <row r="11528" spans="3:7" x14ac:dyDescent="0.25">
      <c r="C11528" s="8"/>
      <c r="G11528" s="11"/>
    </row>
    <row r="11529" spans="3:7" x14ac:dyDescent="0.25">
      <c r="C11529" s="8"/>
      <c r="G11529" s="11"/>
    </row>
    <row r="11530" spans="3:7" x14ac:dyDescent="0.25">
      <c r="C11530" s="8"/>
      <c r="G11530" s="11"/>
    </row>
    <row r="11531" spans="3:7" x14ac:dyDescent="0.25">
      <c r="C11531" s="8"/>
      <c r="G11531" s="11"/>
    </row>
    <row r="11532" spans="3:7" x14ac:dyDescent="0.25">
      <c r="C11532" s="8"/>
      <c r="G11532" s="11"/>
    </row>
    <row r="11533" spans="3:7" x14ac:dyDescent="0.25">
      <c r="C11533" s="8"/>
      <c r="G11533" s="11"/>
    </row>
    <row r="11534" spans="3:7" x14ac:dyDescent="0.25">
      <c r="C11534" s="8"/>
      <c r="G11534" s="11"/>
    </row>
    <row r="11535" spans="3:7" x14ac:dyDescent="0.25">
      <c r="C11535" s="8"/>
      <c r="G11535" s="11"/>
    </row>
    <row r="11536" spans="3:7" x14ac:dyDescent="0.25">
      <c r="C11536" s="8"/>
      <c r="G11536" s="11"/>
    </row>
    <row r="11537" spans="3:7" x14ac:dyDescent="0.25">
      <c r="C11537" s="8"/>
      <c r="G11537" s="11"/>
    </row>
    <row r="11538" spans="3:7" x14ac:dyDescent="0.25">
      <c r="C11538" s="8"/>
      <c r="G11538" s="11"/>
    </row>
    <row r="11539" spans="3:7" x14ac:dyDescent="0.25">
      <c r="C11539" s="8"/>
      <c r="G11539" s="11"/>
    </row>
    <row r="11540" spans="3:7" x14ac:dyDescent="0.25">
      <c r="C11540" s="8"/>
      <c r="G11540" s="11"/>
    </row>
    <row r="11541" spans="3:7" x14ac:dyDescent="0.25">
      <c r="C11541" s="8"/>
      <c r="G11541" s="11"/>
    </row>
    <row r="11542" spans="3:7" x14ac:dyDescent="0.25">
      <c r="C11542" s="8"/>
      <c r="G11542" s="11"/>
    </row>
    <row r="11543" spans="3:7" x14ac:dyDescent="0.25">
      <c r="C11543" s="8"/>
      <c r="G11543" s="11"/>
    </row>
    <row r="11544" spans="3:7" x14ac:dyDescent="0.25">
      <c r="C11544" s="8"/>
      <c r="G11544" s="11"/>
    </row>
    <row r="11545" spans="3:7" x14ac:dyDescent="0.25">
      <c r="C11545" s="8"/>
      <c r="G11545" s="11"/>
    </row>
    <row r="11546" spans="3:7" x14ac:dyDescent="0.25">
      <c r="C11546" s="8"/>
      <c r="G11546" s="11"/>
    </row>
    <row r="11547" spans="3:7" x14ac:dyDescent="0.25">
      <c r="C11547" s="8"/>
      <c r="G11547" s="11"/>
    </row>
    <row r="11548" spans="3:7" x14ac:dyDescent="0.25">
      <c r="C11548" s="8"/>
      <c r="G11548" s="11"/>
    </row>
    <row r="11549" spans="3:7" x14ac:dyDescent="0.25">
      <c r="C11549" s="8"/>
      <c r="G11549" s="11"/>
    </row>
    <row r="11550" spans="3:7" x14ac:dyDescent="0.25">
      <c r="C11550" s="8"/>
      <c r="G11550" s="11"/>
    </row>
    <row r="11551" spans="3:7" x14ac:dyDescent="0.25">
      <c r="C11551" s="8"/>
      <c r="G11551" s="11"/>
    </row>
    <row r="11552" spans="3:7" x14ac:dyDescent="0.25">
      <c r="C11552" s="8"/>
      <c r="G11552" s="11"/>
    </row>
    <row r="11553" spans="3:7" x14ac:dyDescent="0.25">
      <c r="C11553" s="8"/>
      <c r="G11553" s="11"/>
    </row>
    <row r="11554" spans="3:7" x14ac:dyDescent="0.25">
      <c r="C11554" s="8"/>
      <c r="G11554" s="11"/>
    </row>
    <row r="11555" spans="3:7" x14ac:dyDescent="0.25">
      <c r="C11555" s="8"/>
      <c r="G11555" s="11"/>
    </row>
    <row r="11556" spans="3:7" x14ac:dyDescent="0.25">
      <c r="C11556" s="8"/>
      <c r="G11556" s="11"/>
    </row>
    <row r="11557" spans="3:7" x14ac:dyDescent="0.25">
      <c r="C11557" s="8"/>
      <c r="G11557" s="11"/>
    </row>
    <row r="11558" spans="3:7" x14ac:dyDescent="0.25">
      <c r="C11558" s="8"/>
      <c r="G11558" s="11"/>
    </row>
    <row r="11559" spans="3:7" x14ac:dyDescent="0.25">
      <c r="C11559" s="8"/>
      <c r="G11559" s="11"/>
    </row>
    <row r="11560" spans="3:7" x14ac:dyDescent="0.25">
      <c r="C11560" s="8"/>
      <c r="G11560" s="11"/>
    </row>
    <row r="11561" spans="3:7" x14ac:dyDescent="0.25">
      <c r="C11561" s="8"/>
      <c r="G11561" s="11"/>
    </row>
    <row r="11562" spans="3:7" x14ac:dyDescent="0.25">
      <c r="C11562" s="8"/>
      <c r="G11562" s="11"/>
    </row>
    <row r="11563" spans="3:7" x14ac:dyDescent="0.25">
      <c r="C11563" s="8"/>
      <c r="G11563" s="11"/>
    </row>
    <row r="11564" spans="3:7" x14ac:dyDescent="0.25">
      <c r="C11564" s="8"/>
      <c r="G11564" s="11"/>
    </row>
    <row r="11565" spans="3:7" x14ac:dyDescent="0.25">
      <c r="C11565" s="8"/>
      <c r="G11565" s="11"/>
    </row>
    <row r="11566" spans="3:7" x14ac:dyDescent="0.25">
      <c r="C11566" s="8"/>
      <c r="G11566" s="11"/>
    </row>
    <row r="11567" spans="3:7" x14ac:dyDescent="0.25">
      <c r="C11567" s="8"/>
      <c r="G11567" s="11"/>
    </row>
    <row r="11568" spans="3:7" x14ac:dyDescent="0.25">
      <c r="C11568" s="8"/>
      <c r="G11568" s="11"/>
    </row>
    <row r="11569" spans="3:7" x14ac:dyDescent="0.25">
      <c r="C11569" s="8"/>
      <c r="G11569" s="11"/>
    </row>
    <row r="11570" spans="3:7" x14ac:dyDescent="0.25">
      <c r="C11570" s="8"/>
      <c r="G11570" s="11"/>
    </row>
    <row r="11571" spans="3:7" x14ac:dyDescent="0.25">
      <c r="C11571" s="8"/>
      <c r="G11571" s="11"/>
    </row>
    <row r="11572" spans="3:7" x14ac:dyDescent="0.25">
      <c r="C11572" s="8"/>
      <c r="G11572" s="11"/>
    </row>
    <row r="11573" spans="3:7" x14ac:dyDescent="0.25">
      <c r="C11573" s="8"/>
      <c r="G11573" s="11"/>
    </row>
    <row r="11574" spans="3:7" x14ac:dyDescent="0.25">
      <c r="C11574" s="8"/>
      <c r="G11574" s="11"/>
    </row>
    <row r="11575" spans="3:7" x14ac:dyDescent="0.25">
      <c r="C11575" s="8"/>
      <c r="G11575" s="11"/>
    </row>
    <row r="11576" spans="3:7" x14ac:dyDescent="0.25">
      <c r="C11576" s="8"/>
      <c r="G11576" s="11"/>
    </row>
    <row r="11577" spans="3:7" x14ac:dyDescent="0.25">
      <c r="C11577" s="8"/>
      <c r="G11577" s="11"/>
    </row>
    <row r="11578" spans="3:7" x14ac:dyDescent="0.25">
      <c r="C11578" s="8"/>
      <c r="G11578" s="11"/>
    </row>
    <row r="11579" spans="3:7" x14ac:dyDescent="0.25">
      <c r="C11579" s="8"/>
      <c r="G11579" s="11"/>
    </row>
    <row r="11580" spans="3:7" x14ac:dyDescent="0.25">
      <c r="C11580" s="8"/>
      <c r="G11580" s="11"/>
    </row>
    <row r="11581" spans="3:7" x14ac:dyDescent="0.25">
      <c r="C11581" s="8"/>
      <c r="G11581" s="11"/>
    </row>
    <row r="11582" spans="3:7" x14ac:dyDescent="0.25">
      <c r="C11582" s="8"/>
      <c r="G11582" s="11"/>
    </row>
    <row r="11583" spans="3:7" x14ac:dyDescent="0.25">
      <c r="C11583" s="8"/>
      <c r="G11583" s="11"/>
    </row>
    <row r="11584" spans="3:7" x14ac:dyDescent="0.25">
      <c r="C11584" s="8"/>
      <c r="G11584" s="11"/>
    </row>
    <row r="11585" spans="3:7" x14ac:dyDescent="0.25">
      <c r="C11585" s="8"/>
      <c r="G11585" s="11"/>
    </row>
    <row r="11586" spans="3:7" x14ac:dyDescent="0.25">
      <c r="C11586" s="8"/>
      <c r="G11586" s="11"/>
    </row>
    <row r="11587" spans="3:7" x14ac:dyDescent="0.25">
      <c r="C11587" s="8"/>
      <c r="G11587" s="11"/>
    </row>
    <row r="11588" spans="3:7" x14ac:dyDescent="0.25">
      <c r="C11588" s="8"/>
      <c r="G11588" s="11"/>
    </row>
    <row r="11589" spans="3:7" x14ac:dyDescent="0.25">
      <c r="C11589" s="8"/>
      <c r="G11589" s="11"/>
    </row>
    <row r="11590" spans="3:7" x14ac:dyDescent="0.25">
      <c r="C11590" s="8"/>
      <c r="G11590" s="11"/>
    </row>
    <row r="11591" spans="3:7" x14ac:dyDescent="0.25">
      <c r="C11591" s="8"/>
      <c r="G11591" s="11"/>
    </row>
    <row r="11592" spans="3:7" x14ac:dyDescent="0.25">
      <c r="C11592" s="8"/>
      <c r="G11592" s="11"/>
    </row>
    <row r="11593" spans="3:7" x14ac:dyDescent="0.25">
      <c r="C11593" s="8"/>
      <c r="G11593" s="11"/>
    </row>
    <row r="11594" spans="3:7" x14ac:dyDescent="0.25">
      <c r="C11594" s="8"/>
      <c r="G11594" s="11"/>
    </row>
    <row r="11595" spans="3:7" x14ac:dyDescent="0.25">
      <c r="C11595" s="8"/>
      <c r="G11595" s="11"/>
    </row>
    <row r="11596" spans="3:7" x14ac:dyDescent="0.25">
      <c r="C11596" s="8"/>
      <c r="G11596" s="11"/>
    </row>
    <row r="11597" spans="3:7" x14ac:dyDescent="0.25">
      <c r="C11597" s="8"/>
      <c r="G11597" s="11"/>
    </row>
    <row r="11598" spans="3:7" x14ac:dyDescent="0.25">
      <c r="C11598" s="8"/>
      <c r="G11598" s="11"/>
    </row>
    <row r="11599" spans="3:7" x14ac:dyDescent="0.25">
      <c r="C11599" s="8"/>
      <c r="G11599" s="11"/>
    </row>
    <row r="11600" spans="3:7" x14ac:dyDescent="0.25">
      <c r="C11600" s="8"/>
      <c r="G11600" s="11"/>
    </row>
    <row r="11601" spans="3:7" x14ac:dyDescent="0.25">
      <c r="C11601" s="8"/>
      <c r="G11601" s="11"/>
    </row>
    <row r="11602" spans="3:7" x14ac:dyDescent="0.25">
      <c r="C11602" s="8"/>
      <c r="G11602" s="11"/>
    </row>
    <row r="11603" spans="3:7" x14ac:dyDescent="0.25">
      <c r="C11603" s="8"/>
      <c r="G11603" s="11"/>
    </row>
    <row r="11604" spans="3:7" x14ac:dyDescent="0.25">
      <c r="C11604" s="8"/>
      <c r="G11604" s="11"/>
    </row>
    <row r="11605" spans="3:7" x14ac:dyDescent="0.25">
      <c r="C11605" s="8"/>
      <c r="G11605" s="11"/>
    </row>
    <row r="11606" spans="3:7" x14ac:dyDescent="0.25">
      <c r="C11606" s="8"/>
      <c r="G11606" s="11"/>
    </row>
    <row r="11607" spans="3:7" x14ac:dyDescent="0.25">
      <c r="C11607" s="8"/>
      <c r="G11607" s="11"/>
    </row>
    <row r="11608" spans="3:7" x14ac:dyDescent="0.25">
      <c r="C11608" s="8"/>
      <c r="G11608" s="11"/>
    </row>
    <row r="11609" spans="3:7" x14ac:dyDescent="0.25">
      <c r="C11609" s="8"/>
      <c r="G11609" s="11"/>
    </row>
    <row r="11610" spans="3:7" x14ac:dyDescent="0.25">
      <c r="C11610" s="8"/>
      <c r="G11610" s="11"/>
    </row>
    <row r="11611" spans="3:7" x14ac:dyDescent="0.25">
      <c r="C11611" s="8"/>
      <c r="G11611" s="11"/>
    </row>
    <row r="11612" spans="3:7" x14ac:dyDescent="0.25">
      <c r="C11612" s="8"/>
      <c r="G11612" s="11"/>
    </row>
    <row r="11613" spans="3:7" x14ac:dyDescent="0.25">
      <c r="C11613" s="8"/>
      <c r="G11613" s="11"/>
    </row>
    <row r="11614" spans="3:7" x14ac:dyDescent="0.25">
      <c r="C11614" s="8"/>
      <c r="G11614" s="11"/>
    </row>
    <row r="11615" spans="3:7" x14ac:dyDescent="0.25">
      <c r="C11615" s="8"/>
      <c r="G11615" s="11"/>
    </row>
    <row r="11616" spans="3:7" x14ac:dyDescent="0.25">
      <c r="C11616" s="8"/>
      <c r="G11616" s="11"/>
    </row>
    <row r="11617" spans="3:7" x14ac:dyDescent="0.25">
      <c r="C11617" s="8"/>
      <c r="G11617" s="11"/>
    </row>
    <row r="11618" spans="3:7" x14ac:dyDescent="0.25">
      <c r="C11618" s="8"/>
      <c r="G11618" s="11"/>
    </row>
    <row r="11619" spans="3:7" x14ac:dyDescent="0.25">
      <c r="C11619" s="8"/>
      <c r="G11619" s="11"/>
    </row>
    <row r="11620" spans="3:7" x14ac:dyDescent="0.25">
      <c r="C11620" s="8"/>
      <c r="G11620" s="11"/>
    </row>
    <row r="11621" spans="3:7" x14ac:dyDescent="0.25">
      <c r="C11621" s="8"/>
      <c r="G11621" s="11"/>
    </row>
    <row r="11622" spans="3:7" x14ac:dyDescent="0.25">
      <c r="C11622" s="8"/>
      <c r="G11622" s="11"/>
    </row>
    <row r="11623" spans="3:7" x14ac:dyDescent="0.25">
      <c r="C11623" s="8"/>
      <c r="G11623" s="11"/>
    </row>
    <row r="11624" spans="3:7" x14ac:dyDescent="0.25">
      <c r="C11624" s="8"/>
      <c r="G11624" s="11"/>
    </row>
    <row r="11625" spans="3:7" x14ac:dyDescent="0.25">
      <c r="C11625" s="8"/>
      <c r="G11625" s="11"/>
    </row>
    <row r="11626" spans="3:7" x14ac:dyDescent="0.25">
      <c r="C11626" s="8"/>
      <c r="G11626" s="11"/>
    </row>
    <row r="11627" spans="3:7" x14ac:dyDescent="0.25">
      <c r="C11627" s="8"/>
      <c r="G11627" s="11"/>
    </row>
    <row r="11628" spans="3:7" x14ac:dyDescent="0.25">
      <c r="C11628" s="8"/>
      <c r="G11628" s="11"/>
    </row>
    <row r="11629" spans="3:7" x14ac:dyDescent="0.25">
      <c r="C11629" s="8"/>
      <c r="G11629" s="11"/>
    </row>
    <row r="11630" spans="3:7" x14ac:dyDescent="0.25">
      <c r="C11630" s="8"/>
      <c r="G11630" s="11"/>
    </row>
    <row r="11631" spans="3:7" x14ac:dyDescent="0.25">
      <c r="C11631" s="8"/>
      <c r="G11631" s="11"/>
    </row>
    <row r="11632" spans="3:7" x14ac:dyDescent="0.25">
      <c r="C11632" s="8"/>
      <c r="G11632" s="11"/>
    </row>
    <row r="11633" spans="3:7" x14ac:dyDescent="0.25">
      <c r="C11633" s="8"/>
      <c r="G11633" s="11"/>
    </row>
    <row r="11634" spans="3:7" x14ac:dyDescent="0.25">
      <c r="C11634" s="8"/>
      <c r="G11634" s="11"/>
    </row>
    <row r="11635" spans="3:7" x14ac:dyDescent="0.25">
      <c r="C11635" s="8"/>
      <c r="G11635" s="11"/>
    </row>
    <row r="11636" spans="3:7" x14ac:dyDescent="0.25">
      <c r="C11636" s="8"/>
      <c r="G11636" s="11"/>
    </row>
    <row r="11637" spans="3:7" x14ac:dyDescent="0.25">
      <c r="C11637" s="8"/>
      <c r="G11637" s="11"/>
    </row>
    <row r="11638" spans="3:7" x14ac:dyDescent="0.25">
      <c r="C11638" s="8"/>
      <c r="G11638" s="11"/>
    </row>
    <row r="11639" spans="3:7" x14ac:dyDescent="0.25">
      <c r="C11639" s="8"/>
      <c r="G11639" s="11"/>
    </row>
    <row r="11640" spans="3:7" x14ac:dyDescent="0.25">
      <c r="C11640" s="8"/>
      <c r="G11640" s="11"/>
    </row>
    <row r="11641" spans="3:7" x14ac:dyDescent="0.25">
      <c r="C11641" s="8"/>
      <c r="G11641" s="11"/>
    </row>
    <row r="11642" spans="3:7" x14ac:dyDescent="0.25">
      <c r="C11642" s="8"/>
      <c r="G11642" s="11"/>
    </row>
    <row r="11643" spans="3:7" x14ac:dyDescent="0.25">
      <c r="C11643" s="8"/>
      <c r="G11643" s="11"/>
    </row>
    <row r="11644" spans="3:7" x14ac:dyDescent="0.25">
      <c r="C11644" s="8"/>
      <c r="G11644" s="11"/>
    </row>
    <row r="11645" spans="3:7" x14ac:dyDescent="0.25">
      <c r="C11645" s="8"/>
      <c r="G11645" s="11"/>
    </row>
    <row r="11646" spans="3:7" x14ac:dyDescent="0.25">
      <c r="C11646" s="8"/>
      <c r="G11646" s="11"/>
    </row>
    <row r="11647" spans="3:7" x14ac:dyDescent="0.25">
      <c r="C11647" s="8"/>
      <c r="G11647" s="11"/>
    </row>
    <row r="11648" spans="3:7" x14ac:dyDescent="0.25">
      <c r="C11648" s="8"/>
      <c r="G11648" s="11"/>
    </row>
    <row r="11649" spans="3:7" x14ac:dyDescent="0.25">
      <c r="C11649" s="8"/>
      <c r="G11649" s="11"/>
    </row>
    <row r="11650" spans="3:7" x14ac:dyDescent="0.25">
      <c r="C11650" s="8"/>
      <c r="G11650" s="11"/>
    </row>
    <row r="11651" spans="3:7" x14ac:dyDescent="0.25">
      <c r="C11651" s="8"/>
      <c r="G11651" s="11"/>
    </row>
    <row r="11652" spans="3:7" x14ac:dyDescent="0.25">
      <c r="C11652" s="8"/>
      <c r="G11652" s="11"/>
    </row>
    <row r="11653" spans="3:7" x14ac:dyDescent="0.25">
      <c r="C11653" s="8"/>
      <c r="G11653" s="11"/>
    </row>
    <row r="11654" spans="3:7" x14ac:dyDescent="0.25">
      <c r="C11654" s="8"/>
      <c r="G11654" s="11"/>
    </row>
    <row r="11655" spans="3:7" x14ac:dyDescent="0.25">
      <c r="C11655" s="8"/>
      <c r="G11655" s="11"/>
    </row>
    <row r="11656" spans="3:7" x14ac:dyDescent="0.25">
      <c r="C11656" s="8"/>
      <c r="G11656" s="11"/>
    </row>
    <row r="11657" spans="3:7" x14ac:dyDescent="0.25">
      <c r="C11657" s="8"/>
      <c r="G11657" s="11"/>
    </row>
    <row r="11658" spans="3:7" x14ac:dyDescent="0.25">
      <c r="C11658" s="8"/>
      <c r="G11658" s="11"/>
    </row>
    <row r="11659" spans="3:7" x14ac:dyDescent="0.25">
      <c r="C11659" s="8"/>
      <c r="G11659" s="11"/>
    </row>
    <row r="11660" spans="3:7" x14ac:dyDescent="0.25">
      <c r="C11660" s="8"/>
      <c r="G11660" s="11"/>
    </row>
    <row r="11661" spans="3:7" x14ac:dyDescent="0.25">
      <c r="C11661" s="8"/>
      <c r="G11661" s="11"/>
    </row>
    <row r="11662" spans="3:7" x14ac:dyDescent="0.25">
      <c r="C11662" s="8"/>
      <c r="G11662" s="11"/>
    </row>
    <row r="11663" spans="3:7" x14ac:dyDescent="0.25">
      <c r="C11663" s="8"/>
      <c r="G11663" s="11"/>
    </row>
    <row r="11664" spans="3:7" x14ac:dyDescent="0.25">
      <c r="C11664" s="8"/>
      <c r="G11664" s="11"/>
    </row>
    <row r="11665" spans="3:7" x14ac:dyDescent="0.25">
      <c r="C11665" s="8"/>
      <c r="G11665" s="11"/>
    </row>
    <row r="11666" spans="3:7" x14ac:dyDescent="0.25">
      <c r="C11666" s="8"/>
      <c r="G11666" s="11"/>
    </row>
    <row r="11667" spans="3:7" x14ac:dyDescent="0.25">
      <c r="C11667" s="8"/>
      <c r="G11667" s="11"/>
    </row>
    <row r="11668" spans="3:7" x14ac:dyDescent="0.25">
      <c r="C11668" s="8"/>
      <c r="G11668" s="11"/>
    </row>
    <row r="11669" spans="3:7" x14ac:dyDescent="0.25">
      <c r="C11669" s="8"/>
      <c r="G11669" s="11"/>
    </row>
    <row r="11670" spans="3:7" x14ac:dyDescent="0.25">
      <c r="C11670" s="8"/>
      <c r="G11670" s="11"/>
    </row>
    <row r="11671" spans="3:7" x14ac:dyDescent="0.25">
      <c r="C11671" s="8"/>
      <c r="G11671" s="11"/>
    </row>
    <row r="11672" spans="3:7" x14ac:dyDescent="0.25">
      <c r="C11672" s="8"/>
      <c r="G11672" s="11"/>
    </row>
    <row r="11673" spans="3:7" x14ac:dyDescent="0.25">
      <c r="C11673" s="8"/>
      <c r="G11673" s="11"/>
    </row>
    <row r="11674" spans="3:7" x14ac:dyDescent="0.25">
      <c r="C11674" s="8"/>
      <c r="G11674" s="11"/>
    </row>
    <row r="11675" spans="3:7" x14ac:dyDescent="0.25">
      <c r="C11675" s="8"/>
      <c r="G11675" s="11"/>
    </row>
    <row r="11676" spans="3:7" x14ac:dyDescent="0.25">
      <c r="C11676" s="8"/>
      <c r="G11676" s="11"/>
    </row>
    <row r="11677" spans="3:7" x14ac:dyDescent="0.25">
      <c r="C11677" s="8"/>
      <c r="G11677" s="11"/>
    </row>
    <row r="11678" spans="3:7" x14ac:dyDescent="0.25">
      <c r="C11678" s="8"/>
      <c r="G11678" s="11"/>
    </row>
    <row r="11679" spans="3:7" x14ac:dyDescent="0.25">
      <c r="C11679" s="8"/>
      <c r="G11679" s="11"/>
    </row>
    <row r="11680" spans="3:7" x14ac:dyDescent="0.25">
      <c r="C11680" s="8"/>
      <c r="G11680" s="11"/>
    </row>
    <row r="11681" spans="3:7" x14ac:dyDescent="0.25">
      <c r="C11681" s="8"/>
      <c r="G11681" s="11"/>
    </row>
    <row r="11682" spans="3:7" x14ac:dyDescent="0.25">
      <c r="C11682" s="8"/>
      <c r="G11682" s="11"/>
    </row>
    <row r="11683" spans="3:7" x14ac:dyDescent="0.25">
      <c r="C11683" s="8"/>
      <c r="G11683" s="11"/>
    </row>
    <row r="11684" spans="3:7" x14ac:dyDescent="0.25">
      <c r="C11684" s="8"/>
      <c r="G11684" s="11"/>
    </row>
    <row r="11685" spans="3:7" x14ac:dyDescent="0.25">
      <c r="C11685" s="8"/>
      <c r="G11685" s="11"/>
    </row>
    <row r="11686" spans="3:7" x14ac:dyDescent="0.25">
      <c r="C11686" s="8"/>
      <c r="G11686" s="11"/>
    </row>
    <row r="11687" spans="3:7" x14ac:dyDescent="0.25">
      <c r="C11687" s="8"/>
      <c r="G11687" s="11"/>
    </row>
    <row r="11688" spans="3:7" x14ac:dyDescent="0.25">
      <c r="C11688" s="8"/>
      <c r="G11688" s="11"/>
    </row>
    <row r="11689" spans="3:7" x14ac:dyDescent="0.25">
      <c r="C11689" s="8"/>
      <c r="G11689" s="11"/>
    </row>
    <row r="11690" spans="3:7" x14ac:dyDescent="0.25">
      <c r="C11690" s="8"/>
      <c r="G11690" s="11"/>
    </row>
    <row r="11691" spans="3:7" x14ac:dyDescent="0.25">
      <c r="C11691" s="8"/>
      <c r="G11691" s="11"/>
    </row>
    <row r="11692" spans="3:7" x14ac:dyDescent="0.25">
      <c r="C11692" s="8"/>
      <c r="G11692" s="11"/>
    </row>
    <row r="11693" spans="3:7" x14ac:dyDescent="0.25">
      <c r="C11693" s="8"/>
      <c r="G11693" s="11"/>
    </row>
    <row r="11694" spans="3:7" x14ac:dyDescent="0.25">
      <c r="C11694" s="8"/>
      <c r="G11694" s="11"/>
    </row>
    <row r="11695" spans="3:7" x14ac:dyDescent="0.25">
      <c r="C11695" s="8"/>
      <c r="G11695" s="11"/>
    </row>
    <row r="11696" spans="3:7" x14ac:dyDescent="0.25">
      <c r="C11696" s="8"/>
      <c r="G11696" s="11"/>
    </row>
    <row r="11697" spans="3:7" x14ac:dyDescent="0.25">
      <c r="C11697" s="8"/>
      <c r="G11697" s="11"/>
    </row>
    <row r="11698" spans="3:7" x14ac:dyDescent="0.25">
      <c r="C11698" s="8"/>
      <c r="G11698" s="11"/>
    </row>
    <row r="11699" spans="3:7" x14ac:dyDescent="0.25">
      <c r="C11699" s="8"/>
      <c r="G11699" s="11"/>
    </row>
    <row r="11700" spans="3:7" x14ac:dyDescent="0.25">
      <c r="C11700" s="8"/>
      <c r="G11700" s="11"/>
    </row>
    <row r="11701" spans="3:7" x14ac:dyDescent="0.25">
      <c r="C11701" s="8"/>
      <c r="G11701" s="11"/>
    </row>
    <row r="11702" spans="3:7" x14ac:dyDescent="0.25">
      <c r="C11702" s="8"/>
      <c r="G11702" s="11"/>
    </row>
    <row r="11703" spans="3:7" x14ac:dyDescent="0.25">
      <c r="C11703" s="8"/>
      <c r="G11703" s="11"/>
    </row>
    <row r="11704" spans="3:7" x14ac:dyDescent="0.25">
      <c r="C11704" s="8"/>
      <c r="G11704" s="11"/>
    </row>
    <row r="11705" spans="3:7" x14ac:dyDescent="0.25">
      <c r="C11705" s="8"/>
      <c r="G11705" s="11"/>
    </row>
    <row r="11706" spans="3:7" x14ac:dyDescent="0.25">
      <c r="C11706" s="8"/>
      <c r="G11706" s="11"/>
    </row>
    <row r="11707" spans="3:7" x14ac:dyDescent="0.25">
      <c r="C11707" s="8"/>
      <c r="G11707" s="11"/>
    </row>
    <row r="11708" spans="3:7" x14ac:dyDescent="0.25">
      <c r="C11708" s="8"/>
      <c r="G11708" s="11"/>
    </row>
    <row r="11709" spans="3:7" x14ac:dyDescent="0.25">
      <c r="C11709" s="8"/>
      <c r="G11709" s="11"/>
    </row>
    <row r="11710" spans="3:7" x14ac:dyDescent="0.25">
      <c r="C11710" s="8"/>
      <c r="G11710" s="11"/>
    </row>
    <row r="11711" spans="3:7" x14ac:dyDescent="0.25">
      <c r="C11711" s="8"/>
      <c r="G11711" s="11"/>
    </row>
    <row r="11712" spans="3:7" x14ac:dyDescent="0.25">
      <c r="C11712" s="8"/>
      <c r="G11712" s="11"/>
    </row>
    <row r="11713" spans="3:7" x14ac:dyDescent="0.25">
      <c r="C11713" s="8"/>
      <c r="G11713" s="11"/>
    </row>
    <row r="11714" spans="3:7" x14ac:dyDescent="0.25">
      <c r="C11714" s="8"/>
      <c r="G11714" s="11"/>
    </row>
    <row r="11715" spans="3:7" x14ac:dyDescent="0.25">
      <c r="C11715" s="8"/>
      <c r="G11715" s="11"/>
    </row>
    <row r="11716" spans="3:7" x14ac:dyDescent="0.25">
      <c r="C11716" s="8"/>
      <c r="G11716" s="11"/>
    </row>
    <row r="11717" spans="3:7" x14ac:dyDescent="0.25">
      <c r="C11717" s="8"/>
      <c r="G11717" s="11"/>
    </row>
    <row r="11718" spans="3:7" x14ac:dyDescent="0.25">
      <c r="C11718" s="8"/>
      <c r="G11718" s="11"/>
    </row>
    <row r="11719" spans="3:7" x14ac:dyDescent="0.25">
      <c r="C11719" s="8"/>
      <c r="G11719" s="11"/>
    </row>
    <row r="11720" spans="3:7" x14ac:dyDescent="0.25">
      <c r="C11720" s="8"/>
      <c r="G11720" s="11"/>
    </row>
    <row r="11721" spans="3:7" x14ac:dyDescent="0.25">
      <c r="C11721" s="8"/>
      <c r="G11721" s="11"/>
    </row>
    <row r="11722" spans="3:7" x14ac:dyDescent="0.25">
      <c r="C11722" s="8"/>
      <c r="G11722" s="11"/>
    </row>
    <row r="11723" spans="3:7" x14ac:dyDescent="0.25">
      <c r="C11723" s="8"/>
      <c r="G11723" s="11"/>
    </row>
    <row r="11724" spans="3:7" x14ac:dyDescent="0.25">
      <c r="C11724" s="8"/>
      <c r="G11724" s="11"/>
    </row>
    <row r="11725" spans="3:7" x14ac:dyDescent="0.25">
      <c r="C11725" s="8"/>
      <c r="G11725" s="11"/>
    </row>
    <row r="11726" spans="3:7" x14ac:dyDescent="0.25">
      <c r="C11726" s="8"/>
      <c r="G11726" s="11"/>
    </row>
    <row r="11727" spans="3:7" x14ac:dyDescent="0.25">
      <c r="C11727" s="8"/>
      <c r="G11727" s="11"/>
    </row>
    <row r="11728" spans="3:7" x14ac:dyDescent="0.25">
      <c r="C11728" s="8"/>
      <c r="G11728" s="11"/>
    </row>
    <row r="11729" spans="3:7" x14ac:dyDescent="0.25">
      <c r="C11729" s="8"/>
      <c r="G11729" s="11"/>
    </row>
    <row r="11730" spans="3:7" x14ac:dyDescent="0.25">
      <c r="C11730" s="8"/>
      <c r="G11730" s="11"/>
    </row>
    <row r="11731" spans="3:7" x14ac:dyDescent="0.25">
      <c r="C11731" s="8"/>
      <c r="G11731" s="11"/>
    </row>
    <row r="11732" spans="3:7" x14ac:dyDescent="0.25">
      <c r="C11732" s="8"/>
      <c r="G11732" s="11"/>
    </row>
    <row r="11733" spans="3:7" x14ac:dyDescent="0.25">
      <c r="C11733" s="8"/>
      <c r="G11733" s="11"/>
    </row>
    <row r="11734" spans="3:7" x14ac:dyDescent="0.25">
      <c r="C11734" s="8"/>
      <c r="G11734" s="11"/>
    </row>
    <row r="11735" spans="3:7" x14ac:dyDescent="0.25">
      <c r="C11735" s="8"/>
      <c r="G11735" s="11"/>
    </row>
    <row r="11736" spans="3:7" x14ac:dyDescent="0.25">
      <c r="C11736" s="8"/>
      <c r="G11736" s="11"/>
    </row>
    <row r="11737" spans="3:7" x14ac:dyDescent="0.25">
      <c r="C11737" s="8"/>
      <c r="G11737" s="11"/>
    </row>
    <row r="11738" spans="3:7" x14ac:dyDescent="0.25">
      <c r="C11738" s="8"/>
      <c r="G11738" s="11"/>
    </row>
    <row r="11739" spans="3:7" x14ac:dyDescent="0.25">
      <c r="C11739" s="8"/>
      <c r="G11739" s="11"/>
    </row>
    <row r="11740" spans="3:7" x14ac:dyDescent="0.25">
      <c r="C11740" s="8"/>
      <c r="G11740" s="11"/>
    </row>
    <row r="11741" spans="3:7" x14ac:dyDescent="0.25">
      <c r="C11741" s="8"/>
      <c r="G11741" s="11"/>
    </row>
    <row r="11742" spans="3:7" x14ac:dyDescent="0.25">
      <c r="C11742" s="8"/>
      <c r="G11742" s="11"/>
    </row>
    <row r="11743" spans="3:7" x14ac:dyDescent="0.25">
      <c r="C11743" s="8"/>
      <c r="G11743" s="11"/>
    </row>
    <row r="11744" spans="3:7" x14ac:dyDescent="0.25">
      <c r="C11744" s="8"/>
      <c r="G11744" s="11"/>
    </row>
    <row r="11745" spans="3:7" x14ac:dyDescent="0.25">
      <c r="C11745" s="8"/>
      <c r="G11745" s="11"/>
    </row>
    <row r="11746" spans="3:7" x14ac:dyDescent="0.25">
      <c r="C11746" s="8"/>
      <c r="G11746" s="11"/>
    </row>
    <row r="11747" spans="3:7" x14ac:dyDescent="0.25">
      <c r="C11747" s="8"/>
      <c r="G11747" s="11"/>
    </row>
    <row r="11748" spans="3:7" x14ac:dyDescent="0.25">
      <c r="C11748" s="8"/>
      <c r="G11748" s="11"/>
    </row>
    <row r="11749" spans="3:7" x14ac:dyDescent="0.25">
      <c r="C11749" s="8"/>
      <c r="G11749" s="11"/>
    </row>
    <row r="11750" spans="3:7" x14ac:dyDescent="0.25">
      <c r="C11750" s="8"/>
      <c r="G11750" s="11"/>
    </row>
    <row r="11751" spans="3:7" x14ac:dyDescent="0.25">
      <c r="C11751" s="8"/>
      <c r="G11751" s="11"/>
    </row>
    <row r="11752" spans="3:7" x14ac:dyDescent="0.25">
      <c r="C11752" s="8"/>
      <c r="G11752" s="11"/>
    </row>
    <row r="11753" spans="3:7" x14ac:dyDescent="0.25">
      <c r="C11753" s="8"/>
      <c r="G11753" s="11"/>
    </row>
    <row r="11754" spans="3:7" x14ac:dyDescent="0.25">
      <c r="C11754" s="8"/>
      <c r="G11754" s="11"/>
    </row>
    <row r="11755" spans="3:7" x14ac:dyDescent="0.25">
      <c r="C11755" s="8"/>
      <c r="G11755" s="11"/>
    </row>
    <row r="11756" spans="3:7" x14ac:dyDescent="0.25">
      <c r="C11756" s="8"/>
      <c r="G11756" s="11"/>
    </row>
    <row r="11757" spans="3:7" x14ac:dyDescent="0.25">
      <c r="C11757" s="8"/>
      <c r="G11757" s="11"/>
    </row>
    <row r="11758" spans="3:7" x14ac:dyDescent="0.25">
      <c r="C11758" s="8"/>
      <c r="G11758" s="11"/>
    </row>
    <row r="11759" spans="3:7" x14ac:dyDescent="0.25">
      <c r="C11759" s="8"/>
      <c r="G11759" s="11"/>
    </row>
    <row r="11760" spans="3:7" x14ac:dyDescent="0.25">
      <c r="C11760" s="8"/>
      <c r="G11760" s="11"/>
    </row>
    <row r="11761" spans="3:7" x14ac:dyDescent="0.25">
      <c r="C11761" s="8"/>
      <c r="G11761" s="11"/>
    </row>
    <row r="11762" spans="3:7" x14ac:dyDescent="0.25">
      <c r="C11762" s="8"/>
      <c r="G11762" s="11"/>
    </row>
    <row r="11763" spans="3:7" x14ac:dyDescent="0.25">
      <c r="C11763" s="8"/>
      <c r="G11763" s="11"/>
    </row>
    <row r="11764" spans="3:7" x14ac:dyDescent="0.25">
      <c r="C11764" s="8"/>
      <c r="G11764" s="11"/>
    </row>
    <row r="11765" spans="3:7" x14ac:dyDescent="0.25">
      <c r="C11765" s="8"/>
      <c r="G11765" s="11"/>
    </row>
    <row r="11766" spans="3:7" x14ac:dyDescent="0.25">
      <c r="C11766" s="8"/>
      <c r="G11766" s="11"/>
    </row>
    <row r="11767" spans="3:7" x14ac:dyDescent="0.25">
      <c r="C11767" s="8"/>
      <c r="G11767" s="11"/>
    </row>
    <row r="11768" spans="3:7" x14ac:dyDescent="0.25">
      <c r="C11768" s="8"/>
      <c r="G11768" s="11"/>
    </row>
    <row r="11769" spans="3:7" x14ac:dyDescent="0.25">
      <c r="C11769" s="8"/>
      <c r="G11769" s="11"/>
    </row>
    <row r="11770" spans="3:7" x14ac:dyDescent="0.25">
      <c r="C11770" s="8"/>
      <c r="G11770" s="11"/>
    </row>
    <row r="11771" spans="3:7" x14ac:dyDescent="0.25">
      <c r="C11771" s="8"/>
      <c r="G11771" s="11"/>
    </row>
    <row r="11772" spans="3:7" x14ac:dyDescent="0.25">
      <c r="C11772" s="8"/>
      <c r="G11772" s="11"/>
    </row>
    <row r="11773" spans="3:7" x14ac:dyDescent="0.25">
      <c r="C11773" s="8"/>
      <c r="G11773" s="11"/>
    </row>
    <row r="11774" spans="3:7" x14ac:dyDescent="0.25">
      <c r="C11774" s="8"/>
      <c r="G11774" s="11"/>
    </row>
    <row r="11775" spans="3:7" x14ac:dyDescent="0.25">
      <c r="C11775" s="8"/>
      <c r="G11775" s="11"/>
    </row>
    <row r="11776" spans="3:7" x14ac:dyDescent="0.25">
      <c r="C11776" s="8"/>
      <c r="G11776" s="11"/>
    </row>
    <row r="11777" spans="3:7" x14ac:dyDescent="0.25">
      <c r="C11777" s="8"/>
      <c r="G11777" s="11"/>
    </row>
    <row r="11778" spans="3:7" x14ac:dyDescent="0.25">
      <c r="C11778" s="8"/>
      <c r="G11778" s="11"/>
    </row>
    <row r="11779" spans="3:7" x14ac:dyDescent="0.25">
      <c r="C11779" s="8"/>
      <c r="G11779" s="11"/>
    </row>
    <row r="11780" spans="3:7" x14ac:dyDescent="0.25">
      <c r="C11780" s="8"/>
      <c r="G11780" s="11"/>
    </row>
    <row r="11781" spans="3:7" x14ac:dyDescent="0.25">
      <c r="C11781" s="8"/>
      <c r="G11781" s="11"/>
    </row>
    <row r="11782" spans="3:7" x14ac:dyDescent="0.25">
      <c r="C11782" s="8"/>
      <c r="G11782" s="11"/>
    </row>
    <row r="11783" spans="3:7" x14ac:dyDescent="0.25">
      <c r="C11783" s="8"/>
      <c r="G11783" s="11"/>
    </row>
    <row r="11784" spans="3:7" x14ac:dyDescent="0.25">
      <c r="C11784" s="8"/>
      <c r="G11784" s="11"/>
    </row>
    <row r="11785" spans="3:7" x14ac:dyDescent="0.25">
      <c r="C11785" s="8"/>
      <c r="G11785" s="11"/>
    </row>
    <row r="11786" spans="3:7" x14ac:dyDescent="0.25">
      <c r="C11786" s="8"/>
      <c r="G11786" s="11"/>
    </row>
    <row r="11787" spans="3:7" x14ac:dyDescent="0.25">
      <c r="C11787" s="8"/>
      <c r="G11787" s="11"/>
    </row>
    <row r="11788" spans="3:7" x14ac:dyDescent="0.25">
      <c r="C11788" s="8"/>
      <c r="G11788" s="11"/>
    </row>
    <row r="11789" spans="3:7" x14ac:dyDescent="0.25">
      <c r="C11789" s="8"/>
      <c r="G11789" s="11"/>
    </row>
    <row r="11790" spans="3:7" x14ac:dyDescent="0.25">
      <c r="C11790" s="8"/>
      <c r="G11790" s="11"/>
    </row>
    <row r="11791" spans="3:7" x14ac:dyDescent="0.25">
      <c r="C11791" s="8"/>
      <c r="G11791" s="11"/>
    </row>
    <row r="11792" spans="3:7" x14ac:dyDescent="0.25">
      <c r="C11792" s="8"/>
      <c r="G11792" s="11"/>
    </row>
    <row r="11793" spans="3:7" x14ac:dyDescent="0.25">
      <c r="C11793" s="8"/>
      <c r="G11793" s="11"/>
    </row>
    <row r="11794" spans="3:7" x14ac:dyDescent="0.25">
      <c r="C11794" s="8"/>
      <c r="G11794" s="11"/>
    </row>
    <row r="11795" spans="3:7" x14ac:dyDescent="0.25">
      <c r="C11795" s="8"/>
      <c r="G11795" s="11"/>
    </row>
    <row r="11796" spans="3:7" x14ac:dyDescent="0.25">
      <c r="C11796" s="8"/>
      <c r="G11796" s="11"/>
    </row>
    <row r="11797" spans="3:7" x14ac:dyDescent="0.25">
      <c r="C11797" s="8"/>
      <c r="G11797" s="11"/>
    </row>
    <row r="11798" spans="3:7" x14ac:dyDescent="0.25">
      <c r="C11798" s="8"/>
      <c r="F11798" s="1" t="s">
        <v>26</v>
      </c>
      <c r="G11798" s="11"/>
    </row>
    <row r="11799" spans="3:7" x14ac:dyDescent="0.25">
      <c r="C11799" s="8"/>
      <c r="G11799" s="11"/>
    </row>
    <row r="11800" spans="3:7" x14ac:dyDescent="0.25">
      <c r="C11800" s="8"/>
      <c r="G11800" s="11"/>
    </row>
    <row r="11801" spans="3:7" x14ac:dyDescent="0.25">
      <c r="G11801" s="11"/>
    </row>
    <row r="11802" spans="3:7" x14ac:dyDescent="0.25">
      <c r="G11802" s="11"/>
    </row>
    <row r="11803" spans="3:7" x14ac:dyDescent="0.25">
      <c r="G11803" s="11"/>
    </row>
    <row r="11804" spans="3:7" x14ac:dyDescent="0.25">
      <c r="G11804" s="11"/>
    </row>
    <row r="11805" spans="3:7" x14ac:dyDescent="0.25">
      <c r="G11805" s="11"/>
    </row>
    <row r="11806" spans="3:7" x14ac:dyDescent="0.25">
      <c r="G11806" s="11"/>
    </row>
    <row r="11807" spans="3:7" x14ac:dyDescent="0.25">
      <c r="G11807" s="11"/>
    </row>
    <row r="11808" spans="3:7" x14ac:dyDescent="0.25">
      <c r="G11808" s="11"/>
    </row>
    <row r="11809" spans="7:7" x14ac:dyDescent="0.25">
      <c r="G11809" s="11"/>
    </row>
    <row r="11810" spans="7:7" x14ac:dyDescent="0.25">
      <c r="G11810" s="11"/>
    </row>
    <row r="11811" spans="7:7" x14ac:dyDescent="0.25">
      <c r="G11811" s="11"/>
    </row>
    <row r="11812" spans="7:7" x14ac:dyDescent="0.25">
      <c r="G11812" s="11"/>
    </row>
    <row r="11813" spans="7:7" x14ac:dyDescent="0.25">
      <c r="G11813" s="11"/>
    </row>
    <row r="11814" spans="7:7" x14ac:dyDescent="0.25">
      <c r="G11814" s="11"/>
    </row>
    <row r="11815" spans="7:7" x14ac:dyDescent="0.25">
      <c r="G11815" s="11"/>
    </row>
    <row r="11816" spans="7:7" x14ac:dyDescent="0.25">
      <c r="G11816" s="11"/>
    </row>
    <row r="11817" spans="7:7" x14ac:dyDescent="0.25">
      <c r="G11817" s="11"/>
    </row>
    <row r="11818" spans="7:7" x14ac:dyDescent="0.25">
      <c r="G11818" s="11"/>
    </row>
    <row r="11819" spans="7:7" x14ac:dyDescent="0.25">
      <c r="G11819" s="11"/>
    </row>
    <row r="11820" spans="7:7" x14ac:dyDescent="0.25">
      <c r="G11820" s="11"/>
    </row>
    <row r="11821" spans="7:7" x14ac:dyDescent="0.25">
      <c r="G11821" s="11"/>
    </row>
    <row r="11822" spans="7:7" x14ac:dyDescent="0.25">
      <c r="G11822" s="11"/>
    </row>
    <row r="11823" spans="7:7" x14ac:dyDescent="0.25">
      <c r="G11823" s="11"/>
    </row>
    <row r="11824" spans="7:7" x14ac:dyDescent="0.25">
      <c r="G11824" s="11"/>
    </row>
    <row r="11825" spans="7:7" x14ac:dyDescent="0.25">
      <c r="G11825" s="11"/>
    </row>
    <row r="11826" spans="7:7" x14ac:dyDescent="0.25">
      <c r="G11826" s="11"/>
    </row>
    <row r="11827" spans="7:7" x14ac:dyDescent="0.25">
      <c r="G11827" s="11"/>
    </row>
    <row r="11828" spans="7:7" x14ac:dyDescent="0.25">
      <c r="G11828" s="11"/>
    </row>
    <row r="11829" spans="7:7" x14ac:dyDescent="0.25">
      <c r="G11829" s="11"/>
    </row>
    <row r="11830" spans="7:7" x14ac:dyDescent="0.25">
      <c r="G11830" s="11"/>
    </row>
    <row r="11831" spans="7:7" x14ac:dyDescent="0.25">
      <c r="G11831" s="11"/>
    </row>
    <row r="11832" spans="7:7" x14ac:dyDescent="0.25">
      <c r="G11832" s="11"/>
    </row>
    <row r="11833" spans="7:7" x14ac:dyDescent="0.25">
      <c r="G11833" s="11"/>
    </row>
    <row r="11834" spans="7:7" x14ac:dyDescent="0.25">
      <c r="G11834" s="11"/>
    </row>
    <row r="11835" spans="7:7" x14ac:dyDescent="0.25">
      <c r="G11835" s="11"/>
    </row>
    <row r="11836" spans="7:7" x14ac:dyDescent="0.25">
      <c r="G11836" s="11"/>
    </row>
    <row r="11837" spans="7:7" x14ac:dyDescent="0.25">
      <c r="G11837" s="11"/>
    </row>
    <row r="11838" spans="7:7" x14ac:dyDescent="0.25">
      <c r="G11838" s="11"/>
    </row>
    <row r="11839" spans="7:7" x14ac:dyDescent="0.25">
      <c r="G11839" s="11"/>
    </row>
    <row r="11840" spans="7:7" x14ac:dyDescent="0.25">
      <c r="G11840" s="11"/>
    </row>
    <row r="11841" spans="3:7" x14ac:dyDescent="0.25">
      <c r="G11841" s="11"/>
    </row>
    <row r="11842" spans="3:7" x14ac:dyDescent="0.25">
      <c r="G11842" s="11"/>
    </row>
    <row r="11843" spans="3:7" x14ac:dyDescent="0.25">
      <c r="G11843" s="11"/>
    </row>
    <row r="11844" spans="3:7" x14ac:dyDescent="0.25">
      <c r="C11844" s="8"/>
    </row>
    <row r="11845" spans="3:7" x14ac:dyDescent="0.25">
      <c r="C11845" s="8"/>
    </row>
    <row r="11846" spans="3:7" x14ac:dyDescent="0.25">
      <c r="C11846" s="8"/>
    </row>
    <row r="11847" spans="3:7" x14ac:dyDescent="0.25">
      <c r="C11847" s="8"/>
    </row>
    <row r="11848" spans="3:7" x14ac:dyDescent="0.25">
      <c r="C11848" s="8"/>
    </row>
    <row r="11850" spans="3:7" x14ac:dyDescent="0.25">
      <c r="C11850" s="8"/>
    </row>
    <row r="11851" spans="3:7" x14ac:dyDescent="0.25">
      <c r="C11851" s="8"/>
    </row>
    <row r="11852" spans="3:7" x14ac:dyDescent="0.25">
      <c r="C11852" s="8"/>
    </row>
    <row r="11853" spans="3:7" x14ac:dyDescent="0.25">
      <c r="C11853" s="8"/>
      <c r="G11853" s="11"/>
    </row>
    <row r="11854" spans="3:7" x14ac:dyDescent="0.25">
      <c r="C11854" s="8"/>
      <c r="G11854" s="11"/>
    </row>
    <row r="11855" spans="3:7" x14ac:dyDescent="0.25">
      <c r="C11855" s="8"/>
    </row>
    <row r="11856" spans="3:7" x14ac:dyDescent="0.25">
      <c r="C11856" s="8"/>
    </row>
    <row r="11857" spans="1:7" x14ac:dyDescent="0.25">
      <c r="C11857" s="8"/>
    </row>
    <row r="11858" spans="1:7" x14ac:dyDescent="0.25">
      <c r="C11858" s="8"/>
    </row>
    <row r="11859" spans="1:7" x14ac:dyDescent="0.25">
      <c r="C11859" s="8"/>
      <c r="G11859" s="11"/>
    </row>
    <row r="11860" spans="1:7" x14ac:dyDescent="0.25">
      <c r="C11860" s="8"/>
      <c r="G11860" s="11"/>
    </row>
    <row r="11861" spans="1:7" x14ac:dyDescent="0.25">
      <c r="C11861" s="8"/>
      <c r="G11861" s="11"/>
    </row>
    <row r="11862" spans="1:7" x14ac:dyDescent="0.25">
      <c r="A11862" s="78"/>
      <c r="C11862" s="8"/>
    </row>
    <row r="11863" spans="1:7" x14ac:dyDescent="0.25">
      <c r="A11863" s="78"/>
      <c r="C11863" s="8"/>
    </row>
    <row r="11864" spans="1:7" x14ac:dyDescent="0.25">
      <c r="A11864" s="78"/>
      <c r="C11864" s="8"/>
    </row>
    <row r="11865" spans="1:7" x14ac:dyDescent="0.25">
      <c r="A11865" s="78"/>
      <c r="C11865" s="8"/>
    </row>
    <row r="11866" spans="1:7" x14ac:dyDescent="0.25">
      <c r="A11866" s="78"/>
    </row>
  </sheetData>
  <autoFilter ref="P2:U23" xr:uid="{00000000-0001-0000-0000-000000000000}"/>
  <sortState xmlns:xlrd2="http://schemas.microsoft.com/office/spreadsheetml/2017/richdata2" ref="P3:W14">
    <sortCondition ref="R3:R14"/>
  </sortState>
  <phoneticPr fontId="4" type="noConversion"/>
  <dataValidations count="23">
    <dataValidation type="list" allowBlank="1" showInputMessage="1" showErrorMessage="1" sqref="F1 F11807:F11811 F3608:F11805 F11844:F1048576 F3:F3551" xr:uid="{00000000-0002-0000-0000-000001000000}">
      <formula1>"JAN,FEV,MAR,ABRIL,MAIO,JUNHO,JULHO,AGOSTO,SETEMBRO,OUTUBRO,NOVEMBRO,DEZEMBRO"</formula1>
    </dataValidation>
    <dataValidation type="list" allowBlank="1" showInputMessage="1" showErrorMessage="1" sqref="K14716:K1048576 K1" xr:uid="{00000000-0002-0000-0000-000000000000}">
      <formula1>$S$3:$S$14</formula1>
    </dataValidation>
    <dataValidation type="list" allowBlank="1" showInputMessage="1" showErrorMessage="1" sqref="L20729:L1048576 L1" xr:uid="{00000000-0002-0000-0000-000003000000}">
      <formula1>$T$3:$T$14</formula1>
    </dataValidation>
    <dataValidation type="list" allowBlank="1" showInputMessage="1" showErrorMessage="1" sqref="E14717:E1048576 E1" xr:uid="{00000000-0002-0000-0000-000002000000}">
      <formula1>$P$3:$P$14</formula1>
    </dataValidation>
    <dataValidation type="list" allowBlank="1" showInputMessage="1" showErrorMessage="1" sqref="K12547:K14715" xr:uid="{E2D4407A-3718-4D62-853F-D3F472381B8A}">
      <formula1>$S$3696:$S$3735</formula1>
    </dataValidation>
    <dataValidation type="list" allowBlank="1" showInputMessage="1" showErrorMessage="1" sqref="L3541:L11805 L3:L2753 L11844:L20728 L2911:L3539 L11807:L11811 L2755:L2909" xr:uid="{2308A431-9614-4EF1-B5FF-BDA69E8C4E18}">
      <formula1>$T$44:$T$78</formula1>
    </dataValidation>
    <dataValidation type="list" allowBlank="1" showInputMessage="1" showErrorMessage="1" sqref="E2673:E3027 E556:E2519 E74:E189 E69:E72 E61:E67 E17:E59 E15 E3:E13 E11859:E11864 E11844:E11857 E11866:E14716 E11807:E11811 E5257:E11805 E261:E547 E2521:E2671 E191:E259 E3059:E5095" xr:uid="{5CEC774C-DA6F-4504-B3F7-14ABB25C6ACD}">
      <formula1>$P$3:$P$21</formula1>
    </dataValidation>
    <dataValidation type="list" allowBlank="1" showInputMessage="1" showErrorMessage="1" sqref="E190 E2520" xr:uid="{51D89F7E-F4BB-4D55-9DD8-6F51553E7821}">
      <formula1>$P$3:$P$17</formula1>
    </dataValidation>
    <dataValidation type="list" allowBlank="1" showInputMessage="1" showErrorMessage="1" sqref="K2522:K2614 K3:K2520 K11844:K12546 K11807:K11811 K2616:K11805" xr:uid="{497AD65C-E1EB-41C8-8500-58961C943B00}">
      <formula1>$S$3:$S$25</formula1>
    </dataValidation>
    <dataValidation type="list" allowBlank="1" showInputMessage="1" showErrorMessage="1" sqref="N12471:N1048576 N1" xr:uid="{00000000-0002-0000-0000-00000A000000}">
      <formula1>$U$3:$U$14</formula1>
    </dataValidation>
    <dataValidation type="list" allowBlank="1" showInputMessage="1" showErrorMessage="1" sqref="N2832:N3027 N74:N415 N2:N13 N1770:N2830 N17:N59 N1029:N1768 N417:N1027 N69:N72 N61:N67 N11859:N11864 N11844:N11857 N11866:N12470 N3609:N3617 N3043:N3607 N5257:N11811 N3619:N5095" xr:uid="{6D49FE58-7F16-4085-AD23-59F5FA56CD35}">
      <formula1>$U$3:$U$18</formula1>
    </dataValidation>
    <dataValidation type="list" allowBlank="1" showInputMessage="1" showErrorMessage="1" sqref="K2521" xr:uid="{8CF96AC4-835A-4972-8548-444DCC8017D9}">
      <formula1>$S$3:$S$22</formula1>
    </dataValidation>
    <dataValidation type="list" allowBlank="1" showInputMessage="1" showErrorMessage="1" sqref="K2615" xr:uid="{36D60633-E663-4A40-B727-C270ACE172D7}">
      <formula1>$S$3:$S$24</formula1>
    </dataValidation>
    <dataValidation type="list" allowBlank="1" showInputMessage="1" showErrorMessage="1" sqref="L2910" xr:uid="{83A73593-B9F1-4479-9E59-2442C8D17100}">
      <formula1>$T$3:$T$11</formula1>
    </dataValidation>
    <dataValidation type="list" allowBlank="1" showInputMessage="1" showErrorMessage="1" sqref="F2" xr:uid="{9E559525-E540-463E-A032-8FA797AD37C4}">
      <formula1>$Q$2</formula1>
    </dataValidation>
    <dataValidation type="list" allowBlank="1" showInputMessage="1" showErrorMessage="1" sqref="G2" xr:uid="{89547D7F-7482-4334-8B6B-9F2BCEAA63FF}">
      <formula1>$R$2</formula1>
    </dataValidation>
    <dataValidation type="list" allowBlank="1" showInputMessage="1" showErrorMessage="1" sqref="L2" xr:uid="{00308538-B67E-4E09-9C00-207177B7707B}">
      <formula1>$T$2</formula1>
    </dataValidation>
    <dataValidation type="list" allowBlank="1" showInputMessage="1" showErrorMessage="1" sqref="E2" xr:uid="{99EAC742-228E-4BD2-85B9-8190FAA26180}">
      <formula1>$P$2</formula1>
    </dataValidation>
    <dataValidation type="list" allowBlank="1" showInputMessage="1" showErrorMessage="1" sqref="G22565:G1048576 G1" xr:uid="{00000000-0002-0000-0000-000004000000}">
      <formula1>$R$3:$R$13</formula1>
    </dataValidation>
    <dataValidation type="list" allowBlank="1" showInputMessage="1" showErrorMessage="1" sqref="G5638:G11805 G11859:G11863 G11844:G11856 G11866:G22564 G11807:G11811" xr:uid="{27B6CF6B-124F-43EB-B86E-7D1214335C7B}">
      <formula1>$R$3:$R$20</formula1>
    </dataValidation>
    <dataValidation type="list" allowBlank="1" showInputMessage="1" showErrorMessage="1" sqref="N3618 N1769 N416" xr:uid="{4465B920-EEB6-42F7-84CC-744C91103517}">
      <formula1>$U$3:$U$21</formula1>
    </dataValidation>
    <dataValidation type="list" allowBlank="1" showInputMessage="1" showErrorMessage="1" sqref="G11864:G11865 G1426:G5637 G3:G1424 G11857:G11858" xr:uid="{BFD4F731-BB41-4AB4-8369-2C7333369AC9}">
      <formula1>$R$3:$R$27</formula1>
    </dataValidation>
    <dataValidation type="list" allowBlank="1" showInputMessage="1" showErrorMessage="1" sqref="G1425" xr:uid="{E53B2A40-2A7C-429D-93A0-793315AFCBE0}">
      <formula1>$R$3:$R$30</formula1>
    </dataValidation>
  </dataValidations>
  <printOptions headings="1"/>
  <pageMargins left="1.1417322834645669" right="0.51181102362204722" top="1.0629921259842521" bottom="0.78740157480314965" header="0.31496062992125984" footer="0.31496062992125984"/>
  <pageSetup paperSize="9" scale="45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1551-C9D4-46CD-B623-B2D63EBCEC80}">
  <dimension ref="D12:G19"/>
  <sheetViews>
    <sheetView workbookViewId="0">
      <selection activeCell="D8" sqref="D8:J28"/>
    </sheetView>
  </sheetViews>
  <sheetFormatPr defaultRowHeight="15" x14ac:dyDescent="0.25"/>
  <cols>
    <col min="4" max="4" width="16" style="63" customWidth="1"/>
    <col min="5" max="5" width="15.85546875" customWidth="1"/>
    <col min="6" max="6" width="13.28515625" bestFit="1" customWidth="1"/>
    <col min="7" max="7" width="12.140625" bestFit="1" customWidth="1"/>
  </cols>
  <sheetData>
    <row r="12" spans="4:7" x14ac:dyDescent="0.25">
      <c r="D12" s="63">
        <v>142080.72</v>
      </c>
      <c r="E12" s="63">
        <v>216066.12</v>
      </c>
      <c r="F12" s="63">
        <v>11165</v>
      </c>
      <c r="G12" s="63">
        <v>5153.08</v>
      </c>
    </row>
    <row r="15" spans="4:7" x14ac:dyDescent="0.25">
      <c r="D15" s="63">
        <v>12221.88</v>
      </c>
      <c r="E15" s="63">
        <v>103789.08</v>
      </c>
    </row>
    <row r="16" spans="4:7" x14ac:dyDescent="0.25">
      <c r="D16" s="63">
        <v>5256</v>
      </c>
    </row>
    <row r="17" spans="4:6" x14ac:dyDescent="0.25">
      <c r="D17" s="63">
        <v>12221.88</v>
      </c>
    </row>
    <row r="18" spans="4:6" x14ac:dyDescent="0.25">
      <c r="D18" s="63">
        <v>12221.88</v>
      </c>
      <c r="F18" s="64">
        <f>E15-D19</f>
        <v>61867.44000000001</v>
      </c>
    </row>
    <row r="19" spans="4:6" x14ac:dyDescent="0.25">
      <c r="D19" s="74">
        <f>SUM(D15:D18)</f>
        <v>41921.639999999992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CE4C-06F2-46F3-B62E-69B31BC2C097}">
  <dimension ref="F6:I43"/>
  <sheetViews>
    <sheetView topLeftCell="A37" workbookViewId="0">
      <selection activeCell="H28" sqref="H28"/>
    </sheetView>
  </sheetViews>
  <sheetFormatPr defaultRowHeight="15" x14ac:dyDescent="0.25"/>
  <cols>
    <col min="6" max="6" width="17" style="63" customWidth="1"/>
    <col min="7" max="7" width="14.28515625" customWidth="1"/>
    <col min="8" max="8" width="17.5703125" customWidth="1"/>
    <col min="9" max="9" width="19.42578125" style="63" customWidth="1"/>
  </cols>
  <sheetData>
    <row r="6" spans="6:6" x14ac:dyDescent="0.25">
      <c r="F6" s="63">
        <v>1044.1300000000001</v>
      </c>
    </row>
    <row r="7" spans="6:6" x14ac:dyDescent="0.25">
      <c r="F7" s="63">
        <v>2653.52</v>
      </c>
    </row>
    <row r="8" spans="6:6" x14ac:dyDescent="0.25">
      <c r="F8" s="63">
        <v>26.34</v>
      </c>
    </row>
    <row r="9" spans="6:6" x14ac:dyDescent="0.25">
      <c r="F9" s="63">
        <v>368.14</v>
      </c>
    </row>
    <row r="10" spans="6:6" x14ac:dyDescent="0.25">
      <c r="F10" s="63">
        <v>1330.23</v>
      </c>
    </row>
    <row r="11" spans="6:6" x14ac:dyDescent="0.25">
      <c r="F11" s="63">
        <v>579.89</v>
      </c>
    </row>
    <row r="12" spans="6:6" x14ac:dyDescent="0.25">
      <c r="F12" s="63">
        <v>490.09</v>
      </c>
    </row>
    <row r="13" spans="6:6" x14ac:dyDescent="0.25">
      <c r="F13" s="63">
        <v>174.02</v>
      </c>
    </row>
    <row r="14" spans="6:6" x14ac:dyDescent="0.25">
      <c r="F14" s="63">
        <v>145.78</v>
      </c>
    </row>
    <row r="15" spans="6:6" x14ac:dyDescent="0.25">
      <c r="F15" s="63">
        <v>613.6</v>
      </c>
    </row>
    <row r="16" spans="6:6" x14ac:dyDescent="0.25">
      <c r="F16" s="63">
        <v>759.7</v>
      </c>
    </row>
    <row r="17" spans="6:7" x14ac:dyDescent="0.25">
      <c r="F17" s="63">
        <v>319.14</v>
      </c>
    </row>
    <row r="18" spans="6:7" x14ac:dyDescent="0.25">
      <c r="F18" s="63">
        <v>178.88</v>
      </c>
      <c r="G18" s="64"/>
    </row>
    <row r="19" spans="6:7" x14ac:dyDescent="0.25">
      <c r="F19" s="63">
        <v>2503.04</v>
      </c>
    </row>
    <row r="20" spans="6:7" x14ac:dyDescent="0.25">
      <c r="F20" s="63">
        <v>1346.37</v>
      </c>
    </row>
    <row r="21" spans="6:7" x14ac:dyDescent="0.25">
      <c r="F21" s="63">
        <v>108.73</v>
      </c>
    </row>
    <row r="22" spans="6:7" x14ac:dyDescent="0.25">
      <c r="F22" s="63">
        <v>176.5</v>
      </c>
    </row>
    <row r="23" spans="6:7" x14ac:dyDescent="0.25">
      <c r="F23" s="63">
        <v>815.35</v>
      </c>
    </row>
    <row r="24" spans="6:7" x14ac:dyDescent="0.25">
      <c r="F24" s="63">
        <v>878.61</v>
      </c>
    </row>
    <row r="25" spans="6:7" x14ac:dyDescent="0.25">
      <c r="F25" s="63">
        <v>200.93</v>
      </c>
    </row>
    <row r="26" spans="6:7" x14ac:dyDescent="0.25">
      <c r="F26" s="63">
        <v>142.32</v>
      </c>
    </row>
    <row r="27" spans="6:7" x14ac:dyDescent="0.25">
      <c r="F27" s="63">
        <v>118.44</v>
      </c>
    </row>
    <row r="28" spans="6:7" x14ac:dyDescent="0.25">
      <c r="F28" s="63">
        <v>144.24</v>
      </c>
    </row>
    <row r="29" spans="6:7" x14ac:dyDescent="0.25">
      <c r="F29" s="63">
        <v>741.08</v>
      </c>
    </row>
    <row r="30" spans="6:7" x14ac:dyDescent="0.25">
      <c r="F30" s="63">
        <v>1325.84</v>
      </c>
    </row>
    <row r="31" spans="6:7" x14ac:dyDescent="0.25">
      <c r="F31" s="63">
        <v>1001.62</v>
      </c>
    </row>
    <row r="32" spans="6:7" x14ac:dyDescent="0.25">
      <c r="F32" s="63">
        <v>1101.79</v>
      </c>
    </row>
    <row r="33" spans="6:9" x14ac:dyDescent="0.25">
      <c r="F33" s="63">
        <v>43.91</v>
      </c>
    </row>
    <row r="34" spans="6:9" x14ac:dyDescent="0.25">
      <c r="F34" s="63">
        <v>1038.53</v>
      </c>
    </row>
    <row r="35" spans="6:9" x14ac:dyDescent="0.25">
      <c r="F35" s="63">
        <v>2505.84</v>
      </c>
    </row>
    <row r="36" spans="6:9" x14ac:dyDescent="0.25">
      <c r="F36" s="63">
        <v>1281.03</v>
      </c>
    </row>
    <row r="37" spans="6:9" x14ac:dyDescent="0.25">
      <c r="F37" s="63">
        <v>1048.2</v>
      </c>
    </row>
    <row r="38" spans="6:9" x14ac:dyDescent="0.25">
      <c r="F38" s="63">
        <v>4527.09</v>
      </c>
    </row>
    <row r="39" spans="6:9" x14ac:dyDescent="0.25">
      <c r="F39" s="63">
        <v>941</v>
      </c>
    </row>
    <row r="40" spans="6:9" x14ac:dyDescent="0.25">
      <c r="F40" s="63">
        <v>2129.7800000000002</v>
      </c>
    </row>
    <row r="41" spans="6:9" x14ac:dyDescent="0.25">
      <c r="F41" s="63">
        <v>164.98</v>
      </c>
    </row>
    <row r="42" spans="6:9" x14ac:dyDescent="0.25">
      <c r="F42" s="63">
        <f>SUM(F6:F41)</f>
        <v>32968.68</v>
      </c>
      <c r="I42" s="63">
        <v>4527.09</v>
      </c>
    </row>
    <row r="43" spans="6:9" x14ac:dyDescent="0.25">
      <c r="I43" s="63">
        <f>F42+I42</f>
        <v>37495.770000000004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F222-1F22-4BB6-8779-D8B1CE3DB044}">
  <dimension ref="A9:K30"/>
  <sheetViews>
    <sheetView topLeftCell="A4" workbookViewId="0">
      <selection activeCell="J25" sqref="J25"/>
    </sheetView>
  </sheetViews>
  <sheetFormatPr defaultRowHeight="15" x14ac:dyDescent="0.25"/>
  <cols>
    <col min="2" max="2" width="10.5703125" style="63" bestFit="1" customWidth="1"/>
    <col min="3" max="3" width="20.28515625" style="63" customWidth="1"/>
    <col min="4" max="4" width="9.28515625" bestFit="1" customWidth="1"/>
    <col min="5" max="5" width="13.28515625" bestFit="1" customWidth="1"/>
    <col min="6" max="6" width="12.140625" bestFit="1" customWidth="1"/>
    <col min="7" max="7" width="13.28515625" bestFit="1" customWidth="1"/>
    <col min="8" max="8" width="18.140625" customWidth="1"/>
    <col min="9" max="9" width="12.140625" bestFit="1" customWidth="1"/>
    <col min="10" max="10" width="13.28515625" bestFit="1" customWidth="1"/>
    <col min="11" max="11" width="14.85546875" customWidth="1"/>
  </cols>
  <sheetData>
    <row r="9" spans="1:11" x14ac:dyDescent="0.25">
      <c r="A9">
        <v>2300</v>
      </c>
      <c r="B9" s="63">
        <v>0.36</v>
      </c>
      <c r="C9" s="63">
        <f>A9*B9</f>
        <v>828</v>
      </c>
      <c r="H9" s="64">
        <f>G9*B9</f>
        <v>0</v>
      </c>
      <c r="J9">
        <f>A9-G9</f>
        <v>2300</v>
      </c>
      <c r="K9" s="64">
        <f>B9*J9</f>
        <v>828</v>
      </c>
    </row>
    <row r="10" spans="1:11" x14ac:dyDescent="0.25">
      <c r="A10">
        <v>15000</v>
      </c>
      <c r="B10" s="63">
        <v>2.86</v>
      </c>
      <c r="C10" s="63">
        <f t="shared" ref="C10:C13" si="0">A10*B10</f>
        <v>42900</v>
      </c>
      <c r="G10">
        <v>8500</v>
      </c>
      <c r="H10" s="64">
        <f>G10*B10</f>
        <v>24310</v>
      </c>
      <c r="J10">
        <f>A10-G10</f>
        <v>6500</v>
      </c>
      <c r="K10" s="64">
        <f t="shared" ref="K10:K13" si="1">B10*J10</f>
        <v>18590</v>
      </c>
    </row>
    <row r="11" spans="1:11" x14ac:dyDescent="0.25">
      <c r="A11">
        <v>245000</v>
      </c>
      <c r="B11" s="63">
        <v>0.56999999999999995</v>
      </c>
      <c r="C11" s="63">
        <f t="shared" si="0"/>
        <v>139650</v>
      </c>
      <c r="H11" s="64">
        <f t="shared" ref="H11:H13" si="2">G11*B11</f>
        <v>0</v>
      </c>
      <c r="J11">
        <f t="shared" ref="J11:J13" si="3">A11-G11</f>
        <v>245000</v>
      </c>
      <c r="K11" s="64">
        <f t="shared" si="1"/>
        <v>139650</v>
      </c>
    </row>
    <row r="12" spans="1:11" x14ac:dyDescent="0.25">
      <c r="A12">
        <v>40000</v>
      </c>
      <c r="B12" s="63">
        <v>3.59</v>
      </c>
      <c r="C12" s="63">
        <f>A12*B12</f>
        <v>143600</v>
      </c>
      <c r="G12">
        <v>7000</v>
      </c>
      <c r="H12" s="64">
        <f t="shared" si="2"/>
        <v>25130</v>
      </c>
      <c r="J12">
        <f t="shared" si="3"/>
        <v>33000</v>
      </c>
      <c r="K12" s="64">
        <f t="shared" si="1"/>
        <v>118470</v>
      </c>
    </row>
    <row r="13" spans="1:11" x14ac:dyDescent="0.25">
      <c r="A13">
        <v>2360</v>
      </c>
      <c r="B13" s="63">
        <v>0.85</v>
      </c>
      <c r="C13" s="63">
        <f t="shared" si="0"/>
        <v>2006</v>
      </c>
      <c r="H13" s="64">
        <f t="shared" si="2"/>
        <v>0</v>
      </c>
      <c r="J13">
        <f t="shared" si="3"/>
        <v>2360</v>
      </c>
      <c r="K13" s="64">
        <f t="shared" si="1"/>
        <v>2006</v>
      </c>
    </row>
    <row r="14" spans="1:11" x14ac:dyDescent="0.25">
      <c r="K14" s="63">
        <f>SUM(K9:K13)</f>
        <v>279544</v>
      </c>
    </row>
    <row r="15" spans="1:11" x14ac:dyDescent="0.25">
      <c r="C15" s="63">
        <f>SUM(C9:C13)</f>
        <v>328984</v>
      </c>
      <c r="H15" s="64">
        <f>SUM(H9:H13)</f>
        <v>49440</v>
      </c>
      <c r="K15" s="64"/>
    </row>
    <row r="17" spans="1:11" x14ac:dyDescent="0.25">
      <c r="K17" s="64"/>
    </row>
    <row r="19" spans="1:11" x14ac:dyDescent="0.25">
      <c r="G19" t="s">
        <v>718</v>
      </c>
    </row>
    <row r="20" spans="1:11" x14ac:dyDescent="0.25">
      <c r="A20">
        <v>1500</v>
      </c>
    </row>
    <row r="21" spans="1:11" x14ac:dyDescent="0.25">
      <c r="A21">
        <v>1000</v>
      </c>
      <c r="C21" s="76"/>
      <c r="H21" t="s">
        <v>719</v>
      </c>
    </row>
    <row r="22" spans="1:11" x14ac:dyDescent="0.25">
      <c r="A22">
        <v>300</v>
      </c>
      <c r="C22" s="76"/>
    </row>
    <row r="23" spans="1:11" x14ac:dyDescent="0.25">
      <c r="A23">
        <v>300</v>
      </c>
      <c r="C23" s="76">
        <v>106000</v>
      </c>
      <c r="D23" s="63">
        <v>0.27</v>
      </c>
      <c r="E23" s="63">
        <f>C23*D23</f>
        <v>28620.000000000004</v>
      </c>
      <c r="G23">
        <v>21000</v>
      </c>
      <c r="H23" s="64">
        <f>D23*G23</f>
        <v>5670</v>
      </c>
      <c r="I23" s="64"/>
      <c r="J23" s="64">
        <f>E23-H23</f>
        <v>22950.000000000004</v>
      </c>
    </row>
    <row r="24" spans="1:11" x14ac:dyDescent="0.25">
      <c r="A24">
        <v>28620</v>
      </c>
      <c r="C24" s="76">
        <v>150000</v>
      </c>
      <c r="D24" s="63">
        <v>0.25</v>
      </c>
      <c r="E24" s="63">
        <f>C24*D24</f>
        <v>37500</v>
      </c>
      <c r="F24" s="63">
        <v>5000</v>
      </c>
      <c r="G24" s="76">
        <v>46000</v>
      </c>
      <c r="H24" s="64">
        <f>D24*G24</f>
        <v>11500</v>
      </c>
      <c r="J24" s="64">
        <f>E24-H24</f>
        <v>26000</v>
      </c>
    </row>
    <row r="25" spans="1:11" x14ac:dyDescent="0.25">
      <c r="A25">
        <v>1200</v>
      </c>
      <c r="C25" s="76"/>
    </row>
    <row r="26" spans="1:11" x14ac:dyDescent="0.25">
      <c r="A26">
        <v>400</v>
      </c>
      <c r="C26" s="76"/>
    </row>
    <row r="27" spans="1:11" x14ac:dyDescent="0.25">
      <c r="A27">
        <v>250</v>
      </c>
      <c r="C27" s="76"/>
    </row>
    <row r="28" spans="1:11" x14ac:dyDescent="0.25">
      <c r="A28">
        <v>0.1</v>
      </c>
      <c r="C28" s="76"/>
    </row>
    <row r="29" spans="1:11" x14ac:dyDescent="0.25">
      <c r="A29">
        <v>250</v>
      </c>
    </row>
    <row r="30" spans="1:11" x14ac:dyDescent="0.25">
      <c r="A30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0112-FAA4-4F91-B79B-0151EDEBFD46}">
  <dimension ref="A1:H55"/>
  <sheetViews>
    <sheetView topLeftCell="A20" workbookViewId="0">
      <selection activeCell="D52" sqref="D52"/>
    </sheetView>
  </sheetViews>
  <sheetFormatPr defaultRowHeight="15" x14ac:dyDescent="0.25"/>
  <cols>
    <col min="2" max="3" width="15.85546875" bestFit="1" customWidth="1"/>
    <col min="4" max="4" width="12.140625" bestFit="1" customWidth="1"/>
    <col min="5" max="5" width="14.28515625" bestFit="1" customWidth="1"/>
  </cols>
  <sheetData>
    <row r="1" spans="1:8" x14ac:dyDescent="0.25">
      <c r="A1" s="63"/>
      <c r="B1" s="63"/>
      <c r="C1" s="63"/>
      <c r="D1" s="63"/>
      <c r="E1" s="63"/>
      <c r="F1" s="63"/>
      <c r="G1" s="63"/>
      <c r="H1" s="63"/>
    </row>
    <row r="2" spans="1:8" x14ac:dyDescent="0.25">
      <c r="A2" s="63"/>
      <c r="B2" s="63"/>
      <c r="C2" s="63"/>
      <c r="D2" s="63"/>
      <c r="E2" s="63"/>
      <c r="F2" s="63"/>
      <c r="G2" s="63"/>
      <c r="H2" s="63"/>
    </row>
    <row r="3" spans="1:8" x14ac:dyDescent="0.25">
      <c r="A3" s="63"/>
      <c r="B3" s="63"/>
      <c r="C3" s="63"/>
      <c r="D3" s="63"/>
      <c r="E3" s="63"/>
      <c r="F3" s="63"/>
      <c r="G3" s="63"/>
      <c r="H3" s="63"/>
    </row>
    <row r="4" spans="1:8" x14ac:dyDescent="0.25">
      <c r="A4" s="63"/>
      <c r="B4" s="63">
        <v>9437.31</v>
      </c>
      <c r="C4" s="63"/>
      <c r="D4" s="63"/>
      <c r="E4" s="63"/>
      <c r="F4" s="63"/>
      <c r="G4" s="63"/>
      <c r="H4" s="63"/>
    </row>
    <row r="5" spans="1:8" x14ac:dyDescent="0.25">
      <c r="A5" s="63"/>
      <c r="B5" s="63">
        <v>12836.68</v>
      </c>
      <c r="C5" s="63"/>
      <c r="D5" s="63"/>
      <c r="E5" s="63"/>
      <c r="F5" s="63"/>
      <c r="G5" s="63"/>
      <c r="H5" s="63"/>
    </row>
    <row r="6" spans="1:8" x14ac:dyDescent="0.25">
      <c r="A6" s="63"/>
      <c r="B6" s="63">
        <v>4561.01</v>
      </c>
      <c r="C6" s="63"/>
      <c r="D6" s="63"/>
      <c r="E6" s="63"/>
      <c r="F6" s="63"/>
      <c r="G6" s="63"/>
      <c r="H6" s="63"/>
    </row>
    <row r="7" spans="1:8" x14ac:dyDescent="0.25">
      <c r="A7" s="63"/>
      <c r="B7" s="63">
        <v>19176.64</v>
      </c>
      <c r="C7" s="63"/>
      <c r="D7" s="63"/>
      <c r="E7" s="63"/>
      <c r="F7" s="63"/>
      <c r="G7" s="63"/>
      <c r="H7" s="63"/>
    </row>
    <row r="8" spans="1:8" x14ac:dyDescent="0.25">
      <c r="A8" s="63"/>
      <c r="B8" s="63">
        <v>32310.36</v>
      </c>
      <c r="C8" s="63"/>
      <c r="D8" s="63"/>
      <c r="E8" s="63"/>
      <c r="F8" s="63"/>
      <c r="G8" s="63"/>
      <c r="H8" s="63"/>
    </row>
    <row r="9" spans="1:8" x14ac:dyDescent="0.25">
      <c r="A9" s="63"/>
      <c r="B9" s="63">
        <v>151648.68</v>
      </c>
      <c r="C9" s="63"/>
      <c r="D9" s="63"/>
      <c r="E9" s="63"/>
      <c r="F9" s="63"/>
      <c r="G9" s="63"/>
      <c r="H9" s="63"/>
    </row>
    <row r="10" spans="1:8" x14ac:dyDescent="0.25">
      <c r="A10" s="63"/>
      <c r="B10" s="63">
        <v>36897.57</v>
      </c>
      <c r="C10" s="63"/>
      <c r="D10" s="63"/>
      <c r="E10" s="63"/>
      <c r="F10" s="63"/>
      <c r="G10" s="63"/>
      <c r="H10" s="63"/>
    </row>
    <row r="11" spans="1:8" x14ac:dyDescent="0.25">
      <c r="A11" s="63"/>
      <c r="B11" s="63">
        <v>45778.65</v>
      </c>
      <c r="C11" s="63"/>
      <c r="D11" s="63"/>
      <c r="E11" s="63"/>
      <c r="F11" s="63"/>
      <c r="G11" s="63"/>
      <c r="H11" s="63"/>
    </row>
    <row r="12" spans="1:8" x14ac:dyDescent="0.25">
      <c r="A12" s="63"/>
      <c r="B12" s="63">
        <v>71125.67</v>
      </c>
      <c r="C12" s="63"/>
      <c r="D12" s="63"/>
      <c r="E12" s="63"/>
      <c r="F12" s="63"/>
      <c r="G12" s="63"/>
      <c r="H12" s="63"/>
    </row>
    <row r="13" spans="1:8" x14ac:dyDescent="0.25">
      <c r="A13" s="63"/>
      <c r="B13" s="63">
        <v>36897.57</v>
      </c>
      <c r="C13" s="63"/>
      <c r="D13" s="63"/>
      <c r="E13" s="63"/>
      <c r="F13" s="63"/>
      <c r="G13" s="63"/>
      <c r="H13" s="63"/>
    </row>
    <row r="14" spans="1:8" x14ac:dyDescent="0.25">
      <c r="A14" s="63"/>
      <c r="B14" s="63">
        <v>157135.98000000001</v>
      </c>
      <c r="C14" s="63"/>
      <c r="D14" s="63"/>
      <c r="E14" s="63"/>
      <c r="F14" s="63"/>
      <c r="G14" s="63"/>
      <c r="H14" s="63"/>
    </row>
    <row r="15" spans="1:8" x14ac:dyDescent="0.25">
      <c r="A15" s="63"/>
      <c r="B15" s="63">
        <v>32310.36</v>
      </c>
      <c r="C15" s="63"/>
      <c r="D15" s="63"/>
      <c r="E15" s="63"/>
      <c r="F15" s="63"/>
      <c r="G15" s="63"/>
      <c r="H15" s="63"/>
    </row>
    <row r="16" spans="1:8" x14ac:dyDescent="0.25">
      <c r="B16" s="63">
        <v>12299.19</v>
      </c>
    </row>
    <row r="17" spans="2:2" x14ac:dyDescent="0.25">
      <c r="B17" s="63">
        <v>45778.65</v>
      </c>
    </row>
    <row r="18" spans="2:2" x14ac:dyDescent="0.25">
      <c r="B18" s="63">
        <v>71125.67</v>
      </c>
    </row>
    <row r="19" spans="2:2" x14ac:dyDescent="0.25">
      <c r="B19" s="63">
        <v>9437.31</v>
      </c>
    </row>
    <row r="20" spans="2:2" x14ac:dyDescent="0.25">
      <c r="B20" s="63">
        <v>12836.68</v>
      </c>
    </row>
    <row r="21" spans="2:2" x14ac:dyDescent="0.25">
      <c r="B21" s="63">
        <v>4561.01</v>
      </c>
    </row>
    <row r="22" spans="2:2" x14ac:dyDescent="0.25">
      <c r="B22" s="63">
        <v>5421.74</v>
      </c>
    </row>
    <row r="23" spans="2:2" x14ac:dyDescent="0.25">
      <c r="B23" s="63">
        <v>32310.36</v>
      </c>
    </row>
    <row r="24" spans="2:2" x14ac:dyDescent="0.25">
      <c r="B24" s="63">
        <v>5421.74</v>
      </c>
    </row>
    <row r="25" spans="2:2" x14ac:dyDescent="0.25">
      <c r="B25" s="63">
        <v>71125.67</v>
      </c>
    </row>
    <row r="26" spans="2:2" x14ac:dyDescent="0.25">
      <c r="B26" s="63">
        <v>36897.57</v>
      </c>
    </row>
    <row r="27" spans="2:2" x14ac:dyDescent="0.25">
      <c r="B27" s="63">
        <v>12836.68</v>
      </c>
    </row>
    <row r="28" spans="2:2" x14ac:dyDescent="0.25">
      <c r="B28" s="63">
        <v>4561.01</v>
      </c>
    </row>
    <row r="29" spans="2:2" x14ac:dyDescent="0.25">
      <c r="B29" s="63">
        <v>45778.65</v>
      </c>
    </row>
    <row r="30" spans="2:2" x14ac:dyDescent="0.25">
      <c r="B30" s="63">
        <v>155227.34</v>
      </c>
    </row>
    <row r="31" spans="2:2" x14ac:dyDescent="0.25">
      <c r="B31" s="63">
        <v>9437.31</v>
      </c>
    </row>
    <row r="32" spans="2:2" x14ac:dyDescent="0.25">
      <c r="B32" s="63">
        <v>12299.19</v>
      </c>
    </row>
    <row r="33" spans="2:2" x14ac:dyDescent="0.25">
      <c r="B33" s="63">
        <v>12836.68</v>
      </c>
    </row>
    <row r="34" spans="2:2" x14ac:dyDescent="0.25">
      <c r="B34" s="63">
        <v>4561.01</v>
      </c>
    </row>
    <row r="35" spans="2:2" x14ac:dyDescent="0.25">
      <c r="B35" s="63">
        <v>9437.31</v>
      </c>
    </row>
    <row r="36" spans="2:2" x14ac:dyDescent="0.25">
      <c r="B36" s="63">
        <v>32310.36</v>
      </c>
    </row>
    <row r="37" spans="2:2" x14ac:dyDescent="0.25">
      <c r="B37" s="63">
        <v>71125.67</v>
      </c>
    </row>
    <row r="38" spans="2:2" x14ac:dyDescent="0.25">
      <c r="B38" s="63">
        <v>36897.57</v>
      </c>
    </row>
    <row r="39" spans="2:2" x14ac:dyDescent="0.25">
      <c r="B39" s="63">
        <v>155227.34</v>
      </c>
    </row>
    <row r="40" spans="2:2" x14ac:dyDescent="0.25">
      <c r="B40" s="63">
        <v>45778.65</v>
      </c>
    </row>
    <row r="41" spans="2:2" x14ac:dyDescent="0.25">
      <c r="B41" s="63">
        <v>71125.67</v>
      </c>
    </row>
    <row r="42" spans="2:2" x14ac:dyDescent="0.25">
      <c r="B42" s="63">
        <v>32310.36</v>
      </c>
    </row>
    <row r="43" spans="2:2" x14ac:dyDescent="0.25">
      <c r="B43" s="63">
        <v>45778.65</v>
      </c>
    </row>
    <row r="44" spans="2:2" x14ac:dyDescent="0.25">
      <c r="B44" s="63">
        <v>12299.19</v>
      </c>
    </row>
    <row r="45" spans="2:2" x14ac:dyDescent="0.25">
      <c r="B45" s="63">
        <v>9437.31</v>
      </c>
    </row>
    <row r="46" spans="2:2" x14ac:dyDescent="0.25">
      <c r="B46" s="63">
        <v>4561.01</v>
      </c>
    </row>
    <row r="47" spans="2:2" x14ac:dyDescent="0.25">
      <c r="B47" s="63">
        <v>12836.68</v>
      </c>
    </row>
    <row r="48" spans="2:2" x14ac:dyDescent="0.25">
      <c r="B48" s="63">
        <v>155227.34</v>
      </c>
    </row>
    <row r="49" spans="2:4" x14ac:dyDescent="0.25">
      <c r="B49" s="63">
        <v>36897.57</v>
      </c>
    </row>
    <row r="50" spans="2:4" x14ac:dyDescent="0.25">
      <c r="B50" s="64">
        <f>SUM(B4:B49)</f>
        <v>1906120.6200000003</v>
      </c>
    </row>
    <row r="52" spans="2:4" x14ac:dyDescent="0.25">
      <c r="C52" s="63">
        <v>1893821.43</v>
      </c>
      <c r="D52" s="63" t="s">
        <v>718</v>
      </c>
    </row>
    <row r="53" spans="2:4" x14ac:dyDescent="0.25">
      <c r="C53" s="63"/>
      <c r="D53" s="63"/>
    </row>
    <row r="54" spans="2:4" x14ac:dyDescent="0.25">
      <c r="C54" s="63"/>
      <c r="D54" s="63"/>
    </row>
    <row r="55" spans="2:4" x14ac:dyDescent="0.25">
      <c r="C55" s="63"/>
      <c r="D55" s="63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1F48-C5A6-45B5-BA74-92C7ED35DBCA}">
  <dimension ref="B1:T42"/>
  <sheetViews>
    <sheetView topLeftCell="A16" workbookViewId="0">
      <selection activeCell="I36" sqref="I36"/>
    </sheetView>
  </sheetViews>
  <sheetFormatPr defaultRowHeight="15" x14ac:dyDescent="0.25"/>
  <cols>
    <col min="3" max="3" width="12.140625" bestFit="1" customWidth="1"/>
    <col min="4" max="4" width="19.42578125" customWidth="1"/>
    <col min="5" max="5" width="14.28515625" bestFit="1" customWidth="1"/>
    <col min="6" max="6" width="13.28515625" bestFit="1" customWidth="1"/>
    <col min="7" max="7" width="14.28515625" bestFit="1" customWidth="1"/>
    <col min="8" max="8" width="22" customWidth="1"/>
    <col min="9" max="9" width="21.5703125" customWidth="1"/>
    <col min="10" max="10" width="16.5703125" customWidth="1"/>
    <col min="11" max="11" width="16.28515625" customWidth="1"/>
  </cols>
  <sheetData>
    <row r="1" spans="2:5" x14ac:dyDescent="0.25">
      <c r="B1">
        <v>252</v>
      </c>
      <c r="C1" s="63">
        <v>699.3</v>
      </c>
      <c r="D1" s="63">
        <f>B1*C1</f>
        <v>176223.59999999998</v>
      </c>
    </row>
    <row r="2" spans="2:5" x14ac:dyDescent="0.25">
      <c r="D2" s="63"/>
    </row>
    <row r="3" spans="2:5" x14ac:dyDescent="0.25">
      <c r="D3" s="63"/>
    </row>
    <row r="4" spans="2:5" x14ac:dyDescent="0.25">
      <c r="D4" s="63"/>
      <c r="E4">
        <v>76</v>
      </c>
    </row>
    <row r="5" spans="2:5" x14ac:dyDescent="0.25">
      <c r="D5" s="63"/>
    </row>
    <row r="6" spans="2:5" x14ac:dyDescent="0.25">
      <c r="D6" s="63"/>
    </row>
    <row r="7" spans="2:5" x14ac:dyDescent="0.25">
      <c r="C7">
        <v>763635</v>
      </c>
      <c r="D7" s="63"/>
    </row>
    <row r="8" spans="2:5" x14ac:dyDescent="0.25">
      <c r="D8" s="63"/>
    </row>
    <row r="9" spans="2:5" x14ac:dyDescent="0.25">
      <c r="D9" s="63"/>
    </row>
    <row r="16" spans="2:5" x14ac:dyDescent="0.25">
      <c r="D16" s="63"/>
    </row>
    <row r="17" spans="4:20" x14ac:dyDescent="0.25">
      <c r="D17" s="63"/>
    </row>
    <row r="18" spans="4:20" x14ac:dyDescent="0.25">
      <c r="D18" s="63"/>
    </row>
    <row r="19" spans="4:20" x14ac:dyDescent="0.25">
      <c r="D19" s="63"/>
    </row>
    <row r="20" spans="4:20" x14ac:dyDescent="0.25">
      <c r="D20" s="63">
        <v>1962.24</v>
      </c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</row>
    <row r="21" spans="4:20" x14ac:dyDescent="0.25">
      <c r="D21" s="63">
        <v>1529.85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</row>
    <row r="22" spans="4:20" x14ac:dyDescent="0.25">
      <c r="D22" s="63">
        <v>1575.84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</row>
    <row r="23" spans="4:20" x14ac:dyDescent="0.25">
      <c r="D23" s="63">
        <v>2059.89</v>
      </c>
    </row>
    <row r="24" spans="4:20" x14ac:dyDescent="0.25">
      <c r="D24" s="63">
        <v>2087.89</v>
      </c>
      <c r="E24" s="64"/>
    </row>
    <row r="25" spans="4:20" x14ac:dyDescent="0.25">
      <c r="D25" s="63">
        <v>1534.4</v>
      </c>
    </row>
    <row r="26" spans="4:20" x14ac:dyDescent="0.25">
      <c r="D26" s="63">
        <v>1045.52</v>
      </c>
    </row>
    <row r="27" spans="4:20" x14ac:dyDescent="0.25">
      <c r="D27" s="63">
        <f>SUM(D20:D26)</f>
        <v>11795.63</v>
      </c>
    </row>
    <row r="28" spans="4:20" x14ac:dyDescent="0.25">
      <c r="D28" s="63"/>
      <c r="H28">
        <v>195</v>
      </c>
      <c r="I28">
        <v>65</v>
      </c>
    </row>
    <row r="29" spans="4:20" x14ac:dyDescent="0.25">
      <c r="D29" s="63">
        <f>15407.14</f>
        <v>15407.14</v>
      </c>
      <c r="H29" s="63">
        <v>1249.07</v>
      </c>
      <c r="I29" s="63">
        <v>1249.07</v>
      </c>
    </row>
    <row r="30" spans="4:20" x14ac:dyDescent="0.25">
      <c r="D30" s="63">
        <f>D29-D27</f>
        <v>3611.51</v>
      </c>
      <c r="H30" s="64">
        <f>H28*H29</f>
        <v>243568.65</v>
      </c>
      <c r="I30" s="64">
        <f>I28*I29</f>
        <v>81189.55</v>
      </c>
    </row>
    <row r="31" spans="4:20" x14ac:dyDescent="0.25">
      <c r="D31" s="63"/>
    </row>
    <row r="32" spans="4:20" x14ac:dyDescent="0.25">
      <c r="D32" s="63"/>
      <c r="G32" s="64">
        <f>H30*0.8</f>
        <v>194854.92</v>
      </c>
      <c r="H32" s="64">
        <f>H30*0.2</f>
        <v>48713.73</v>
      </c>
    </row>
    <row r="35" spans="8:9" x14ac:dyDescent="0.25">
      <c r="H35">
        <v>273</v>
      </c>
      <c r="I35">
        <v>13497</v>
      </c>
    </row>
    <row r="36" spans="8:9" x14ac:dyDescent="0.25">
      <c r="H36">
        <v>272</v>
      </c>
      <c r="I36">
        <v>40874</v>
      </c>
    </row>
    <row r="37" spans="8:9" x14ac:dyDescent="0.25">
      <c r="H37">
        <v>271</v>
      </c>
      <c r="I37">
        <v>13497</v>
      </c>
    </row>
    <row r="41" spans="8:9" x14ac:dyDescent="0.25">
      <c r="H41">
        <v>6743</v>
      </c>
      <c r="I41">
        <v>0.2</v>
      </c>
    </row>
    <row r="42" spans="8:9" x14ac:dyDescent="0.25">
      <c r="I42">
        <v>0.3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D708-CF3C-4314-A34A-419E618F80E6}">
  <dimension ref="G20:G31"/>
  <sheetViews>
    <sheetView workbookViewId="0">
      <selection activeCell="I39" sqref="I39"/>
    </sheetView>
  </sheetViews>
  <sheetFormatPr defaultRowHeight="15" x14ac:dyDescent="0.25"/>
  <sheetData>
    <row r="20" spans="7:7" x14ac:dyDescent="0.25">
      <c r="G20">
        <v>87.86</v>
      </c>
    </row>
    <row r="21" spans="7:7" x14ac:dyDescent="0.25">
      <c r="G21">
        <v>1397.88</v>
      </c>
    </row>
    <row r="22" spans="7:7" x14ac:dyDescent="0.25">
      <c r="G22">
        <v>87.86</v>
      </c>
    </row>
    <row r="23" spans="7:7" x14ac:dyDescent="0.25">
      <c r="G23">
        <v>276.58</v>
      </c>
    </row>
    <row r="24" spans="7:7" x14ac:dyDescent="0.25">
      <c r="G24">
        <v>1515.62</v>
      </c>
    </row>
    <row r="25" spans="7:7" x14ac:dyDescent="0.25">
      <c r="G25">
        <v>87.86</v>
      </c>
    </row>
    <row r="26" spans="7:7" x14ac:dyDescent="0.25">
      <c r="G26">
        <v>135.86000000000001</v>
      </c>
    </row>
    <row r="27" spans="7:7" x14ac:dyDescent="0.25">
      <c r="G27">
        <v>144.08000000000001</v>
      </c>
    </row>
    <row r="28" spans="7:7" x14ac:dyDescent="0.25">
      <c r="G28">
        <v>1779.21</v>
      </c>
    </row>
    <row r="29" spans="7:7" x14ac:dyDescent="0.25">
      <c r="G29">
        <v>43.91</v>
      </c>
    </row>
    <row r="30" spans="7:7" x14ac:dyDescent="0.25">
      <c r="G30">
        <v>1797.65</v>
      </c>
    </row>
    <row r="31" spans="7:7" x14ac:dyDescent="0.25">
      <c r="G31">
        <f>SUM(G20:G30)</f>
        <v>7354.369999999999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8793D-3D29-4346-9605-801BAE8E6B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7</vt:i4>
      </vt:variant>
      <vt:variant>
        <vt:lpstr>Gráficos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INVENTÁRIO 2026</vt:lpstr>
      <vt:lpstr>Planilha5</vt:lpstr>
      <vt:lpstr>Planilha2</vt:lpstr>
      <vt:lpstr>Planilha1</vt:lpstr>
      <vt:lpstr>RADIAL</vt:lpstr>
      <vt:lpstr>Planilha3</vt:lpstr>
      <vt:lpstr>Planilha6</vt:lpstr>
      <vt:lpstr>Gráfico2</vt:lpstr>
      <vt:lpstr>Gráfico1</vt:lpstr>
      <vt:lpstr>Gráfico3</vt:lpstr>
      <vt:lpstr>'INVENTÁRIO 2026'!Titulos_de_impressao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magda.araujo</dc:creator>
  <cp:lastModifiedBy>Tiago Marcarenhas Figueiredo Carneiro</cp:lastModifiedBy>
  <cp:lastPrinted>2026-04-28T10:28:35Z</cp:lastPrinted>
  <dcterms:created xsi:type="dcterms:W3CDTF">2023-01-02T18:21:10Z</dcterms:created>
  <dcterms:modified xsi:type="dcterms:W3CDTF">2026-05-27T17:06:07Z</dcterms:modified>
</cp:coreProperties>
</file>